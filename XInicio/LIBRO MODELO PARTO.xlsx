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 tabRatio="585"/>
  </bookViews>
  <sheets>
    <sheet name="SEPTIEMBRE 2025" sheetId="1" r:id="rId1"/>
    <sheet name="Hoja1" sheetId="14" r:id="rId2"/>
    <sheet name="REM" sheetId="8" r:id="rId3"/>
    <sheet name="APS" sheetId="11" r:id="rId4"/>
    <sheet name="EV" sheetId="12" r:id="rId5"/>
    <sheet name="Robson " sheetId="9" r:id="rId6"/>
    <sheet name="Validadores" sheetId="7" r:id="rId7"/>
    <sheet name="SS ÑUBLE" sheetId="10" r:id="rId8"/>
  </sheets>
  <definedNames>
    <definedName name="_xlnm._FilterDatabase" localSheetId="0" hidden="1">'SEPTIEMBRE 2025'!$A$3:$AOJ$181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1" l="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4" i="11"/>
  <c r="H5" i="11" l="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4" i="11"/>
  <c r="B5" i="11" l="1"/>
  <c r="C5" i="11"/>
  <c r="D5" i="11"/>
  <c r="E5" i="11"/>
  <c r="F5" i="11"/>
  <c r="G5" i="11"/>
  <c r="I5" i="11"/>
  <c r="J5" i="11"/>
  <c r="K5" i="11"/>
  <c r="L5" i="11"/>
  <c r="B6" i="11"/>
  <c r="C6" i="11"/>
  <c r="D6" i="11"/>
  <c r="E6" i="11"/>
  <c r="F6" i="11"/>
  <c r="G6" i="11"/>
  <c r="I6" i="11"/>
  <c r="J6" i="11"/>
  <c r="K6" i="11"/>
  <c r="L6" i="11"/>
  <c r="B7" i="11"/>
  <c r="C7" i="11"/>
  <c r="D7" i="11"/>
  <c r="E7" i="11"/>
  <c r="F7" i="11"/>
  <c r="G7" i="11"/>
  <c r="I7" i="11"/>
  <c r="J7" i="11"/>
  <c r="K7" i="11"/>
  <c r="L7" i="11"/>
  <c r="B8" i="11"/>
  <c r="C8" i="11"/>
  <c r="D8" i="11"/>
  <c r="E8" i="11"/>
  <c r="F8" i="11"/>
  <c r="G8" i="11"/>
  <c r="I8" i="11"/>
  <c r="J8" i="11"/>
  <c r="K8" i="11"/>
  <c r="L8" i="11"/>
  <c r="B9" i="11"/>
  <c r="C9" i="11"/>
  <c r="D9" i="11"/>
  <c r="E9" i="11"/>
  <c r="F9" i="11"/>
  <c r="G9" i="11"/>
  <c r="I9" i="11"/>
  <c r="J9" i="11"/>
  <c r="K9" i="11"/>
  <c r="L9" i="11"/>
  <c r="B10" i="11"/>
  <c r="C10" i="11"/>
  <c r="D10" i="11"/>
  <c r="E10" i="11"/>
  <c r="F10" i="11"/>
  <c r="G10" i="11"/>
  <c r="I10" i="11"/>
  <c r="J10" i="11"/>
  <c r="K10" i="11"/>
  <c r="L10" i="11"/>
  <c r="B11" i="11"/>
  <c r="C11" i="11"/>
  <c r="D11" i="11"/>
  <c r="E11" i="11"/>
  <c r="F11" i="11"/>
  <c r="G11" i="11"/>
  <c r="I11" i="11"/>
  <c r="J11" i="11"/>
  <c r="K11" i="11"/>
  <c r="L11" i="11"/>
  <c r="B12" i="11"/>
  <c r="C12" i="11"/>
  <c r="D12" i="11"/>
  <c r="E12" i="11"/>
  <c r="F12" i="11"/>
  <c r="G12" i="11"/>
  <c r="I12" i="11"/>
  <c r="J12" i="11"/>
  <c r="K12" i="11"/>
  <c r="L12" i="11"/>
  <c r="B13" i="11"/>
  <c r="C13" i="11"/>
  <c r="D13" i="11"/>
  <c r="E13" i="11"/>
  <c r="F13" i="11"/>
  <c r="G13" i="11"/>
  <c r="I13" i="11"/>
  <c r="J13" i="11"/>
  <c r="K13" i="11"/>
  <c r="L13" i="11"/>
  <c r="B14" i="11"/>
  <c r="C14" i="11"/>
  <c r="D14" i="11"/>
  <c r="E14" i="11"/>
  <c r="F14" i="11"/>
  <c r="G14" i="11"/>
  <c r="I14" i="11"/>
  <c r="J14" i="11"/>
  <c r="K14" i="11"/>
  <c r="L14" i="11"/>
  <c r="B15" i="11"/>
  <c r="C15" i="11"/>
  <c r="D15" i="11"/>
  <c r="E15" i="11"/>
  <c r="F15" i="11"/>
  <c r="G15" i="11"/>
  <c r="I15" i="11"/>
  <c r="J15" i="11"/>
  <c r="K15" i="11"/>
  <c r="L15" i="11"/>
  <c r="B16" i="11"/>
  <c r="C16" i="11"/>
  <c r="D16" i="11"/>
  <c r="E16" i="11"/>
  <c r="F16" i="11"/>
  <c r="G16" i="11"/>
  <c r="I16" i="11"/>
  <c r="J16" i="11"/>
  <c r="K16" i="11"/>
  <c r="L16" i="11"/>
  <c r="B17" i="11"/>
  <c r="C17" i="11"/>
  <c r="D17" i="11"/>
  <c r="E17" i="11"/>
  <c r="F17" i="11"/>
  <c r="G17" i="11"/>
  <c r="I17" i="11"/>
  <c r="J17" i="11"/>
  <c r="K17" i="11"/>
  <c r="L17" i="11"/>
  <c r="B18" i="11"/>
  <c r="C18" i="11"/>
  <c r="D18" i="11"/>
  <c r="E18" i="11"/>
  <c r="F18" i="11"/>
  <c r="G18" i="11"/>
  <c r="I18" i="11"/>
  <c r="J18" i="11"/>
  <c r="K18" i="11"/>
  <c r="L18" i="11"/>
  <c r="B19" i="11"/>
  <c r="C19" i="11"/>
  <c r="D19" i="11"/>
  <c r="E19" i="11"/>
  <c r="F19" i="11"/>
  <c r="G19" i="11"/>
  <c r="I19" i="11"/>
  <c r="J19" i="11"/>
  <c r="K19" i="11"/>
  <c r="L19" i="11"/>
  <c r="B20" i="11"/>
  <c r="C20" i="11"/>
  <c r="D20" i="11"/>
  <c r="E20" i="11"/>
  <c r="F20" i="11"/>
  <c r="G20" i="11"/>
  <c r="I20" i="11"/>
  <c r="J20" i="11"/>
  <c r="K20" i="11"/>
  <c r="L20" i="11"/>
  <c r="B21" i="11"/>
  <c r="C21" i="11"/>
  <c r="D21" i="11"/>
  <c r="E21" i="11"/>
  <c r="F21" i="11"/>
  <c r="G21" i="11"/>
  <c r="I21" i="11"/>
  <c r="J21" i="11"/>
  <c r="K21" i="11"/>
  <c r="L21" i="11"/>
  <c r="B22" i="11"/>
  <c r="C22" i="11"/>
  <c r="D22" i="11"/>
  <c r="E22" i="11"/>
  <c r="F22" i="11"/>
  <c r="G22" i="11"/>
  <c r="I22" i="11"/>
  <c r="J22" i="11"/>
  <c r="K22" i="11"/>
  <c r="L22" i="11"/>
  <c r="B23" i="11"/>
  <c r="C23" i="11"/>
  <c r="D23" i="11"/>
  <c r="E23" i="11"/>
  <c r="F23" i="11"/>
  <c r="G23" i="11"/>
  <c r="I23" i="11"/>
  <c r="J23" i="11"/>
  <c r="K23" i="11"/>
  <c r="L23" i="11"/>
  <c r="B24" i="11"/>
  <c r="C24" i="11"/>
  <c r="D24" i="11"/>
  <c r="E24" i="11"/>
  <c r="F24" i="11"/>
  <c r="G24" i="11"/>
  <c r="I24" i="11"/>
  <c r="J24" i="11"/>
  <c r="K24" i="11"/>
  <c r="L24" i="11"/>
  <c r="B25" i="11"/>
  <c r="C25" i="11"/>
  <c r="D25" i="11"/>
  <c r="E25" i="11"/>
  <c r="F25" i="11"/>
  <c r="G25" i="11"/>
  <c r="I25" i="11"/>
  <c r="J25" i="11"/>
  <c r="K25" i="11"/>
  <c r="L25" i="11"/>
  <c r="B26" i="11"/>
  <c r="C26" i="11"/>
  <c r="D26" i="11"/>
  <c r="E26" i="11"/>
  <c r="F26" i="11"/>
  <c r="G26" i="11"/>
  <c r="I26" i="11"/>
  <c r="J26" i="11"/>
  <c r="K26" i="11"/>
  <c r="L26" i="11"/>
  <c r="B27" i="11"/>
  <c r="C27" i="11"/>
  <c r="D27" i="11"/>
  <c r="E27" i="11"/>
  <c r="F27" i="11"/>
  <c r="G27" i="11"/>
  <c r="I27" i="11"/>
  <c r="J27" i="11"/>
  <c r="K27" i="11"/>
  <c r="L27" i="11"/>
  <c r="B28" i="11"/>
  <c r="C28" i="11"/>
  <c r="D28" i="11"/>
  <c r="E28" i="11"/>
  <c r="F28" i="11"/>
  <c r="G28" i="11"/>
  <c r="I28" i="11"/>
  <c r="J28" i="11"/>
  <c r="K28" i="11"/>
  <c r="L28" i="11"/>
  <c r="B29" i="11"/>
  <c r="C29" i="11"/>
  <c r="D29" i="11"/>
  <c r="E29" i="11"/>
  <c r="F29" i="11"/>
  <c r="G29" i="11"/>
  <c r="I29" i="11"/>
  <c r="J29" i="11"/>
  <c r="K29" i="11"/>
  <c r="L29" i="11"/>
  <c r="B30" i="11"/>
  <c r="C30" i="11"/>
  <c r="D30" i="11"/>
  <c r="E30" i="11"/>
  <c r="F30" i="11"/>
  <c r="G30" i="11"/>
  <c r="I30" i="11"/>
  <c r="J30" i="11"/>
  <c r="K30" i="11"/>
  <c r="L30" i="11"/>
  <c r="B31" i="11"/>
  <c r="C31" i="11"/>
  <c r="D31" i="11"/>
  <c r="E31" i="11"/>
  <c r="F31" i="11"/>
  <c r="G31" i="11"/>
  <c r="I31" i="11"/>
  <c r="J31" i="11"/>
  <c r="K31" i="11"/>
  <c r="L31" i="11"/>
  <c r="B32" i="11"/>
  <c r="C32" i="11"/>
  <c r="D32" i="11"/>
  <c r="E32" i="11"/>
  <c r="F32" i="11"/>
  <c r="G32" i="11"/>
  <c r="I32" i="11"/>
  <c r="J32" i="11"/>
  <c r="K32" i="11"/>
  <c r="L32" i="11"/>
  <c r="B33" i="11"/>
  <c r="C33" i="11"/>
  <c r="D33" i="11"/>
  <c r="E33" i="11"/>
  <c r="F33" i="11"/>
  <c r="G33" i="11"/>
  <c r="I33" i="11"/>
  <c r="J33" i="11"/>
  <c r="K33" i="11"/>
  <c r="L33" i="11"/>
  <c r="B34" i="11"/>
  <c r="C34" i="11"/>
  <c r="D34" i="11"/>
  <c r="E34" i="11"/>
  <c r="F34" i="11"/>
  <c r="G34" i="11"/>
  <c r="I34" i="11"/>
  <c r="J34" i="11"/>
  <c r="K34" i="11"/>
  <c r="L34" i="11"/>
  <c r="B35" i="11"/>
  <c r="C35" i="11"/>
  <c r="D35" i="11"/>
  <c r="E35" i="11"/>
  <c r="F35" i="11"/>
  <c r="G35" i="11"/>
  <c r="I35" i="11"/>
  <c r="J35" i="11"/>
  <c r="K35" i="11"/>
  <c r="L35" i="11"/>
  <c r="B36" i="11"/>
  <c r="C36" i="11"/>
  <c r="D36" i="11"/>
  <c r="E36" i="11"/>
  <c r="F36" i="11"/>
  <c r="G36" i="11"/>
  <c r="I36" i="11"/>
  <c r="J36" i="11"/>
  <c r="K36" i="11"/>
  <c r="L36" i="11"/>
  <c r="B37" i="11"/>
  <c r="C37" i="11"/>
  <c r="D37" i="11"/>
  <c r="E37" i="11"/>
  <c r="F37" i="11"/>
  <c r="G37" i="11"/>
  <c r="I37" i="11"/>
  <c r="J37" i="11"/>
  <c r="K37" i="11"/>
  <c r="L37" i="11"/>
  <c r="B38" i="11"/>
  <c r="C38" i="11"/>
  <c r="D38" i="11"/>
  <c r="E38" i="11"/>
  <c r="F38" i="11"/>
  <c r="G38" i="11"/>
  <c r="I38" i="11"/>
  <c r="J38" i="11"/>
  <c r="K38" i="11"/>
  <c r="L38" i="11"/>
  <c r="B39" i="11"/>
  <c r="C39" i="11"/>
  <c r="D39" i="11"/>
  <c r="E39" i="11"/>
  <c r="F39" i="11"/>
  <c r="G39" i="11"/>
  <c r="I39" i="11"/>
  <c r="J39" i="11"/>
  <c r="K39" i="11"/>
  <c r="L39" i="11"/>
  <c r="B40" i="11"/>
  <c r="C40" i="11"/>
  <c r="D40" i="11"/>
  <c r="E40" i="11"/>
  <c r="F40" i="11"/>
  <c r="G40" i="11"/>
  <c r="I40" i="11"/>
  <c r="J40" i="11"/>
  <c r="K40" i="11"/>
  <c r="L40" i="11"/>
  <c r="B41" i="11"/>
  <c r="C41" i="11"/>
  <c r="D41" i="11"/>
  <c r="E41" i="11"/>
  <c r="F41" i="11"/>
  <c r="G41" i="11"/>
  <c r="I41" i="11"/>
  <c r="J41" i="11"/>
  <c r="K41" i="11"/>
  <c r="L41" i="11"/>
  <c r="B42" i="11"/>
  <c r="C42" i="11"/>
  <c r="D42" i="11"/>
  <c r="E42" i="11"/>
  <c r="F42" i="11"/>
  <c r="G42" i="11"/>
  <c r="I42" i="11"/>
  <c r="J42" i="11"/>
  <c r="K42" i="11"/>
  <c r="L42" i="11"/>
  <c r="B43" i="11"/>
  <c r="C43" i="11"/>
  <c r="D43" i="11"/>
  <c r="E43" i="11"/>
  <c r="F43" i="11"/>
  <c r="G43" i="11"/>
  <c r="I43" i="11"/>
  <c r="J43" i="11"/>
  <c r="K43" i="11"/>
  <c r="L43" i="11"/>
  <c r="B44" i="11"/>
  <c r="C44" i="11"/>
  <c r="D44" i="11"/>
  <c r="E44" i="11"/>
  <c r="F44" i="11"/>
  <c r="G44" i="11"/>
  <c r="I44" i="11"/>
  <c r="J44" i="11"/>
  <c r="K44" i="11"/>
  <c r="L44" i="11"/>
  <c r="B45" i="11"/>
  <c r="C45" i="11"/>
  <c r="D45" i="11"/>
  <c r="E45" i="11"/>
  <c r="F45" i="11"/>
  <c r="G45" i="11"/>
  <c r="I45" i="11"/>
  <c r="J45" i="11"/>
  <c r="K45" i="11"/>
  <c r="L45" i="11"/>
  <c r="B46" i="11"/>
  <c r="C46" i="11"/>
  <c r="D46" i="11"/>
  <c r="E46" i="11"/>
  <c r="F46" i="11"/>
  <c r="G46" i="11"/>
  <c r="I46" i="11"/>
  <c r="J46" i="11"/>
  <c r="K46" i="11"/>
  <c r="L46" i="11"/>
  <c r="B47" i="11"/>
  <c r="C47" i="11"/>
  <c r="D47" i="11"/>
  <c r="E47" i="11"/>
  <c r="F47" i="11"/>
  <c r="G47" i="11"/>
  <c r="I47" i="11"/>
  <c r="J47" i="11"/>
  <c r="K47" i="11"/>
  <c r="L47" i="11"/>
  <c r="B48" i="11"/>
  <c r="C48" i="11"/>
  <c r="D48" i="11"/>
  <c r="E48" i="11"/>
  <c r="F48" i="11"/>
  <c r="G48" i="11"/>
  <c r="I48" i="11"/>
  <c r="J48" i="11"/>
  <c r="K48" i="11"/>
  <c r="L48" i="11"/>
  <c r="B49" i="11"/>
  <c r="C49" i="11"/>
  <c r="D49" i="11"/>
  <c r="E49" i="11"/>
  <c r="F49" i="11"/>
  <c r="G49" i="11"/>
  <c r="I49" i="11"/>
  <c r="J49" i="11"/>
  <c r="K49" i="11"/>
  <c r="L49" i="11"/>
  <c r="B50" i="11"/>
  <c r="C50" i="11"/>
  <c r="D50" i="11"/>
  <c r="E50" i="11"/>
  <c r="F50" i="11"/>
  <c r="G50" i="11"/>
  <c r="I50" i="11"/>
  <c r="J50" i="11"/>
  <c r="K50" i="11"/>
  <c r="L50" i="11"/>
  <c r="B51" i="11"/>
  <c r="C51" i="11"/>
  <c r="D51" i="11"/>
  <c r="E51" i="11"/>
  <c r="F51" i="11"/>
  <c r="G51" i="11"/>
  <c r="I51" i="11"/>
  <c r="J51" i="11"/>
  <c r="K51" i="11"/>
  <c r="L51" i="11"/>
  <c r="B52" i="11"/>
  <c r="C52" i="11"/>
  <c r="D52" i="11"/>
  <c r="E52" i="11"/>
  <c r="F52" i="11"/>
  <c r="G52" i="11"/>
  <c r="I52" i="11"/>
  <c r="J52" i="11"/>
  <c r="K52" i="11"/>
  <c r="L52" i="11"/>
  <c r="B53" i="11"/>
  <c r="C53" i="11"/>
  <c r="D53" i="11"/>
  <c r="E53" i="11"/>
  <c r="F53" i="11"/>
  <c r="G53" i="11"/>
  <c r="I53" i="11"/>
  <c r="J53" i="11"/>
  <c r="K53" i="11"/>
  <c r="L53" i="11"/>
  <c r="B54" i="11"/>
  <c r="C54" i="11"/>
  <c r="D54" i="11"/>
  <c r="E54" i="11"/>
  <c r="F54" i="11"/>
  <c r="G54" i="11"/>
  <c r="I54" i="11"/>
  <c r="J54" i="11"/>
  <c r="K54" i="11"/>
  <c r="L54" i="11"/>
  <c r="B55" i="11"/>
  <c r="C55" i="11"/>
  <c r="D55" i="11"/>
  <c r="E55" i="11"/>
  <c r="F55" i="11"/>
  <c r="G55" i="11"/>
  <c r="I55" i="11"/>
  <c r="J55" i="11"/>
  <c r="K55" i="11"/>
  <c r="L55" i="11"/>
  <c r="B56" i="11"/>
  <c r="C56" i="11"/>
  <c r="D56" i="11"/>
  <c r="E56" i="11"/>
  <c r="F56" i="11"/>
  <c r="G56" i="11"/>
  <c r="I56" i="11"/>
  <c r="J56" i="11"/>
  <c r="K56" i="11"/>
  <c r="L56" i="11"/>
  <c r="B57" i="11"/>
  <c r="C57" i="11"/>
  <c r="D57" i="11"/>
  <c r="E57" i="11"/>
  <c r="F57" i="11"/>
  <c r="G57" i="11"/>
  <c r="I57" i="11"/>
  <c r="J57" i="11"/>
  <c r="K57" i="11"/>
  <c r="L57" i="11"/>
  <c r="B58" i="11"/>
  <c r="C58" i="11"/>
  <c r="D58" i="11"/>
  <c r="E58" i="11"/>
  <c r="F58" i="11"/>
  <c r="G58" i="11"/>
  <c r="I58" i="11"/>
  <c r="J58" i="11"/>
  <c r="K58" i="11"/>
  <c r="L58" i="11"/>
  <c r="B59" i="11"/>
  <c r="C59" i="11"/>
  <c r="D59" i="11"/>
  <c r="E59" i="11"/>
  <c r="F59" i="11"/>
  <c r="G59" i="11"/>
  <c r="I59" i="11"/>
  <c r="J59" i="11"/>
  <c r="K59" i="11"/>
  <c r="L59" i="11"/>
  <c r="B60" i="11"/>
  <c r="C60" i="11"/>
  <c r="D60" i="11"/>
  <c r="E60" i="11"/>
  <c r="F60" i="11"/>
  <c r="G60" i="11"/>
  <c r="I60" i="11"/>
  <c r="J60" i="11"/>
  <c r="K60" i="11"/>
  <c r="L60" i="11"/>
  <c r="B61" i="11"/>
  <c r="C61" i="11"/>
  <c r="D61" i="11"/>
  <c r="E61" i="11"/>
  <c r="F61" i="11"/>
  <c r="G61" i="11"/>
  <c r="I61" i="11"/>
  <c r="J61" i="11"/>
  <c r="K61" i="11"/>
  <c r="L61" i="11"/>
  <c r="B62" i="11"/>
  <c r="C62" i="11"/>
  <c r="D62" i="11"/>
  <c r="E62" i="11"/>
  <c r="F62" i="11"/>
  <c r="G62" i="11"/>
  <c r="I62" i="11"/>
  <c r="J62" i="11"/>
  <c r="K62" i="11"/>
  <c r="L62" i="11"/>
  <c r="B63" i="11"/>
  <c r="C63" i="11"/>
  <c r="D63" i="11"/>
  <c r="E63" i="11"/>
  <c r="F63" i="11"/>
  <c r="G63" i="11"/>
  <c r="I63" i="11"/>
  <c r="J63" i="11"/>
  <c r="K63" i="11"/>
  <c r="L63" i="11"/>
  <c r="B64" i="11"/>
  <c r="C64" i="11"/>
  <c r="D64" i="11"/>
  <c r="E64" i="11"/>
  <c r="F64" i="11"/>
  <c r="G64" i="11"/>
  <c r="I64" i="11"/>
  <c r="J64" i="11"/>
  <c r="K64" i="11"/>
  <c r="L64" i="11"/>
  <c r="B65" i="11"/>
  <c r="C65" i="11"/>
  <c r="D65" i="11"/>
  <c r="E65" i="11"/>
  <c r="F65" i="11"/>
  <c r="G65" i="11"/>
  <c r="I65" i="11"/>
  <c r="J65" i="11"/>
  <c r="K65" i="11"/>
  <c r="L65" i="11"/>
  <c r="B66" i="11"/>
  <c r="C66" i="11"/>
  <c r="D66" i="11"/>
  <c r="E66" i="11"/>
  <c r="F66" i="11"/>
  <c r="G66" i="11"/>
  <c r="I66" i="11"/>
  <c r="J66" i="11"/>
  <c r="K66" i="11"/>
  <c r="L66" i="11"/>
  <c r="B67" i="11"/>
  <c r="C67" i="11"/>
  <c r="D67" i="11"/>
  <c r="E67" i="11"/>
  <c r="F67" i="11"/>
  <c r="G67" i="11"/>
  <c r="I67" i="11"/>
  <c r="J67" i="11"/>
  <c r="K67" i="11"/>
  <c r="L67" i="11"/>
  <c r="B68" i="11"/>
  <c r="C68" i="11"/>
  <c r="D68" i="11"/>
  <c r="E68" i="11"/>
  <c r="F68" i="11"/>
  <c r="G68" i="11"/>
  <c r="I68" i="11"/>
  <c r="J68" i="11"/>
  <c r="K68" i="11"/>
  <c r="L68" i="11"/>
  <c r="B69" i="11"/>
  <c r="C69" i="11"/>
  <c r="D69" i="11"/>
  <c r="E69" i="11"/>
  <c r="F69" i="11"/>
  <c r="G69" i="11"/>
  <c r="I69" i="11"/>
  <c r="J69" i="11"/>
  <c r="K69" i="11"/>
  <c r="L69" i="11"/>
  <c r="B70" i="11"/>
  <c r="C70" i="11"/>
  <c r="D70" i="11"/>
  <c r="E70" i="11"/>
  <c r="F70" i="11"/>
  <c r="G70" i="11"/>
  <c r="I70" i="11"/>
  <c r="J70" i="11"/>
  <c r="K70" i="11"/>
  <c r="L70" i="11"/>
  <c r="B71" i="11"/>
  <c r="C71" i="11"/>
  <c r="D71" i="11"/>
  <c r="E71" i="11"/>
  <c r="F71" i="11"/>
  <c r="G71" i="11"/>
  <c r="I71" i="11"/>
  <c r="J71" i="11"/>
  <c r="K71" i="11"/>
  <c r="L71" i="11"/>
  <c r="B72" i="11"/>
  <c r="C72" i="11"/>
  <c r="D72" i="11"/>
  <c r="E72" i="11"/>
  <c r="F72" i="11"/>
  <c r="G72" i="11"/>
  <c r="I72" i="11"/>
  <c r="J72" i="11"/>
  <c r="K72" i="11"/>
  <c r="L72" i="11"/>
  <c r="B73" i="11"/>
  <c r="C73" i="11"/>
  <c r="D73" i="11"/>
  <c r="E73" i="11"/>
  <c r="F73" i="11"/>
  <c r="G73" i="11"/>
  <c r="I73" i="11"/>
  <c r="J73" i="11"/>
  <c r="K73" i="11"/>
  <c r="L73" i="11"/>
  <c r="B74" i="11"/>
  <c r="C74" i="11"/>
  <c r="D74" i="11"/>
  <c r="E74" i="11"/>
  <c r="F74" i="11"/>
  <c r="G74" i="11"/>
  <c r="I74" i="11"/>
  <c r="J74" i="11"/>
  <c r="K74" i="11"/>
  <c r="L74" i="11"/>
  <c r="B75" i="11"/>
  <c r="C75" i="11"/>
  <c r="D75" i="11"/>
  <c r="E75" i="11"/>
  <c r="F75" i="11"/>
  <c r="G75" i="11"/>
  <c r="I75" i="11"/>
  <c r="J75" i="11"/>
  <c r="K75" i="11"/>
  <c r="L75" i="11"/>
  <c r="B76" i="11"/>
  <c r="C76" i="11"/>
  <c r="D76" i="11"/>
  <c r="E76" i="11"/>
  <c r="F76" i="11"/>
  <c r="G76" i="11"/>
  <c r="I76" i="11"/>
  <c r="J76" i="11"/>
  <c r="K76" i="11"/>
  <c r="L76" i="11"/>
  <c r="B77" i="11"/>
  <c r="C77" i="11"/>
  <c r="D77" i="11"/>
  <c r="E77" i="11"/>
  <c r="F77" i="11"/>
  <c r="G77" i="11"/>
  <c r="I77" i="11"/>
  <c r="J77" i="11"/>
  <c r="K77" i="11"/>
  <c r="L77" i="11"/>
  <c r="B78" i="11"/>
  <c r="C78" i="11"/>
  <c r="D78" i="11"/>
  <c r="E78" i="11"/>
  <c r="F78" i="11"/>
  <c r="G78" i="11"/>
  <c r="I78" i="11"/>
  <c r="J78" i="11"/>
  <c r="K78" i="11"/>
  <c r="L78" i="11"/>
  <c r="B79" i="11"/>
  <c r="C79" i="11"/>
  <c r="D79" i="11"/>
  <c r="E79" i="11"/>
  <c r="F79" i="11"/>
  <c r="G79" i="11"/>
  <c r="I79" i="11"/>
  <c r="J79" i="11"/>
  <c r="K79" i="11"/>
  <c r="L79" i="11"/>
  <c r="B80" i="11"/>
  <c r="C80" i="11"/>
  <c r="D80" i="11"/>
  <c r="E80" i="11"/>
  <c r="F80" i="11"/>
  <c r="G80" i="11"/>
  <c r="I80" i="11"/>
  <c r="J80" i="11"/>
  <c r="K80" i="11"/>
  <c r="L80" i="11"/>
  <c r="B81" i="11"/>
  <c r="C81" i="11"/>
  <c r="D81" i="11"/>
  <c r="E81" i="11"/>
  <c r="F81" i="11"/>
  <c r="G81" i="11"/>
  <c r="I81" i="11"/>
  <c r="J81" i="11"/>
  <c r="K81" i="11"/>
  <c r="L81" i="11"/>
  <c r="B82" i="11"/>
  <c r="C82" i="11"/>
  <c r="D82" i="11"/>
  <c r="E82" i="11"/>
  <c r="F82" i="11"/>
  <c r="G82" i="11"/>
  <c r="I82" i="11"/>
  <c r="J82" i="11"/>
  <c r="K82" i="11"/>
  <c r="L82" i="11"/>
  <c r="B83" i="11"/>
  <c r="C83" i="11"/>
  <c r="D83" i="11"/>
  <c r="E83" i="11"/>
  <c r="F83" i="11"/>
  <c r="G83" i="11"/>
  <c r="I83" i="11"/>
  <c r="J83" i="11"/>
  <c r="K83" i="11"/>
  <c r="L83" i="11"/>
  <c r="B84" i="11"/>
  <c r="C84" i="11"/>
  <c r="D84" i="11"/>
  <c r="E84" i="11"/>
  <c r="F84" i="11"/>
  <c r="G84" i="11"/>
  <c r="I84" i="11"/>
  <c r="J84" i="11"/>
  <c r="K84" i="11"/>
  <c r="L84" i="11"/>
  <c r="B85" i="11"/>
  <c r="C85" i="11"/>
  <c r="D85" i="11"/>
  <c r="E85" i="11"/>
  <c r="F85" i="11"/>
  <c r="G85" i="11"/>
  <c r="I85" i="11"/>
  <c r="J85" i="11"/>
  <c r="K85" i="11"/>
  <c r="L85" i="11"/>
  <c r="B86" i="11"/>
  <c r="C86" i="11"/>
  <c r="D86" i="11"/>
  <c r="E86" i="11"/>
  <c r="F86" i="11"/>
  <c r="G86" i="11"/>
  <c r="I86" i="11"/>
  <c r="J86" i="11"/>
  <c r="K86" i="11"/>
  <c r="L86" i="11"/>
  <c r="B87" i="11"/>
  <c r="C87" i="11"/>
  <c r="D87" i="11"/>
  <c r="E87" i="11"/>
  <c r="F87" i="11"/>
  <c r="G87" i="11"/>
  <c r="I87" i="11"/>
  <c r="J87" i="11"/>
  <c r="K87" i="11"/>
  <c r="L87" i="11"/>
  <c r="B88" i="11"/>
  <c r="C88" i="11"/>
  <c r="D88" i="11"/>
  <c r="E88" i="11"/>
  <c r="F88" i="11"/>
  <c r="G88" i="11"/>
  <c r="I88" i="11"/>
  <c r="J88" i="11"/>
  <c r="K88" i="11"/>
  <c r="L88" i="11"/>
  <c r="B89" i="11"/>
  <c r="C89" i="11"/>
  <c r="D89" i="11"/>
  <c r="E89" i="11"/>
  <c r="F89" i="11"/>
  <c r="G89" i="11"/>
  <c r="I89" i="11"/>
  <c r="J89" i="11"/>
  <c r="K89" i="11"/>
  <c r="L89" i="11"/>
  <c r="B90" i="11"/>
  <c r="C90" i="11"/>
  <c r="D90" i="11"/>
  <c r="E90" i="11"/>
  <c r="F90" i="11"/>
  <c r="G90" i="11"/>
  <c r="I90" i="11"/>
  <c r="J90" i="11"/>
  <c r="K90" i="11"/>
  <c r="L90" i="11"/>
  <c r="B91" i="11"/>
  <c r="C91" i="11"/>
  <c r="D91" i="11"/>
  <c r="E91" i="11"/>
  <c r="F91" i="11"/>
  <c r="G91" i="11"/>
  <c r="I91" i="11"/>
  <c r="J91" i="11"/>
  <c r="K91" i="11"/>
  <c r="L91" i="11"/>
  <c r="B92" i="11"/>
  <c r="C92" i="11"/>
  <c r="D92" i="11"/>
  <c r="E92" i="11"/>
  <c r="F92" i="11"/>
  <c r="G92" i="11"/>
  <c r="I92" i="11"/>
  <c r="J92" i="11"/>
  <c r="K92" i="11"/>
  <c r="L92" i="11"/>
  <c r="B93" i="11"/>
  <c r="C93" i="11"/>
  <c r="D93" i="11"/>
  <c r="E93" i="11"/>
  <c r="F93" i="11"/>
  <c r="G93" i="11"/>
  <c r="I93" i="11"/>
  <c r="J93" i="11"/>
  <c r="K93" i="11"/>
  <c r="L93" i="11"/>
  <c r="B94" i="11"/>
  <c r="C94" i="11"/>
  <c r="D94" i="11"/>
  <c r="E94" i="11"/>
  <c r="F94" i="11"/>
  <c r="G94" i="11"/>
  <c r="I94" i="11"/>
  <c r="J94" i="11"/>
  <c r="K94" i="11"/>
  <c r="L94" i="11"/>
  <c r="B95" i="11"/>
  <c r="C95" i="11"/>
  <c r="D95" i="11"/>
  <c r="E95" i="11"/>
  <c r="F95" i="11"/>
  <c r="G95" i="11"/>
  <c r="I95" i="11"/>
  <c r="J95" i="11"/>
  <c r="K95" i="11"/>
  <c r="L95" i="11"/>
  <c r="B96" i="11"/>
  <c r="C96" i="11"/>
  <c r="D96" i="11"/>
  <c r="E96" i="11"/>
  <c r="F96" i="11"/>
  <c r="G96" i="11"/>
  <c r="I96" i="11"/>
  <c r="J96" i="11"/>
  <c r="K96" i="11"/>
  <c r="L96" i="11"/>
  <c r="B97" i="11"/>
  <c r="C97" i="11"/>
  <c r="D97" i="11"/>
  <c r="E97" i="11"/>
  <c r="F97" i="11"/>
  <c r="G97" i="11"/>
  <c r="I97" i="11"/>
  <c r="J97" i="11"/>
  <c r="K97" i="11"/>
  <c r="L97" i="11"/>
  <c r="B98" i="11"/>
  <c r="C98" i="11"/>
  <c r="D98" i="11"/>
  <c r="E98" i="11"/>
  <c r="F98" i="11"/>
  <c r="G98" i="11"/>
  <c r="I98" i="11"/>
  <c r="J98" i="11"/>
  <c r="K98" i="11"/>
  <c r="L98" i="11"/>
  <c r="B99" i="11"/>
  <c r="C99" i="11"/>
  <c r="D99" i="11"/>
  <c r="E99" i="11"/>
  <c r="F99" i="11"/>
  <c r="G99" i="11"/>
  <c r="I99" i="11"/>
  <c r="J99" i="11"/>
  <c r="K99" i="11"/>
  <c r="L99" i="11"/>
  <c r="B100" i="11"/>
  <c r="C100" i="11"/>
  <c r="D100" i="11"/>
  <c r="E100" i="11"/>
  <c r="F100" i="11"/>
  <c r="G100" i="11"/>
  <c r="I100" i="11"/>
  <c r="J100" i="11"/>
  <c r="K100" i="11"/>
  <c r="L100" i="11"/>
  <c r="B101" i="11"/>
  <c r="C101" i="11"/>
  <c r="D101" i="11"/>
  <c r="E101" i="11"/>
  <c r="F101" i="11"/>
  <c r="G101" i="11"/>
  <c r="I101" i="11"/>
  <c r="J101" i="11"/>
  <c r="K101" i="11"/>
  <c r="L101" i="11"/>
  <c r="B102" i="11"/>
  <c r="C102" i="11"/>
  <c r="D102" i="11"/>
  <c r="E102" i="11"/>
  <c r="F102" i="11"/>
  <c r="G102" i="11"/>
  <c r="I102" i="11"/>
  <c r="J102" i="11"/>
  <c r="K102" i="11"/>
  <c r="L102" i="11"/>
  <c r="B103" i="11"/>
  <c r="C103" i="11"/>
  <c r="D103" i="11"/>
  <c r="E103" i="11"/>
  <c r="F103" i="11"/>
  <c r="G103" i="11"/>
  <c r="I103" i="11"/>
  <c r="J103" i="11"/>
  <c r="K103" i="11"/>
  <c r="L103" i="11"/>
  <c r="B104" i="11"/>
  <c r="C104" i="11"/>
  <c r="D104" i="11"/>
  <c r="E104" i="11"/>
  <c r="F104" i="11"/>
  <c r="G104" i="11"/>
  <c r="I104" i="11"/>
  <c r="J104" i="11"/>
  <c r="K104" i="11"/>
  <c r="L104" i="11"/>
  <c r="B105" i="11"/>
  <c r="C105" i="11"/>
  <c r="D105" i="11"/>
  <c r="E105" i="11"/>
  <c r="F105" i="11"/>
  <c r="G105" i="11"/>
  <c r="I105" i="11"/>
  <c r="J105" i="11"/>
  <c r="K105" i="11"/>
  <c r="L105" i="11"/>
  <c r="B106" i="11"/>
  <c r="C106" i="11"/>
  <c r="D106" i="11"/>
  <c r="E106" i="11"/>
  <c r="F106" i="11"/>
  <c r="G106" i="11"/>
  <c r="I106" i="11"/>
  <c r="J106" i="11"/>
  <c r="K106" i="11"/>
  <c r="L106" i="11"/>
  <c r="B107" i="11"/>
  <c r="C107" i="11"/>
  <c r="D107" i="11"/>
  <c r="E107" i="11"/>
  <c r="F107" i="11"/>
  <c r="G107" i="11"/>
  <c r="I107" i="11"/>
  <c r="J107" i="11"/>
  <c r="K107" i="11"/>
  <c r="L107" i="11"/>
  <c r="B108" i="11"/>
  <c r="C108" i="11"/>
  <c r="D108" i="11"/>
  <c r="E108" i="11"/>
  <c r="F108" i="11"/>
  <c r="G108" i="11"/>
  <c r="I108" i="11"/>
  <c r="J108" i="11"/>
  <c r="K108" i="11"/>
  <c r="L108" i="11"/>
  <c r="B109" i="11"/>
  <c r="C109" i="11"/>
  <c r="D109" i="11"/>
  <c r="E109" i="11"/>
  <c r="F109" i="11"/>
  <c r="G109" i="11"/>
  <c r="I109" i="11"/>
  <c r="J109" i="11"/>
  <c r="K109" i="11"/>
  <c r="L109" i="11"/>
  <c r="B110" i="11"/>
  <c r="C110" i="11"/>
  <c r="D110" i="11"/>
  <c r="E110" i="11"/>
  <c r="F110" i="11"/>
  <c r="G110" i="11"/>
  <c r="I110" i="11"/>
  <c r="J110" i="11"/>
  <c r="K110" i="11"/>
  <c r="L110" i="11"/>
  <c r="B111" i="11"/>
  <c r="C111" i="11"/>
  <c r="D111" i="11"/>
  <c r="E111" i="11"/>
  <c r="F111" i="11"/>
  <c r="G111" i="11"/>
  <c r="I111" i="11"/>
  <c r="J111" i="11"/>
  <c r="K111" i="11"/>
  <c r="L111" i="11"/>
  <c r="B112" i="11"/>
  <c r="C112" i="11"/>
  <c r="D112" i="11"/>
  <c r="E112" i="11"/>
  <c r="F112" i="11"/>
  <c r="G112" i="11"/>
  <c r="I112" i="11"/>
  <c r="J112" i="11"/>
  <c r="K112" i="11"/>
  <c r="L112" i="11"/>
  <c r="B113" i="11"/>
  <c r="C113" i="11"/>
  <c r="D113" i="11"/>
  <c r="E113" i="11"/>
  <c r="F113" i="11"/>
  <c r="G113" i="11"/>
  <c r="I113" i="11"/>
  <c r="J113" i="11"/>
  <c r="K113" i="11"/>
  <c r="L113" i="11"/>
  <c r="B114" i="11"/>
  <c r="C114" i="11"/>
  <c r="D114" i="11"/>
  <c r="E114" i="11"/>
  <c r="F114" i="11"/>
  <c r="G114" i="11"/>
  <c r="I114" i="11"/>
  <c r="J114" i="11"/>
  <c r="K114" i="11"/>
  <c r="L114" i="11"/>
  <c r="B115" i="11"/>
  <c r="C115" i="11"/>
  <c r="D115" i="11"/>
  <c r="E115" i="11"/>
  <c r="F115" i="11"/>
  <c r="G115" i="11"/>
  <c r="I115" i="11"/>
  <c r="J115" i="11"/>
  <c r="K115" i="11"/>
  <c r="L115" i="11"/>
  <c r="B116" i="11"/>
  <c r="C116" i="11"/>
  <c r="D116" i="11"/>
  <c r="E116" i="11"/>
  <c r="F116" i="11"/>
  <c r="G116" i="11"/>
  <c r="I116" i="11"/>
  <c r="J116" i="11"/>
  <c r="K116" i="11"/>
  <c r="L116" i="11"/>
  <c r="B117" i="11"/>
  <c r="C117" i="11"/>
  <c r="D117" i="11"/>
  <c r="E117" i="11"/>
  <c r="F117" i="11"/>
  <c r="G117" i="11"/>
  <c r="I117" i="11"/>
  <c r="J117" i="11"/>
  <c r="K117" i="11"/>
  <c r="L117" i="11"/>
  <c r="B118" i="11"/>
  <c r="C118" i="11"/>
  <c r="D118" i="11"/>
  <c r="E118" i="11"/>
  <c r="F118" i="11"/>
  <c r="G118" i="11"/>
  <c r="I118" i="11"/>
  <c r="J118" i="11"/>
  <c r="K118" i="11"/>
  <c r="L118" i="11"/>
  <c r="B119" i="11"/>
  <c r="C119" i="11"/>
  <c r="D119" i="11"/>
  <c r="E119" i="11"/>
  <c r="F119" i="11"/>
  <c r="G119" i="11"/>
  <c r="I119" i="11"/>
  <c r="J119" i="11"/>
  <c r="K119" i="11"/>
  <c r="L119" i="11"/>
  <c r="B120" i="11"/>
  <c r="C120" i="11"/>
  <c r="D120" i="11"/>
  <c r="E120" i="11"/>
  <c r="F120" i="11"/>
  <c r="G120" i="11"/>
  <c r="I120" i="11"/>
  <c r="J120" i="11"/>
  <c r="K120" i="11"/>
  <c r="L120" i="11"/>
  <c r="B121" i="11"/>
  <c r="C121" i="11"/>
  <c r="D121" i="11"/>
  <c r="E121" i="11"/>
  <c r="F121" i="11"/>
  <c r="G121" i="11"/>
  <c r="I121" i="11"/>
  <c r="J121" i="11"/>
  <c r="K121" i="11"/>
  <c r="L121" i="11"/>
  <c r="B122" i="11"/>
  <c r="C122" i="11"/>
  <c r="D122" i="11"/>
  <c r="E122" i="11"/>
  <c r="F122" i="11"/>
  <c r="G122" i="11"/>
  <c r="I122" i="11"/>
  <c r="J122" i="11"/>
  <c r="K122" i="11"/>
  <c r="L122" i="11"/>
  <c r="B123" i="11"/>
  <c r="C123" i="11"/>
  <c r="D123" i="11"/>
  <c r="E123" i="11"/>
  <c r="F123" i="11"/>
  <c r="G123" i="11"/>
  <c r="I123" i="11"/>
  <c r="J123" i="11"/>
  <c r="K123" i="11"/>
  <c r="L123" i="11"/>
  <c r="B124" i="11"/>
  <c r="C124" i="11"/>
  <c r="D124" i="11"/>
  <c r="E124" i="11"/>
  <c r="F124" i="11"/>
  <c r="G124" i="11"/>
  <c r="I124" i="11"/>
  <c r="J124" i="11"/>
  <c r="K124" i="11"/>
  <c r="L124" i="11"/>
  <c r="B125" i="11"/>
  <c r="C125" i="11"/>
  <c r="D125" i="11"/>
  <c r="E125" i="11"/>
  <c r="F125" i="11"/>
  <c r="G125" i="11"/>
  <c r="I125" i="11"/>
  <c r="J125" i="11"/>
  <c r="K125" i="11"/>
  <c r="L125" i="11"/>
  <c r="B126" i="11"/>
  <c r="C126" i="11"/>
  <c r="D126" i="11"/>
  <c r="E126" i="11"/>
  <c r="F126" i="11"/>
  <c r="G126" i="11"/>
  <c r="I126" i="11"/>
  <c r="J126" i="11"/>
  <c r="K126" i="11"/>
  <c r="L126" i="11"/>
  <c r="B127" i="11"/>
  <c r="C127" i="11"/>
  <c r="D127" i="11"/>
  <c r="E127" i="11"/>
  <c r="F127" i="11"/>
  <c r="G127" i="11"/>
  <c r="I127" i="11"/>
  <c r="J127" i="11"/>
  <c r="K127" i="11"/>
  <c r="L127" i="11"/>
  <c r="B128" i="11"/>
  <c r="C128" i="11"/>
  <c r="D128" i="11"/>
  <c r="E128" i="11"/>
  <c r="F128" i="11"/>
  <c r="G128" i="11"/>
  <c r="I128" i="11"/>
  <c r="J128" i="11"/>
  <c r="K128" i="11"/>
  <c r="L128" i="11"/>
  <c r="B129" i="11"/>
  <c r="C129" i="11"/>
  <c r="D129" i="11"/>
  <c r="E129" i="11"/>
  <c r="F129" i="11"/>
  <c r="G129" i="11"/>
  <c r="I129" i="11"/>
  <c r="J129" i="11"/>
  <c r="K129" i="11"/>
  <c r="L129" i="11"/>
  <c r="B130" i="11"/>
  <c r="C130" i="11"/>
  <c r="D130" i="11"/>
  <c r="E130" i="11"/>
  <c r="F130" i="11"/>
  <c r="G130" i="11"/>
  <c r="I130" i="11"/>
  <c r="J130" i="11"/>
  <c r="K130" i="11"/>
  <c r="L130" i="11"/>
  <c r="B131" i="11"/>
  <c r="C131" i="11"/>
  <c r="D131" i="11"/>
  <c r="E131" i="11"/>
  <c r="F131" i="11"/>
  <c r="G131" i="11"/>
  <c r="I131" i="11"/>
  <c r="J131" i="11"/>
  <c r="K131" i="11"/>
  <c r="L131" i="11"/>
  <c r="B132" i="11"/>
  <c r="C132" i="11"/>
  <c r="D132" i="11"/>
  <c r="E132" i="11"/>
  <c r="F132" i="11"/>
  <c r="G132" i="11"/>
  <c r="I132" i="11"/>
  <c r="J132" i="11"/>
  <c r="K132" i="11"/>
  <c r="L132" i="11"/>
  <c r="B133" i="11"/>
  <c r="C133" i="11"/>
  <c r="D133" i="11"/>
  <c r="E133" i="11"/>
  <c r="F133" i="11"/>
  <c r="G133" i="11"/>
  <c r="I133" i="11"/>
  <c r="J133" i="11"/>
  <c r="K133" i="11"/>
  <c r="L133" i="11"/>
  <c r="B134" i="11"/>
  <c r="C134" i="11"/>
  <c r="D134" i="11"/>
  <c r="E134" i="11"/>
  <c r="F134" i="11"/>
  <c r="G134" i="11"/>
  <c r="I134" i="11"/>
  <c r="J134" i="11"/>
  <c r="K134" i="11"/>
  <c r="L134" i="11"/>
  <c r="B135" i="11"/>
  <c r="C135" i="11"/>
  <c r="D135" i="11"/>
  <c r="E135" i="11"/>
  <c r="F135" i="11"/>
  <c r="G135" i="11"/>
  <c r="I135" i="11"/>
  <c r="J135" i="11"/>
  <c r="K135" i="11"/>
  <c r="L135" i="11"/>
  <c r="B136" i="11"/>
  <c r="C136" i="11"/>
  <c r="D136" i="11"/>
  <c r="E136" i="11"/>
  <c r="F136" i="11"/>
  <c r="G136" i="11"/>
  <c r="I136" i="11"/>
  <c r="J136" i="11"/>
  <c r="K136" i="11"/>
  <c r="L136" i="11"/>
  <c r="B137" i="11"/>
  <c r="C137" i="11"/>
  <c r="D137" i="11"/>
  <c r="E137" i="11"/>
  <c r="F137" i="11"/>
  <c r="G137" i="11"/>
  <c r="I137" i="11"/>
  <c r="J137" i="11"/>
  <c r="K137" i="11"/>
  <c r="L137" i="11"/>
  <c r="B138" i="11"/>
  <c r="C138" i="11"/>
  <c r="D138" i="11"/>
  <c r="E138" i="11"/>
  <c r="F138" i="11"/>
  <c r="G138" i="11"/>
  <c r="I138" i="11"/>
  <c r="J138" i="11"/>
  <c r="K138" i="11"/>
  <c r="L138" i="11"/>
  <c r="B139" i="11"/>
  <c r="C139" i="11"/>
  <c r="D139" i="11"/>
  <c r="E139" i="11"/>
  <c r="F139" i="11"/>
  <c r="G139" i="11"/>
  <c r="I139" i="11"/>
  <c r="J139" i="11"/>
  <c r="K139" i="11"/>
  <c r="L139" i="11"/>
  <c r="B140" i="11"/>
  <c r="C140" i="11"/>
  <c r="D140" i="11"/>
  <c r="E140" i="11"/>
  <c r="F140" i="11"/>
  <c r="G140" i="11"/>
  <c r="I140" i="11"/>
  <c r="J140" i="11"/>
  <c r="K140" i="11"/>
  <c r="L140" i="11"/>
  <c r="B141" i="11"/>
  <c r="C141" i="11"/>
  <c r="D141" i="11"/>
  <c r="E141" i="11"/>
  <c r="F141" i="11"/>
  <c r="G141" i="11"/>
  <c r="I141" i="11"/>
  <c r="J141" i="11"/>
  <c r="K141" i="11"/>
  <c r="L141" i="11"/>
  <c r="B142" i="11"/>
  <c r="C142" i="11"/>
  <c r="D142" i="11"/>
  <c r="E142" i="11"/>
  <c r="F142" i="11"/>
  <c r="G142" i="11"/>
  <c r="I142" i="11"/>
  <c r="J142" i="11"/>
  <c r="K142" i="11"/>
  <c r="L142" i="11"/>
  <c r="B143" i="11"/>
  <c r="C143" i="11"/>
  <c r="D143" i="11"/>
  <c r="E143" i="11"/>
  <c r="F143" i="11"/>
  <c r="G143" i="11"/>
  <c r="I143" i="11"/>
  <c r="J143" i="11"/>
  <c r="K143" i="11"/>
  <c r="L143" i="11"/>
  <c r="B144" i="11"/>
  <c r="C144" i="11"/>
  <c r="D144" i="11"/>
  <c r="E144" i="11"/>
  <c r="F144" i="11"/>
  <c r="G144" i="11"/>
  <c r="I144" i="11"/>
  <c r="J144" i="11"/>
  <c r="K144" i="11"/>
  <c r="L144" i="11"/>
  <c r="B145" i="11"/>
  <c r="C145" i="11"/>
  <c r="D145" i="11"/>
  <c r="E145" i="11"/>
  <c r="F145" i="11"/>
  <c r="G145" i="11"/>
  <c r="I145" i="11"/>
  <c r="J145" i="11"/>
  <c r="K145" i="11"/>
  <c r="L145" i="11"/>
  <c r="B146" i="11"/>
  <c r="C146" i="11"/>
  <c r="D146" i="11"/>
  <c r="E146" i="11"/>
  <c r="F146" i="11"/>
  <c r="G146" i="11"/>
  <c r="I146" i="11"/>
  <c r="J146" i="11"/>
  <c r="K146" i="11"/>
  <c r="L146" i="11"/>
  <c r="B147" i="11"/>
  <c r="C147" i="11"/>
  <c r="D147" i="11"/>
  <c r="E147" i="11"/>
  <c r="F147" i="11"/>
  <c r="G147" i="11"/>
  <c r="I147" i="11"/>
  <c r="J147" i="11"/>
  <c r="K147" i="11"/>
  <c r="L147" i="11"/>
  <c r="B148" i="11"/>
  <c r="C148" i="11"/>
  <c r="D148" i="11"/>
  <c r="E148" i="11"/>
  <c r="F148" i="11"/>
  <c r="G148" i="11"/>
  <c r="I148" i="11"/>
  <c r="J148" i="11"/>
  <c r="K148" i="11"/>
  <c r="L148" i="11"/>
  <c r="B149" i="11"/>
  <c r="C149" i="11"/>
  <c r="D149" i="11"/>
  <c r="E149" i="11"/>
  <c r="F149" i="11"/>
  <c r="G149" i="11"/>
  <c r="I149" i="11"/>
  <c r="J149" i="11"/>
  <c r="K149" i="11"/>
  <c r="L149" i="11"/>
  <c r="B150" i="11"/>
  <c r="C150" i="11"/>
  <c r="D150" i="11"/>
  <c r="E150" i="11"/>
  <c r="F150" i="11"/>
  <c r="G150" i="11"/>
  <c r="I150" i="11"/>
  <c r="J150" i="11"/>
  <c r="K150" i="11"/>
  <c r="L150" i="11"/>
  <c r="B151" i="11"/>
  <c r="C151" i="11"/>
  <c r="D151" i="11"/>
  <c r="E151" i="11"/>
  <c r="F151" i="11"/>
  <c r="G151" i="11"/>
  <c r="I151" i="11"/>
  <c r="J151" i="11"/>
  <c r="K151" i="11"/>
  <c r="L151" i="11"/>
  <c r="B152" i="11"/>
  <c r="C152" i="11"/>
  <c r="D152" i="11"/>
  <c r="E152" i="11"/>
  <c r="F152" i="11"/>
  <c r="G152" i="11"/>
  <c r="I152" i="11"/>
  <c r="J152" i="11"/>
  <c r="K152" i="11"/>
  <c r="L152" i="11"/>
  <c r="B153" i="11"/>
  <c r="C153" i="11"/>
  <c r="D153" i="11"/>
  <c r="E153" i="11"/>
  <c r="F153" i="11"/>
  <c r="G153" i="11"/>
  <c r="I153" i="11"/>
  <c r="J153" i="11"/>
  <c r="K153" i="11"/>
  <c r="L153" i="11"/>
  <c r="B154" i="11"/>
  <c r="C154" i="11"/>
  <c r="D154" i="11"/>
  <c r="E154" i="11"/>
  <c r="F154" i="11"/>
  <c r="G154" i="11"/>
  <c r="I154" i="11"/>
  <c r="J154" i="11"/>
  <c r="K154" i="11"/>
  <c r="L154" i="11"/>
  <c r="B155" i="11"/>
  <c r="C155" i="11"/>
  <c r="D155" i="11"/>
  <c r="E155" i="11"/>
  <c r="F155" i="11"/>
  <c r="G155" i="11"/>
  <c r="I155" i="11"/>
  <c r="J155" i="11"/>
  <c r="K155" i="11"/>
  <c r="L155" i="11"/>
  <c r="B156" i="11"/>
  <c r="C156" i="11"/>
  <c r="D156" i="11"/>
  <c r="E156" i="11"/>
  <c r="F156" i="11"/>
  <c r="G156" i="11"/>
  <c r="I156" i="11"/>
  <c r="J156" i="11"/>
  <c r="K156" i="11"/>
  <c r="L156" i="11"/>
  <c r="B157" i="11"/>
  <c r="C157" i="11"/>
  <c r="D157" i="11"/>
  <c r="E157" i="11"/>
  <c r="F157" i="11"/>
  <c r="G157" i="11"/>
  <c r="I157" i="11"/>
  <c r="J157" i="11"/>
  <c r="K157" i="11"/>
  <c r="L157" i="11"/>
  <c r="B158" i="11"/>
  <c r="C158" i="11"/>
  <c r="D158" i="11"/>
  <c r="E158" i="11"/>
  <c r="F158" i="11"/>
  <c r="G158" i="11"/>
  <c r="I158" i="11"/>
  <c r="J158" i="11"/>
  <c r="K158" i="11"/>
  <c r="L158" i="11"/>
  <c r="B159" i="11"/>
  <c r="C159" i="11"/>
  <c r="D159" i="11"/>
  <c r="E159" i="11"/>
  <c r="F159" i="11"/>
  <c r="G159" i="11"/>
  <c r="I159" i="11"/>
  <c r="J159" i="11"/>
  <c r="K159" i="11"/>
  <c r="L159" i="11"/>
  <c r="B160" i="11"/>
  <c r="C160" i="11"/>
  <c r="D160" i="11"/>
  <c r="E160" i="11"/>
  <c r="F160" i="11"/>
  <c r="G160" i="11"/>
  <c r="I160" i="11"/>
  <c r="J160" i="11"/>
  <c r="K160" i="11"/>
  <c r="L160" i="11"/>
  <c r="B161" i="11"/>
  <c r="C161" i="11"/>
  <c r="D161" i="11"/>
  <c r="E161" i="11"/>
  <c r="F161" i="11"/>
  <c r="G161" i="11"/>
  <c r="I161" i="11"/>
  <c r="J161" i="11"/>
  <c r="K161" i="11"/>
  <c r="L161" i="11"/>
  <c r="B162" i="11"/>
  <c r="C162" i="11"/>
  <c r="D162" i="11"/>
  <c r="E162" i="11"/>
  <c r="F162" i="11"/>
  <c r="G162" i="11"/>
  <c r="I162" i="11"/>
  <c r="J162" i="11"/>
  <c r="K162" i="11"/>
  <c r="L162" i="11"/>
  <c r="B163" i="11"/>
  <c r="C163" i="11"/>
  <c r="D163" i="11"/>
  <c r="E163" i="11"/>
  <c r="F163" i="11"/>
  <c r="G163" i="11"/>
  <c r="I163" i="11"/>
  <c r="J163" i="11"/>
  <c r="K163" i="11"/>
  <c r="L163" i="11"/>
  <c r="B164" i="11"/>
  <c r="C164" i="11"/>
  <c r="D164" i="11"/>
  <c r="E164" i="11"/>
  <c r="F164" i="11"/>
  <c r="G164" i="11"/>
  <c r="I164" i="11"/>
  <c r="J164" i="11"/>
  <c r="K164" i="11"/>
  <c r="L164" i="11"/>
  <c r="B165" i="11"/>
  <c r="C165" i="11"/>
  <c r="D165" i="11"/>
  <c r="E165" i="11"/>
  <c r="F165" i="11"/>
  <c r="G165" i="11"/>
  <c r="I165" i="11"/>
  <c r="J165" i="11"/>
  <c r="K165" i="11"/>
  <c r="L165" i="11"/>
  <c r="B166" i="11"/>
  <c r="C166" i="11"/>
  <c r="D166" i="11"/>
  <c r="E166" i="11"/>
  <c r="F166" i="11"/>
  <c r="G166" i="11"/>
  <c r="I166" i="11"/>
  <c r="J166" i="11"/>
  <c r="K166" i="11"/>
  <c r="L166" i="11"/>
  <c r="B167" i="11"/>
  <c r="C167" i="11"/>
  <c r="D167" i="11"/>
  <c r="E167" i="11"/>
  <c r="F167" i="11"/>
  <c r="G167" i="11"/>
  <c r="I167" i="11"/>
  <c r="J167" i="11"/>
  <c r="K167" i="11"/>
  <c r="L167" i="11"/>
  <c r="B168" i="11"/>
  <c r="C168" i="11"/>
  <c r="D168" i="11"/>
  <c r="E168" i="11"/>
  <c r="F168" i="11"/>
  <c r="G168" i="11"/>
  <c r="I168" i="11"/>
  <c r="J168" i="11"/>
  <c r="K168" i="11"/>
  <c r="L168" i="11"/>
  <c r="B169" i="11"/>
  <c r="C169" i="11"/>
  <c r="D169" i="11"/>
  <c r="E169" i="11"/>
  <c r="F169" i="11"/>
  <c r="G169" i="11"/>
  <c r="I169" i="11"/>
  <c r="J169" i="11"/>
  <c r="K169" i="11"/>
  <c r="L169" i="11"/>
  <c r="B170" i="11"/>
  <c r="C170" i="11"/>
  <c r="D170" i="11"/>
  <c r="E170" i="11"/>
  <c r="F170" i="11"/>
  <c r="G170" i="11"/>
  <c r="I170" i="11"/>
  <c r="J170" i="11"/>
  <c r="K170" i="11"/>
  <c r="L170" i="11"/>
  <c r="B171" i="11"/>
  <c r="C171" i="11"/>
  <c r="D171" i="11"/>
  <c r="E171" i="11"/>
  <c r="F171" i="11"/>
  <c r="G171" i="11"/>
  <c r="I171" i="11"/>
  <c r="J171" i="11"/>
  <c r="K171" i="11"/>
  <c r="L171" i="11"/>
  <c r="B172" i="11"/>
  <c r="C172" i="11"/>
  <c r="D172" i="11"/>
  <c r="E172" i="11"/>
  <c r="F172" i="11"/>
  <c r="G172" i="11"/>
  <c r="I172" i="11"/>
  <c r="J172" i="11"/>
  <c r="K172" i="11"/>
  <c r="L172" i="11"/>
  <c r="B173" i="11"/>
  <c r="C173" i="11"/>
  <c r="D173" i="11"/>
  <c r="E173" i="11"/>
  <c r="F173" i="11"/>
  <c r="G173" i="11"/>
  <c r="I173" i="11"/>
  <c r="J173" i="11"/>
  <c r="K173" i="11"/>
  <c r="L173" i="11"/>
  <c r="B174" i="11"/>
  <c r="C174" i="11"/>
  <c r="D174" i="11"/>
  <c r="E174" i="11"/>
  <c r="F174" i="11"/>
  <c r="G174" i="11"/>
  <c r="I174" i="11"/>
  <c r="J174" i="11"/>
  <c r="K174" i="11"/>
  <c r="L174" i="11"/>
  <c r="B175" i="11"/>
  <c r="C175" i="11"/>
  <c r="D175" i="11"/>
  <c r="E175" i="11"/>
  <c r="F175" i="11"/>
  <c r="G175" i="11"/>
  <c r="I175" i="11"/>
  <c r="J175" i="11"/>
  <c r="K175" i="11"/>
  <c r="L175" i="11"/>
  <c r="B176" i="11"/>
  <c r="C176" i="11"/>
  <c r="D176" i="11"/>
  <c r="E176" i="11"/>
  <c r="F176" i="11"/>
  <c r="G176" i="11"/>
  <c r="I176" i="11"/>
  <c r="J176" i="11"/>
  <c r="K176" i="11"/>
  <c r="L176" i="11"/>
  <c r="B177" i="11"/>
  <c r="C177" i="11"/>
  <c r="D177" i="11"/>
  <c r="E177" i="11"/>
  <c r="F177" i="11"/>
  <c r="G177" i="11"/>
  <c r="I177" i="11"/>
  <c r="J177" i="11"/>
  <c r="K177" i="11"/>
  <c r="L177" i="11"/>
  <c r="B178" i="11"/>
  <c r="C178" i="11"/>
  <c r="D178" i="11"/>
  <c r="E178" i="11"/>
  <c r="F178" i="11"/>
  <c r="G178" i="11"/>
  <c r="I178" i="11"/>
  <c r="J178" i="11"/>
  <c r="K178" i="11"/>
  <c r="L178" i="11"/>
  <c r="B179" i="11"/>
  <c r="C179" i="11"/>
  <c r="D179" i="11"/>
  <c r="E179" i="11"/>
  <c r="F179" i="11"/>
  <c r="G179" i="11"/>
  <c r="I179" i="11"/>
  <c r="J179" i="11"/>
  <c r="K179" i="11"/>
  <c r="L179" i="11"/>
  <c r="B180" i="11"/>
  <c r="C180" i="11"/>
  <c r="D180" i="11"/>
  <c r="E180" i="11"/>
  <c r="F180" i="11"/>
  <c r="G180" i="11"/>
  <c r="I180" i="11"/>
  <c r="J180" i="11"/>
  <c r="K180" i="11"/>
  <c r="L180" i="11"/>
  <c r="B181" i="11"/>
  <c r="C181" i="11"/>
  <c r="D181" i="11"/>
  <c r="E181" i="11"/>
  <c r="F181" i="11"/>
  <c r="G181" i="11"/>
  <c r="I181" i="11"/>
  <c r="J181" i="11"/>
  <c r="K181" i="11"/>
  <c r="L181" i="11"/>
  <c r="B182" i="11"/>
  <c r="C182" i="11"/>
  <c r="D182" i="11"/>
  <c r="E182" i="11"/>
  <c r="F182" i="11"/>
  <c r="G182" i="11"/>
  <c r="I182" i="11"/>
  <c r="J182" i="11"/>
  <c r="K182" i="11"/>
  <c r="L182" i="11"/>
  <c r="B183" i="11"/>
  <c r="C183" i="11"/>
  <c r="D183" i="11"/>
  <c r="E183" i="11"/>
  <c r="F183" i="11"/>
  <c r="G183" i="11"/>
  <c r="I183" i="11"/>
  <c r="J183" i="11"/>
  <c r="K183" i="11"/>
  <c r="L183" i="11"/>
  <c r="B184" i="11"/>
  <c r="C184" i="11"/>
  <c r="D184" i="11"/>
  <c r="E184" i="11"/>
  <c r="F184" i="11"/>
  <c r="G184" i="11"/>
  <c r="I184" i="11"/>
  <c r="J184" i="11"/>
  <c r="K184" i="11"/>
  <c r="L184" i="11"/>
  <c r="B185" i="11"/>
  <c r="C185" i="11"/>
  <c r="D185" i="11"/>
  <c r="E185" i="11"/>
  <c r="F185" i="11"/>
  <c r="G185" i="11"/>
  <c r="I185" i="11"/>
  <c r="J185" i="11"/>
  <c r="K185" i="11"/>
  <c r="L185" i="11"/>
  <c r="B186" i="11"/>
  <c r="C186" i="11"/>
  <c r="D186" i="11"/>
  <c r="E186" i="11"/>
  <c r="F186" i="11"/>
  <c r="G186" i="11"/>
  <c r="I186" i="11"/>
  <c r="J186" i="11"/>
  <c r="K186" i="11"/>
  <c r="L186" i="11"/>
  <c r="B187" i="11"/>
  <c r="C187" i="11"/>
  <c r="D187" i="11"/>
  <c r="E187" i="11"/>
  <c r="F187" i="11"/>
  <c r="G187" i="11"/>
  <c r="I187" i="11"/>
  <c r="J187" i="11"/>
  <c r="K187" i="11"/>
  <c r="L187" i="11"/>
  <c r="B188" i="11"/>
  <c r="C188" i="11"/>
  <c r="D188" i="11"/>
  <c r="E188" i="11"/>
  <c r="F188" i="11"/>
  <c r="G188" i="11"/>
  <c r="I188" i="11"/>
  <c r="J188" i="11"/>
  <c r="K188" i="11"/>
  <c r="L188" i="11"/>
  <c r="B189" i="11"/>
  <c r="C189" i="11"/>
  <c r="D189" i="11"/>
  <c r="E189" i="11"/>
  <c r="F189" i="11"/>
  <c r="G189" i="11"/>
  <c r="I189" i="11"/>
  <c r="J189" i="11"/>
  <c r="K189" i="11"/>
  <c r="L189" i="11"/>
  <c r="B190" i="11"/>
  <c r="C190" i="11"/>
  <c r="D190" i="11"/>
  <c r="E190" i="11"/>
  <c r="F190" i="11"/>
  <c r="G190" i="11"/>
  <c r="I190" i="11"/>
  <c r="J190" i="11"/>
  <c r="K190" i="11"/>
  <c r="L190" i="11"/>
  <c r="B191" i="11"/>
  <c r="C191" i="11"/>
  <c r="D191" i="11"/>
  <c r="E191" i="11"/>
  <c r="F191" i="11"/>
  <c r="G191" i="11"/>
  <c r="I191" i="11"/>
  <c r="J191" i="11"/>
  <c r="K191" i="11"/>
  <c r="L191" i="11"/>
  <c r="B192" i="11"/>
  <c r="C192" i="11"/>
  <c r="D192" i="11"/>
  <c r="E192" i="11"/>
  <c r="F192" i="11"/>
  <c r="G192" i="11"/>
  <c r="I192" i="11"/>
  <c r="J192" i="11"/>
  <c r="K192" i="11"/>
  <c r="L192" i="11"/>
  <c r="B193" i="11"/>
  <c r="C193" i="11"/>
  <c r="D193" i="11"/>
  <c r="E193" i="11"/>
  <c r="F193" i="11"/>
  <c r="G193" i="11"/>
  <c r="I193" i="11"/>
  <c r="J193" i="11"/>
  <c r="K193" i="11"/>
  <c r="L193" i="11"/>
  <c r="B194" i="11"/>
  <c r="C194" i="11"/>
  <c r="D194" i="11"/>
  <c r="E194" i="11"/>
  <c r="F194" i="11"/>
  <c r="G194" i="11"/>
  <c r="I194" i="11"/>
  <c r="J194" i="11"/>
  <c r="K194" i="11"/>
  <c r="L194" i="11"/>
  <c r="B195" i="11"/>
  <c r="C195" i="11"/>
  <c r="D195" i="11"/>
  <c r="E195" i="11"/>
  <c r="F195" i="11"/>
  <c r="G195" i="11"/>
  <c r="I195" i="11"/>
  <c r="J195" i="11"/>
  <c r="K195" i="11"/>
  <c r="L195" i="11"/>
  <c r="B196" i="11"/>
  <c r="C196" i="11"/>
  <c r="D196" i="11"/>
  <c r="E196" i="11"/>
  <c r="F196" i="11"/>
  <c r="G196" i="11"/>
  <c r="I196" i="11"/>
  <c r="J196" i="11"/>
  <c r="K196" i="11"/>
  <c r="L196" i="11"/>
  <c r="B197" i="11"/>
  <c r="C197" i="11"/>
  <c r="D197" i="11"/>
  <c r="E197" i="11"/>
  <c r="F197" i="11"/>
  <c r="G197" i="11"/>
  <c r="I197" i="11"/>
  <c r="J197" i="11"/>
  <c r="K197" i="11"/>
  <c r="L197" i="11"/>
  <c r="B198" i="11"/>
  <c r="C198" i="11"/>
  <c r="D198" i="11"/>
  <c r="E198" i="11"/>
  <c r="F198" i="11"/>
  <c r="G198" i="11"/>
  <c r="I198" i="11"/>
  <c r="J198" i="11"/>
  <c r="K198" i="11"/>
  <c r="L198" i="11"/>
  <c r="B199" i="11"/>
  <c r="C199" i="11"/>
  <c r="D199" i="11"/>
  <c r="E199" i="11"/>
  <c r="F199" i="11"/>
  <c r="G199" i="11"/>
  <c r="I199" i="11"/>
  <c r="J199" i="11"/>
  <c r="K199" i="11"/>
  <c r="L199" i="11"/>
  <c r="B200" i="11"/>
  <c r="C200" i="11"/>
  <c r="D200" i="11"/>
  <c r="E200" i="11"/>
  <c r="F200" i="11"/>
  <c r="G200" i="11"/>
  <c r="I200" i="11"/>
  <c r="J200" i="11"/>
  <c r="K200" i="11"/>
  <c r="L200" i="11"/>
  <c r="L4" i="11"/>
  <c r="K4" i="11"/>
  <c r="J4" i="11"/>
  <c r="I4" i="11"/>
  <c r="G4" i="11"/>
  <c r="E4" i="11"/>
  <c r="F4" i="11"/>
  <c r="D4" i="11"/>
  <c r="C4" i="11"/>
  <c r="B4" i="11"/>
  <c r="I31" i="8" l="1"/>
  <c r="L31" i="8"/>
  <c r="M31" i="8"/>
  <c r="L29" i="8"/>
  <c r="J31" i="8"/>
  <c r="N31" i="8"/>
  <c r="K31" i="8"/>
  <c r="K29" i="8"/>
  <c r="J29" i="8"/>
  <c r="D38" i="8"/>
  <c r="E38" i="8"/>
  <c r="F38" i="8"/>
  <c r="I25" i="8"/>
  <c r="L25" i="8"/>
  <c r="N25" i="8"/>
  <c r="M25" i="8"/>
  <c r="K25" i="8"/>
  <c r="J25" i="8"/>
  <c r="N26" i="8"/>
  <c r="M26" i="8"/>
  <c r="K26" i="8"/>
  <c r="J26" i="8"/>
  <c r="J54" i="8" l="1"/>
  <c r="D50" i="8"/>
  <c r="K51" i="8"/>
  <c r="J51" i="8"/>
  <c r="E51" i="8"/>
  <c r="K50" i="8"/>
  <c r="J50" i="8"/>
  <c r="E50" i="8"/>
  <c r="K48" i="8"/>
  <c r="J48" i="8"/>
  <c r="K47" i="8"/>
  <c r="J47" i="8"/>
  <c r="K46" i="8"/>
  <c r="J46" i="8"/>
  <c r="N28" i="8"/>
  <c r="K28" i="8"/>
  <c r="K27" i="8"/>
  <c r="J28" i="8"/>
  <c r="I28" i="8"/>
  <c r="L28" i="8"/>
  <c r="M28" i="8"/>
  <c r="I27" i="8"/>
  <c r="L27" i="8"/>
  <c r="M27" i="8"/>
  <c r="N27" i="8"/>
  <c r="J27" i="8"/>
  <c r="K21" i="8"/>
  <c r="J24" i="8"/>
  <c r="S6" i="8"/>
  <c r="N33" i="8"/>
  <c r="M33" i="8"/>
  <c r="K33" i="8"/>
  <c r="J33" i="8"/>
  <c r="E33" i="8"/>
  <c r="E32" i="8"/>
  <c r="N32" i="8"/>
  <c r="M32" i="8"/>
  <c r="K32" i="8"/>
  <c r="J32" i="8"/>
  <c r="P56" i="8"/>
  <c r="O56" i="8"/>
  <c r="N56" i="8"/>
  <c r="M56" i="8"/>
  <c r="E55" i="8"/>
  <c r="D55" i="8"/>
  <c r="P54" i="8"/>
  <c r="O54" i="8"/>
  <c r="N54" i="8"/>
  <c r="M54" i="8"/>
  <c r="E54" i="8"/>
  <c r="E53" i="8"/>
  <c r="D53" i="8"/>
  <c r="E52" i="8"/>
  <c r="D52" i="8"/>
  <c r="M48" i="8"/>
  <c r="P47" i="8"/>
  <c r="O47" i="8"/>
  <c r="N47" i="8"/>
  <c r="M47" i="8"/>
  <c r="P46" i="8"/>
  <c r="O46" i="8"/>
  <c r="N46" i="8"/>
  <c r="M46" i="8"/>
  <c r="E46" i="8"/>
  <c r="N29" i="8"/>
  <c r="M29" i="8"/>
  <c r="N23" i="8"/>
  <c r="M23" i="8"/>
  <c r="L23" i="8"/>
  <c r="N21" i="8"/>
  <c r="M21" i="8"/>
  <c r="AE10" i="8"/>
  <c r="L21" i="8"/>
  <c r="I23" i="8"/>
  <c r="J23" i="8"/>
  <c r="K23" i="8"/>
  <c r="J21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F10" i="8"/>
  <c r="AG10" i="8"/>
  <c r="I21" i="8"/>
  <c r="AE9" i="8"/>
  <c r="AE8" i="8"/>
  <c r="AE7" i="8"/>
  <c r="AD8" i="8"/>
  <c r="AE6" i="8"/>
  <c r="AD6" i="8"/>
  <c r="AD9" i="8"/>
  <c r="AD7" i="8"/>
  <c r="AC6" i="8"/>
  <c r="W9" i="8"/>
  <c r="X9" i="8"/>
  <c r="W6" i="8"/>
  <c r="U6" i="8"/>
  <c r="W7" i="8"/>
  <c r="U7" i="8"/>
  <c r="W8" i="8"/>
  <c r="U8" i="8"/>
  <c r="U9" i="8"/>
  <c r="V6" i="8"/>
  <c r="X6" i="8"/>
  <c r="X7" i="8"/>
  <c r="V7" i="8"/>
  <c r="V8" i="8"/>
  <c r="V9" i="8"/>
  <c r="X8" i="8"/>
  <c r="T9" i="8"/>
  <c r="T8" i="8"/>
  <c r="T7" i="8"/>
  <c r="H8" i="8"/>
  <c r="T6" i="8"/>
  <c r="P7" i="8"/>
  <c r="O7" i="8"/>
  <c r="P8" i="8"/>
  <c r="O8" i="8"/>
  <c r="P9" i="8"/>
  <c r="O9" i="8"/>
  <c r="P6" i="8"/>
  <c r="O6" i="8"/>
  <c r="S9" i="8"/>
  <c r="S8" i="8"/>
  <c r="S7" i="8"/>
  <c r="R6" i="8"/>
  <c r="R7" i="8"/>
  <c r="R8" i="8"/>
  <c r="R9" i="8"/>
  <c r="Q9" i="8"/>
  <c r="Q8" i="8"/>
  <c r="Q7" i="8"/>
  <c r="Q6" i="8"/>
  <c r="N9" i="8"/>
  <c r="N8" i="8"/>
  <c r="N7" i="8"/>
  <c r="N6" i="8"/>
  <c r="M8" i="8"/>
  <c r="M9" i="8"/>
  <c r="M7" i="8"/>
  <c r="M6" i="8"/>
  <c r="L6" i="8"/>
  <c r="I6" i="8"/>
  <c r="I29" i="8"/>
  <c r="N24" i="8"/>
  <c r="M24" i="8"/>
  <c r="L24" i="8"/>
  <c r="K24" i="8"/>
  <c r="I24" i="8"/>
  <c r="L9" i="8"/>
  <c r="K9" i="8"/>
  <c r="J9" i="8"/>
  <c r="I9" i="8"/>
  <c r="L8" i="8"/>
  <c r="K8" i="8"/>
  <c r="J8" i="8"/>
  <c r="I8" i="8"/>
  <c r="L7" i="8"/>
  <c r="K7" i="8"/>
  <c r="J7" i="8"/>
  <c r="I7" i="8"/>
  <c r="K6" i="8"/>
  <c r="J6" i="8"/>
  <c r="F18" i="9"/>
  <c r="E18" i="9"/>
  <c r="F13" i="9"/>
  <c r="F17" i="9"/>
  <c r="I14" i="9"/>
  <c r="E9" i="9"/>
  <c r="E11" i="9"/>
  <c r="I15" i="9"/>
  <c r="H15" i="9"/>
  <c r="H14" i="9"/>
  <c r="H12" i="9"/>
  <c r="I12" i="9"/>
  <c r="I11" i="9"/>
  <c r="H11" i="9"/>
  <c r="E14" i="9"/>
  <c r="E15" i="9"/>
  <c r="E16" i="9"/>
  <c r="E17" i="9"/>
  <c r="F16" i="9"/>
  <c r="F15" i="9"/>
  <c r="F14" i="9"/>
  <c r="E13" i="9"/>
  <c r="F12" i="9"/>
  <c r="F11" i="9"/>
  <c r="E12" i="9"/>
  <c r="F9" i="9"/>
  <c r="F6" i="9"/>
  <c r="E6" i="9"/>
  <c r="K56" i="8"/>
  <c r="J56" i="8"/>
  <c r="K55" i="8"/>
  <c r="J55" i="8"/>
  <c r="K54" i="8"/>
  <c r="K53" i="8"/>
  <c r="J53" i="8"/>
  <c r="K52" i="8"/>
  <c r="J52" i="8"/>
  <c r="F10" i="8"/>
  <c r="E10" i="8"/>
  <c r="AF9" i="8"/>
  <c r="AC9" i="8"/>
  <c r="AB9" i="8"/>
  <c r="H9" i="8"/>
  <c r="G9" i="8"/>
  <c r="F9" i="8"/>
  <c r="E9" i="8"/>
  <c r="AF8" i="8"/>
  <c r="AC8" i="8"/>
  <c r="AB8" i="8"/>
  <c r="G8" i="8"/>
  <c r="F8" i="8"/>
  <c r="E8" i="8"/>
  <c r="AF7" i="8"/>
  <c r="AC7" i="8"/>
  <c r="AB7" i="8"/>
  <c r="H7" i="8"/>
  <c r="G7" i="8"/>
  <c r="F7" i="8"/>
  <c r="E7" i="8"/>
  <c r="AF6" i="8"/>
  <c r="AB6" i="8"/>
  <c r="H6" i="8"/>
  <c r="G6" i="8"/>
  <c r="F6" i="8"/>
  <c r="E6" i="8"/>
  <c r="G27" i="8" l="1"/>
  <c r="F27" i="8"/>
  <c r="E27" i="8"/>
  <c r="F32" i="8"/>
  <c r="G32" i="8"/>
  <c r="G28" i="8"/>
  <c r="D32" i="8"/>
  <c r="E28" i="8"/>
  <c r="F28" i="8"/>
  <c r="G33" i="8"/>
  <c r="F33" i="8"/>
  <c r="AD5" i="8"/>
  <c r="AE5" i="8"/>
  <c r="T5" i="8"/>
  <c r="M49" i="8"/>
  <c r="M52" i="8"/>
  <c r="M50" i="8"/>
  <c r="F49" i="8"/>
  <c r="E30" i="8"/>
  <c r="E26" i="8"/>
  <c r="G31" i="8"/>
  <c r="D28" i="8" l="1"/>
  <c r="D27" i="8"/>
  <c r="D56" i="8"/>
  <c r="E56" i="8"/>
  <c r="F50" i="8"/>
  <c r="E47" i="8"/>
  <c r="F53" i="8"/>
  <c r="D47" i="8"/>
  <c r="F55" i="8"/>
  <c r="F54" i="8"/>
  <c r="G26" i="8"/>
  <c r="F52" i="8"/>
  <c r="D46" i="8"/>
  <c r="F51" i="8"/>
  <c r="F48" i="8"/>
  <c r="F47" i="8"/>
  <c r="F56" i="8"/>
  <c r="F46" i="8"/>
  <c r="E25" i="8"/>
  <c r="G24" i="8"/>
  <c r="G25" i="8"/>
  <c r="F25" i="8"/>
  <c r="E24" i="8"/>
  <c r="F24" i="8"/>
  <c r="E29" i="8"/>
  <c r="F26" i="8"/>
  <c r="E21" i="8"/>
  <c r="F21" i="8"/>
  <c r="E23" i="8"/>
  <c r="F23" i="8"/>
  <c r="G23" i="8"/>
  <c r="G21" i="8"/>
  <c r="D21" i="8" l="1"/>
  <c r="D23" i="8"/>
  <c r="H4" i="10" l="1"/>
  <c r="J4" i="10"/>
  <c r="F4" i="10"/>
  <c r="D4" i="10" l="1"/>
  <c r="K4" i="10" s="1"/>
  <c r="G4" i="10" l="1"/>
  <c r="E4" i="10"/>
  <c r="I4" i="10"/>
  <c r="D10" i="8" l="1"/>
  <c r="E10" i="9" l="1"/>
  <c r="E7" i="9" l="1"/>
  <c r="J7" i="9" s="1"/>
  <c r="D31" i="8"/>
  <c r="C39" i="8"/>
  <c r="D29" i="8"/>
  <c r="D22" i="8"/>
  <c r="AG5" i="8"/>
  <c r="AA5" i="8"/>
  <c r="Y5" i="8"/>
  <c r="I5" i="8" l="1"/>
  <c r="L5" i="8"/>
  <c r="AC5" i="8"/>
  <c r="Q5" i="8"/>
  <c r="D25" i="8"/>
  <c r="S5" i="8"/>
  <c r="R5" i="8"/>
  <c r="O5" i="8"/>
  <c r="N5" i="8"/>
  <c r="D8" i="8"/>
  <c r="M5" i="8"/>
  <c r="U5" i="8"/>
  <c r="X5" i="8"/>
  <c r="P5" i="8"/>
  <c r="D24" i="8"/>
  <c r="D33" i="8"/>
  <c r="C6" i="12" s="1"/>
  <c r="H5" i="8"/>
  <c r="AB5" i="8"/>
  <c r="AF5" i="8"/>
  <c r="W5" i="8"/>
  <c r="V5" i="8"/>
  <c r="C38" i="8"/>
  <c r="K5" i="8"/>
  <c r="D7" i="8"/>
  <c r="D9" i="8"/>
  <c r="D26" i="8"/>
  <c r="J5" i="8"/>
  <c r="F5" i="8"/>
  <c r="G5" i="8"/>
  <c r="D6" i="8"/>
  <c r="E5" i="8"/>
  <c r="C13" i="12" l="1"/>
  <c r="E13" i="12" s="1"/>
  <c r="C11" i="12"/>
  <c r="E11" i="12" s="1"/>
  <c r="D30" i="8"/>
  <c r="D5" i="8"/>
  <c r="D6" i="12" s="1"/>
  <c r="E6" i="12" s="1"/>
  <c r="F7" i="9" l="1"/>
  <c r="F10" i="9" l="1"/>
  <c r="J8" i="9" s="1"/>
  <c r="J6" i="9" l="1"/>
</calcChain>
</file>

<file path=xl/comments1.xml><?xml version="1.0" encoding="utf-8"?>
<comments xmlns="http://schemas.openxmlformats.org/spreadsheetml/2006/main">
  <authors>
    <author>Carlos Amado Aróstica Olave</author>
    <author>13255718-7</author>
    <author>Marta Torres M. (HHM)</author>
    <author>Carlos Arostica O.(HHM)</author>
  </authors>
  <commentList>
    <comment ref="BL2" authorId="0" shapeId="0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 MEDIDAS FARMACOLÓGICAS Y NO FARMACOLÓGICAS DEL DOLOR </t>
        </r>
      </text>
    </comment>
    <comment ref="B3" authorId="1" shapeId="0">
      <text>
        <r>
          <rPr>
            <sz val="9"/>
            <color indexed="81"/>
            <rFont val="Tahoma"/>
            <family val="2"/>
          </rPr>
          <t>Insitucional: corresponde a FONASA-PRAIS</t>
        </r>
      </text>
    </comment>
    <comment ref="E3" authorId="1" shapeId="0">
      <text>
        <r>
          <rPr>
            <b/>
            <sz val="9"/>
            <color indexed="81"/>
            <rFont val="Tahoma"/>
            <family val="2"/>
          </rPr>
          <t>HORA DEL PARTO</t>
        </r>
      </text>
    </comment>
    <comment ref="M3" authorId="1" shapeId="0">
      <text>
        <r>
          <rPr>
            <sz val="9"/>
            <color indexed="81"/>
            <rFont val="Tahoma"/>
            <family val="2"/>
          </rPr>
          <t>PERGUNTAR SI SE CONSIDERA PERTENECIENTE O NO A PUEBLO ORIGINARIO</t>
        </r>
      </text>
    </comment>
    <comment ref="X3" authorId="1" shapeId="0">
      <text>
        <r>
          <rPr>
            <sz val="9"/>
            <color indexed="81"/>
            <rFont val="Tahoma"/>
            <family val="2"/>
          </rPr>
          <t>PONER "SI" SI TIENE CUALQUIER OTRA PATOLOGÍA</t>
        </r>
      </text>
    </comment>
    <comment ref="Y3" authorId="1" shapeId="0">
      <text>
        <r>
          <rPr>
            <sz val="9"/>
            <color indexed="81"/>
            <rFont val="Tahoma"/>
            <family val="2"/>
          </rPr>
          <t>PONER</t>
        </r>
        <r>
          <rPr>
            <b/>
            <sz val="9"/>
            <color indexed="81"/>
            <rFont val="Tahoma"/>
            <family val="2"/>
          </rPr>
          <t xml:space="preserve"> NÚMERO</t>
        </r>
        <r>
          <rPr>
            <sz val="9"/>
            <color indexed="81"/>
            <rFont val="Tahoma"/>
            <family val="2"/>
          </rPr>
          <t xml:space="preserve"> DE ARO</t>
        </r>
      </text>
    </comment>
    <comment ref="AE3" authorId="1" shapeId="0">
      <text>
        <r>
          <rPr>
            <sz val="9"/>
            <color indexed="81"/>
            <rFont val="Tahoma"/>
            <family val="2"/>
          </rPr>
          <t>Poner "SI" sólo en caso que sea SGB (+) y se le administró ATB por ese motivo, no por RPM o por prematurez.</t>
        </r>
      </text>
    </comment>
    <comment ref="AI3" authorId="1" shapeId="0">
      <text>
        <r>
          <rPr>
            <b/>
            <sz val="9"/>
            <color indexed="81"/>
            <rFont val="Tahoma"/>
            <family val="2"/>
          </rPr>
          <t>13255718-7: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3" authorId="1" shapeId="0">
      <text>
        <r>
          <rPr>
            <sz val="9"/>
            <color indexed="81"/>
            <rFont val="Tahoma"/>
            <family val="2"/>
          </rPr>
          <t>CONTAR DESDE 4CM EN ADELANTE. SI TIENE MEMBRANAS ROTAS, SE CUENTAN DESDE AHÍ EN ADELANTE.</t>
        </r>
      </text>
    </comment>
    <comment ref="AU3" authorId="2" shapeId="0">
      <text>
        <r>
          <rPr>
            <b/>
            <sz val="9"/>
            <color indexed="81"/>
            <rFont val="Tahoma"/>
            <family val="2"/>
          </rPr>
          <t>SI EN ALGÚN MOMENTOI DE LE INDICÓ MONITOREO CONTÍNUO, NO CUMPLE CRITERIO</t>
        </r>
      </text>
    </comment>
    <comment ref="AV3" authorId="2" shapeId="0">
      <text>
        <r>
          <rPr>
            <b/>
            <sz val="9"/>
            <color indexed="81"/>
            <rFont val="Tahoma"/>
            <family val="2"/>
          </rPr>
          <t xml:space="preserve">LIVIANO
LÍQUIDO
AYUNO </t>
        </r>
      </text>
    </comment>
    <comment ref="AW3" authorId="1" shapeId="0">
      <text>
        <r>
          <rPr>
            <b/>
            <sz val="9"/>
            <color indexed="81"/>
            <rFont val="Tahoma"/>
            <family val="2"/>
          </rPr>
          <t>DISTÓCICO:</t>
        </r>
        <r>
          <rPr>
            <sz val="9"/>
            <color indexed="81"/>
            <rFont val="Tahoma"/>
            <family val="2"/>
          </rPr>
          <t xml:space="preserve"> SÓLO LOS INSTRUMENTALIZADOS.
</t>
        </r>
        <r>
          <rPr>
            <b/>
            <sz val="9"/>
            <color indexed="81"/>
            <rFont val="Tahoma"/>
            <family val="2"/>
          </rPr>
          <t xml:space="preserve">CES. EMERGENCIA VITAL: </t>
        </r>
        <r>
          <rPr>
            <sz val="9"/>
            <color indexed="81"/>
            <rFont val="Tahoma"/>
            <family val="2"/>
          </rPr>
          <t xml:space="preserve">SE CONSIDERAN CES. URGENCIA.
</t>
        </r>
      </text>
    </comment>
    <comment ref="AY3" authorId="0" shapeId="0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Aplica solo para cesárea</t>
        </r>
      </text>
    </comment>
    <comment ref="BA3" authorId="2" shapeId="0">
      <text>
        <r>
          <rPr>
            <b/>
            <sz val="9"/>
            <color indexed="81"/>
            <rFont val="Tahoma"/>
            <family val="2"/>
          </rPr>
          <t>si se le ofreción parto vertical, cuclillas, cuatro puntos, u otros</t>
        </r>
      </text>
    </comment>
    <comment ref="BD3" authorId="3" shapeId="0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EN NÚMERO CORRESPONDE AL GRADO, I:Indemne , F: Fisura, E:Episiorrafia</t>
        </r>
      </text>
    </comment>
    <comment ref="BG3" authorId="2" shapeId="0">
      <text>
        <r>
          <rPr>
            <b/>
            <sz val="9"/>
            <color indexed="81"/>
            <rFont val="Tahoma"/>
            <family val="2"/>
          </rPr>
          <t>HEMATOMAS, INVERSIÓN UTERINA, PROPAGACIÓN DE PISIOTOMÍA, OTROS.</t>
        </r>
      </text>
    </comment>
    <comment ref="CD3" authorId="0" shapeId="0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 Valores con decimales ingresar con </t>
        </r>
        <r>
          <rPr>
            <b/>
            <sz val="9"/>
            <color indexed="81"/>
            <rFont val="Calibri"/>
            <family val="2"/>
          </rPr>
          <t>coma</t>
        </r>
        <r>
          <rPr>
            <sz val="9"/>
            <color indexed="81"/>
            <rFont val="Calibri"/>
            <family val="2"/>
          </rPr>
          <t xml:space="preserve"> (,) ejemplo
49,5</t>
        </r>
      </text>
    </comment>
    <comment ref="CH3" authorId="1" shapeId="0">
      <text>
        <r>
          <rPr>
            <b/>
            <sz val="9"/>
            <color indexed="81"/>
            <rFont val="Tahoma"/>
            <family val="2"/>
          </rPr>
          <t>1- SIN APEGO
2- DE 1 MIN a 10 MIN
3- DE 10 A 30 MIN
4- MÁS DE 30 MIN.</t>
        </r>
      </text>
    </comment>
    <comment ref="CZ3" authorId="3" shapeId="0">
      <text>
        <r>
          <rPr>
            <b/>
            <sz val="9"/>
            <color indexed="81"/>
            <rFont val="Tahoma"/>
            <family val="2"/>
          </rPr>
          <t>Carlos Arostica O.(HHM): Es la paciente que solamente se manejo con opciones farmacologicas</t>
        </r>
      </text>
    </comment>
    <comment ref="BM87" authorId="2" shapeId="0">
      <text>
        <r>
          <rPr>
            <b/>
            <sz val="9"/>
            <color indexed="81"/>
            <rFont val="Tahoma"/>
            <family val="2"/>
          </rPr>
          <t xml:space="preserve">TRANSFUSION DE PLAQUETAS PREVIO PAB
</t>
        </r>
      </text>
    </comment>
  </commentList>
</comments>
</file>

<file path=xl/comments2.xml><?xml version="1.0" encoding="utf-8"?>
<comments xmlns="http://schemas.openxmlformats.org/spreadsheetml/2006/main">
  <authors>
    <author>Carlos Amado Aróstica Olave</author>
    <author>Carlos Arostica O.(HHM)</author>
  </authors>
  <commentList>
    <comment ref="U2" authorId="0" shapeId="0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INFORMACIÓN DEL LIBRO DE RN</t>
        </r>
      </text>
    </comment>
    <comment ref="Y5" authorId="1" shapeId="0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INFORMACIÓN DISPONIBLE LIBRO DE RN</t>
        </r>
      </text>
    </comment>
  </commentList>
</comments>
</file>

<file path=xl/sharedStrings.xml><?xml version="1.0" encoding="utf-8"?>
<sst xmlns="http://schemas.openxmlformats.org/spreadsheetml/2006/main" count="584" uniqueCount="379">
  <si>
    <t>Hora</t>
  </si>
  <si>
    <t>Nombre  completo</t>
  </si>
  <si>
    <t>RUN</t>
  </si>
  <si>
    <t>DV</t>
  </si>
  <si>
    <t>Edad</t>
  </si>
  <si>
    <t>IMC</t>
  </si>
  <si>
    <t>Paridad</t>
  </si>
  <si>
    <t>1°-2°-3°</t>
  </si>
  <si>
    <t>Monitor</t>
  </si>
  <si>
    <t>Inducción</t>
  </si>
  <si>
    <t>N° TV</t>
  </si>
  <si>
    <t>Rotura membrana</t>
  </si>
  <si>
    <t>Tipo de parto</t>
  </si>
  <si>
    <t>Posición materna parto</t>
  </si>
  <si>
    <t>Estado periné</t>
  </si>
  <si>
    <t>Esteriliz.</t>
  </si>
  <si>
    <t>Revision</t>
  </si>
  <si>
    <t>Analgesia NO farmac.</t>
  </si>
  <si>
    <t>SEXO</t>
  </si>
  <si>
    <t xml:space="preserve">Peso </t>
  </si>
  <si>
    <t>Talla</t>
  </si>
  <si>
    <t>Apgar al minuto</t>
  </si>
  <si>
    <t>Apgar a los 5 min</t>
  </si>
  <si>
    <t>Tiempo de apego</t>
  </si>
  <si>
    <t xml:space="preserve">Acompañamiento Preparto </t>
  </si>
  <si>
    <t>Acompañamiento Parto</t>
  </si>
  <si>
    <t xml:space="preserve">Acomp. RN </t>
  </si>
  <si>
    <t>Motivo parto NO acompañado</t>
  </si>
  <si>
    <t xml:space="preserve">Persona acompañante </t>
  </si>
  <si>
    <t>Acompañante secciona cordón</t>
  </si>
  <si>
    <t>Causa cesarea</t>
  </si>
  <si>
    <t>NO</t>
  </si>
  <si>
    <t>SI</t>
  </si>
  <si>
    <t>NEGATIVO</t>
  </si>
  <si>
    <t>RPM</t>
  </si>
  <si>
    <t>SEMISENTADA</t>
  </si>
  <si>
    <t>MASCULINO</t>
  </si>
  <si>
    <t>PAREJA</t>
  </si>
  <si>
    <t>PENDIENTE</t>
  </si>
  <si>
    <t>INDEMNE</t>
  </si>
  <si>
    <t>REM</t>
  </si>
  <si>
    <t>MADRE</t>
  </si>
  <si>
    <t>RAM</t>
  </si>
  <si>
    <t>FEMENINO</t>
  </si>
  <si>
    <t>SALA</t>
  </si>
  <si>
    <t>URGENCIA</t>
  </si>
  <si>
    <t>FISURA</t>
  </si>
  <si>
    <t>NO LLEGA</t>
  </si>
  <si>
    <t>NO TIENE ACOMPAÑANTE</t>
  </si>
  <si>
    <t>HERMANA</t>
  </si>
  <si>
    <t>D. DORSAL</t>
  </si>
  <si>
    <t>DESGARRO G1</t>
  </si>
  <si>
    <t>CUCLILLAS</t>
  </si>
  <si>
    <t>UEGO</t>
  </si>
  <si>
    <t>EUTÓCICO</t>
  </si>
  <si>
    <t>POSITIVO</t>
  </si>
  <si>
    <t>OXITÓCICA</t>
  </si>
  <si>
    <t>MISOPROSTOL</t>
  </si>
  <si>
    <t>DISTÓCICO</t>
  </si>
  <si>
    <t>CUADRÚPEDA</t>
  </si>
  <si>
    <t>D. LATERAL</t>
  </si>
  <si>
    <t>OTRO</t>
  </si>
  <si>
    <t>DESGARRO G2</t>
  </si>
  <si>
    <t>NO DESEA</t>
  </si>
  <si>
    <t>RURALIDAD</t>
  </si>
  <si>
    <t>AMIGA</t>
  </si>
  <si>
    <t>INDETERMINADO</t>
  </si>
  <si>
    <t>SIN PASE DE MOVILIDAD</t>
  </si>
  <si>
    <t>NADIE</t>
  </si>
  <si>
    <t>EUTOCICO</t>
  </si>
  <si>
    <t>DISTOCICO</t>
  </si>
  <si>
    <t>CES. URGENCIA</t>
  </si>
  <si>
    <t>CES.ELECTIVA</t>
  </si>
  <si>
    <t>SGB</t>
  </si>
  <si>
    <t>VDRL</t>
  </si>
  <si>
    <t>REACTIVO</t>
  </si>
  <si>
    <t>NO REACTIVO</t>
  </si>
  <si>
    <t>DESGARRO G3 A</t>
  </si>
  <si>
    <t>DESGARRO G3 B</t>
  </si>
  <si>
    <t>DESGARRO G3 C</t>
  </si>
  <si>
    <t>DESGARRO G 4</t>
  </si>
  <si>
    <t>SENTADA</t>
  </si>
  <si>
    <t>LITOTOMIA</t>
  </si>
  <si>
    <t>DE PIE</t>
  </si>
  <si>
    <t>EPISIOTOMIA</t>
  </si>
  <si>
    <t>Manejo Quirúrgico de Inercia Uterina</t>
  </si>
  <si>
    <t>Histerectomía Obstétrica</t>
  </si>
  <si>
    <t>Tranfusión Sanguínea</t>
  </si>
  <si>
    <t>PUERPERIO</t>
  </si>
  <si>
    <t>LIQUIDO</t>
  </si>
  <si>
    <t>CERO</t>
  </si>
  <si>
    <t>COMÚN</t>
  </si>
  <si>
    <t>INSTRUMENTAL</t>
  </si>
  <si>
    <t>IOP</t>
  </si>
  <si>
    <t>Sem. Obst. (días)</t>
  </si>
  <si>
    <t>Sem. Obst. (semanas)</t>
  </si>
  <si>
    <t>SIN PESQUISA</t>
  </si>
  <si>
    <t>Anestesia Neuroaxial</t>
  </si>
  <si>
    <t>Analgesia endovenosa</t>
  </si>
  <si>
    <t>General</t>
  </si>
  <si>
    <t>Local</t>
  </si>
  <si>
    <t>Profes. Responsable                                                 (Nombre - apellido)</t>
  </si>
  <si>
    <t>Alumno                                    (Nombre - apellido)</t>
  </si>
  <si>
    <t>Trans Masculino</t>
  </si>
  <si>
    <t>Nº ARO</t>
  </si>
  <si>
    <t>N/A POR EG</t>
  </si>
  <si>
    <t>CONSULTORIO</t>
  </si>
  <si>
    <t>Posta Las Raíces</t>
  </si>
  <si>
    <t>Cecosf Tres Esquinas</t>
  </si>
  <si>
    <t>Cesfam Santa Clara</t>
  </si>
  <si>
    <t>H. Bulnes</t>
  </si>
  <si>
    <t>Particular</t>
  </si>
  <si>
    <t>Macro Red</t>
  </si>
  <si>
    <t>RESULTADO DEL RN</t>
  </si>
  <si>
    <t xml:space="preserve">INFORMACIÓN DE LOS PROFESIONALES </t>
  </si>
  <si>
    <t>FOLIO VALIDO</t>
  </si>
  <si>
    <t>FOLIO/S NULO/S</t>
  </si>
  <si>
    <t>ANESTESIA Y/O ANALGESIA DEL PARTO</t>
  </si>
  <si>
    <t>Óxido nitroso</t>
  </si>
  <si>
    <t>APEGO Y ACOMPAÑAMIENTO</t>
  </si>
  <si>
    <t>Clasificación de Robson</t>
  </si>
  <si>
    <t>Grupo 1</t>
  </si>
  <si>
    <t>Grupo 2.A</t>
  </si>
  <si>
    <t>Grupo 2.B</t>
  </si>
  <si>
    <t>Grupo 3</t>
  </si>
  <si>
    <t>Grupo 4</t>
  </si>
  <si>
    <t>Grupo 5.1</t>
  </si>
  <si>
    <t>Grupo 5.2</t>
  </si>
  <si>
    <t>Grupo 6</t>
  </si>
  <si>
    <t>Grupo 7</t>
  </si>
  <si>
    <t>Grupo 8</t>
  </si>
  <si>
    <t>Grupo 9</t>
  </si>
  <si>
    <t>Grupo 10</t>
  </si>
  <si>
    <t>Tipo de Régimen en Trabajo de Parto</t>
  </si>
  <si>
    <t>Hepatitis B</t>
  </si>
  <si>
    <t>Consultorio de Origen</t>
  </si>
  <si>
    <t>PARTO</t>
  </si>
  <si>
    <t>Nacionalidad</t>
  </si>
  <si>
    <t>Inmigrante</t>
  </si>
  <si>
    <t>Pueblo Originario</t>
  </si>
  <si>
    <t>Se toma VIH en Prepartos</t>
  </si>
  <si>
    <t>Apego</t>
  </si>
  <si>
    <t>Apego Canguro</t>
  </si>
  <si>
    <t>Control Prenatal</t>
  </si>
  <si>
    <t>Toma de VIH</t>
  </si>
  <si>
    <t>Trabajo de Parto</t>
  </si>
  <si>
    <t>Tipo de Parto</t>
  </si>
  <si>
    <t>Registro Civil</t>
  </si>
  <si>
    <t>Estampado de Placenta</t>
  </si>
  <si>
    <t>Retira Placenta</t>
  </si>
  <si>
    <t>Cuales Recuerdos                (De no entregar justificar motivo)</t>
  </si>
  <si>
    <t>Caracteristicas del Parto</t>
  </si>
  <si>
    <t>Institucional</t>
  </si>
  <si>
    <t>Prehospitalario</t>
  </si>
  <si>
    <t>Fuera de la Red Asistencial</t>
  </si>
  <si>
    <t>Domicilio con Atención Profesional</t>
  </si>
  <si>
    <t>Domicilio sin  Atención Profesional</t>
  </si>
  <si>
    <t>Origen Ingreso</t>
  </si>
  <si>
    <t>Visita Guiada</t>
  </si>
  <si>
    <t>Preeclampsia Severa</t>
  </si>
  <si>
    <t>Eclampsia</t>
  </si>
  <si>
    <t>Sepsis o Infección Sistemica Grave</t>
  </si>
  <si>
    <t>Infección Ovular o Corioamnionitis</t>
  </si>
  <si>
    <t>Otra Patología</t>
  </si>
  <si>
    <t>Ofrecimiento de posiciones                         alternativas del Parto</t>
  </si>
  <si>
    <t>Inercia Uterina</t>
  </si>
  <si>
    <t>Restos Placentarios</t>
  </si>
  <si>
    <t>Trauma</t>
  </si>
  <si>
    <t>Alteración de la Coagulación</t>
  </si>
  <si>
    <t>Balón Kinesico</t>
  </si>
  <si>
    <t>Lenteja de Parto</t>
  </si>
  <si>
    <t>Rebozo</t>
  </si>
  <si>
    <t>Aromaterapia</t>
  </si>
  <si>
    <t>Anest. Peridural administrada</t>
  </si>
  <si>
    <t>Sexo</t>
  </si>
  <si>
    <t xml:space="preserve"> Alumbramiento Diriguido</t>
  </si>
  <si>
    <t>Se tomo VIH en Sala</t>
  </si>
  <si>
    <t>Pesquisa</t>
  </si>
  <si>
    <t>Resultado</t>
  </si>
  <si>
    <t>Antibiotico por SGB (NO POR RPM)</t>
  </si>
  <si>
    <t xml:space="preserve">Resultado VDRL durante embarazo </t>
  </si>
  <si>
    <t>Tratamiento ATB por Sífilis al momento del Parto</t>
  </si>
  <si>
    <t>Examén Hepatitis B - Tomado</t>
  </si>
  <si>
    <t>Derivación a Especialista                                            (Gastro-Hepatologo)</t>
  </si>
  <si>
    <t>Aceleración ó Correción</t>
  </si>
  <si>
    <t>Placenta</t>
  </si>
  <si>
    <t>Ley N° 21.372 Dominga</t>
  </si>
  <si>
    <t>Revisión</t>
  </si>
  <si>
    <t>Instrumental</t>
  </si>
  <si>
    <t>No</t>
  </si>
  <si>
    <t>Tiempo membranas rotas</t>
  </si>
  <si>
    <t>Tiempo dilatación</t>
  </si>
  <si>
    <t>Tiempo Expulsivo</t>
  </si>
  <si>
    <t>Libertad de Movimiento                                                 en Trabajo de Parto</t>
  </si>
  <si>
    <t xml:space="preserve">   </t>
  </si>
  <si>
    <t>|</t>
  </si>
  <si>
    <t>CARACTERISTICAS DEL PARTO</t>
  </si>
  <si>
    <t>TOTAL</t>
  </si>
  <si>
    <t>PARTOS SEGÚN EDAD DE LA MADRE</t>
  </si>
  <si>
    <t>PARTOS PREMATUROS (considerar sobre 22 semanas)</t>
  </si>
  <si>
    <t>Uso de oxitocina profiláctica</t>
  </si>
  <si>
    <t>Anestesia y/o Analgesia del parto (medidas farmacologicas y no farmacológica)</t>
  </si>
  <si>
    <t>Contacto inmediato piel a piel &gt;30 minutos</t>
  </si>
  <si>
    <t>Lactancia materna en los primeros  60 minutos de vida  (RN con peso de 2.500 grs. o más)</t>
  </si>
  <si>
    <t>Atención con pertinencia cultural</t>
  </si>
  <si>
    <t>Pueblos Originarios</t>
  </si>
  <si>
    <t>Migrantes</t>
  </si>
  <si>
    <t>Trans</t>
  </si>
  <si>
    <t>&lt; 15 AÑOS</t>
  </si>
  <si>
    <t>15 A 19 AÑOS</t>
  </si>
  <si>
    <t>20 A 34 AÑOS</t>
  </si>
  <si>
    <t>≥35 AÑOS</t>
  </si>
  <si>
    <t>Partos prematuros menos de 24 semanas</t>
  </si>
  <si>
    <t>Partos prematuros de 24 a 28 semanas</t>
  </si>
  <si>
    <t>Partos prematuros de 29 a 32 semanas</t>
  </si>
  <si>
    <t>Partos prematuros de 33 a 36 semanas</t>
  </si>
  <si>
    <t>Oxido nitroso</t>
  </si>
  <si>
    <t>Medidas no farmacológicas</t>
  </si>
  <si>
    <t>Con la Madre</t>
  </si>
  <si>
    <t>Con el padre o acompañante significativo</t>
  </si>
  <si>
    <t xml:space="preserve">RN peso menor o igual a 2.499 grs. </t>
  </si>
  <si>
    <t>RN con peso de 2.500 grs. o más</t>
  </si>
  <si>
    <t>Masculino</t>
  </si>
  <si>
    <t>Femenino</t>
  </si>
  <si>
    <t>TOTAL PARTOS</t>
  </si>
  <si>
    <t>VAGINAL</t>
  </si>
  <si>
    <t>CESÁREA ELECTIVA</t>
  </si>
  <si>
    <t>CESÁREA URGENCIA</t>
  </si>
  <si>
    <t>PARTO PREHOSPITALARIO (en establecimientos salud o ambulancias)</t>
  </si>
  <si>
    <t>PARTOS FUERA DE LA RED DE SALUD</t>
  </si>
  <si>
    <t xml:space="preserve">ENTREGA DE PLACENTA A SOLICITUD </t>
  </si>
  <si>
    <t>EMBARAZO NO CONTROLADO</t>
  </si>
  <si>
    <t>PARTO EN DOMICILIO</t>
  </si>
  <si>
    <t>CON ATENCIÓN PROFESIONAL</t>
  </si>
  <si>
    <t>SIN ATENCIÓN PROFESIONAL</t>
  </si>
  <si>
    <t>CARACTERISTICAS DEL MODELO DE ATENCION</t>
  </si>
  <si>
    <t>&lt;28 semanas</t>
  </si>
  <si>
    <t>28 a 37 semanas</t>
  </si>
  <si>
    <t>38 semanas y más</t>
  </si>
  <si>
    <t>ESPONTANEO</t>
  </si>
  <si>
    <t>INDUCIDOS</t>
  </si>
  <si>
    <t>MECÁNICA</t>
  </si>
  <si>
    <t>FARMACOLÓGICA</t>
  </si>
  <si>
    <t>CONDUCCIÓN OXITÓCICA</t>
  </si>
  <si>
    <t>LIBERTAD DE MOVIMIENTO</t>
  </si>
  <si>
    <t>RÉGIMEN HÍDRICO AMPLIO</t>
  </si>
  <si>
    <t>POSICIÓN AL MOMENTO DEL EXPULSIVO</t>
  </si>
  <si>
    <t>LITOTOMÍA</t>
  </si>
  <si>
    <t>OTRAS POSICIONES</t>
  </si>
  <si>
    <t xml:space="preserve">ACOMPAÑAMIENTO  </t>
  </si>
  <si>
    <t>DURANTE EL TRABAJO DE PARTO</t>
  </si>
  <si>
    <t>SOLO EN EL EXPULSIVO</t>
  </si>
  <si>
    <t>SECCIÓN G: ESTERILIZACIONES QUIRÚRGICAS</t>
  </si>
  <si>
    <t xml:space="preserve">TOTAL      </t>
  </si>
  <si>
    <t>EDAD (en años)</t>
  </si>
  <si>
    <t>Menor 
de 20 años</t>
  </si>
  <si>
    <t>20 - 34 años</t>
  </si>
  <si>
    <t>35 y más años</t>
  </si>
  <si>
    <t>MUJER</t>
  </si>
  <si>
    <t>*</t>
  </si>
  <si>
    <t>HOMBRE</t>
  </si>
  <si>
    <t>* Corrección de dato con planilla de cirugias ginecologicas</t>
  </si>
  <si>
    <t>TIPO DE COMPLICACIÓN</t>
  </si>
  <si>
    <t>Atención institucional</t>
  </si>
  <si>
    <t>Parto en domicilio</t>
  </si>
  <si>
    <t>Hemorragia post parto</t>
  </si>
  <si>
    <t>Inercia</t>
  </si>
  <si>
    <t>Restos</t>
  </si>
  <si>
    <t>Desgarros III y IV</t>
  </si>
  <si>
    <t>Alteraciones de la coagulación</t>
  </si>
  <si>
    <t>Preeclampsia severa</t>
  </si>
  <si>
    <t>Sepsis o infección sistémica grave</t>
  </si>
  <si>
    <t>Manejo quirúrgico de la inercia uterina</t>
  </si>
  <si>
    <t>Histerectomía obstétrica</t>
  </si>
  <si>
    <t xml:space="preserve">SECCION A.2: CESÁREAS (responsabilidad del Médico Jefe del Servicio de Obstetricia) </t>
  </si>
  <si>
    <t>CLASIFICACIÓN SEGÚN MODELO DE ROBSON</t>
  </si>
  <si>
    <t>PROGRAMADA</t>
  </si>
  <si>
    <r>
      <rPr>
        <b/>
        <sz val="8"/>
        <rFont val="Verdana"/>
        <family val="2"/>
      </rPr>
      <t>GRUPO 1:</t>
    </r>
    <r>
      <rPr>
        <sz val="8"/>
        <rFont val="Verdana"/>
        <family val="2"/>
      </rPr>
      <t xml:space="preserve"> Nulíparas, embarazo único, cefálica, ≥37 semanas en trabajo de parto espontáneo</t>
    </r>
  </si>
  <si>
    <t>Total Robson Clasificadas</t>
  </si>
  <si>
    <r>
      <rPr>
        <b/>
        <sz val="8"/>
        <rFont val="Verdana"/>
        <family val="2"/>
      </rPr>
      <t>GRUPO 2:</t>
    </r>
    <r>
      <rPr>
        <sz val="8"/>
        <rFont val="Verdana"/>
        <family val="2"/>
      </rPr>
      <t xml:space="preserve"> Nulíparas, Embarazo único, cefálica, ≥37 semanas, cesárea programada o con inducción de trabajo de parto. </t>
    </r>
  </si>
  <si>
    <t xml:space="preserve">Total cesáreas grupo 2 </t>
  </si>
  <si>
    <t>electivas</t>
  </si>
  <si>
    <t>Por requerimiento materno</t>
  </si>
  <si>
    <t>urgencia</t>
  </si>
  <si>
    <r>
      <rPr>
        <b/>
        <sz val="8"/>
        <rFont val="Verdana"/>
        <family val="2"/>
      </rPr>
      <t>GRUPO 3:</t>
    </r>
    <r>
      <rPr>
        <sz val="8"/>
        <rFont val="Verdana"/>
        <family val="2"/>
      </rPr>
      <t xml:space="preserve"> Multípara, sin cesárea previa, embarazo único, cefálica, ≥37 semanas en trabajo de parto espontáneo</t>
    </r>
  </si>
  <si>
    <r>
      <rPr>
        <b/>
        <sz val="8"/>
        <rFont val="Verdana"/>
        <family val="2"/>
      </rPr>
      <t xml:space="preserve">GRUPO 4: </t>
    </r>
    <r>
      <rPr>
        <sz val="8"/>
        <rFont val="Verdana"/>
        <family val="2"/>
      </rPr>
      <t xml:space="preserve">Multípara, sin cesárea previa, embarazo único, cefálica, ≥37 semanas, cesárea programada o con inducción de trabajo de parto. </t>
    </r>
  </si>
  <si>
    <t>R2.a + R2.b Electivo+</t>
  </si>
  <si>
    <t>R2.a + R2.b Urgencia</t>
  </si>
  <si>
    <r>
      <rPr>
        <b/>
        <sz val="8"/>
        <rFont val="Verdana"/>
        <family val="2"/>
      </rPr>
      <t>GRUPO 5:</t>
    </r>
    <r>
      <rPr>
        <sz val="8"/>
        <rFont val="Verdana"/>
        <family val="2"/>
      </rPr>
      <t xml:space="preserve"> Multíparas con al menos 1 cesárea previa, embarazo unico, cefálica, ≥37 semanas. </t>
    </r>
  </si>
  <si>
    <r>
      <rPr>
        <b/>
        <sz val="8"/>
        <rFont val="Verdana"/>
        <family val="2"/>
      </rPr>
      <t>5.1:</t>
    </r>
    <r>
      <rPr>
        <sz val="8"/>
        <rFont val="Verdana"/>
        <family val="2"/>
      </rPr>
      <t xml:space="preserve"> con 1 cesárea previa</t>
    </r>
  </si>
  <si>
    <r>
      <rPr>
        <b/>
        <sz val="8"/>
        <rFont val="Verdana"/>
        <family val="2"/>
      </rPr>
      <t>5.2:</t>
    </r>
    <r>
      <rPr>
        <sz val="8"/>
        <rFont val="Verdana"/>
        <family val="2"/>
      </rPr>
      <t xml:space="preserve"> 2 o más cesareas previas</t>
    </r>
  </si>
  <si>
    <r>
      <rPr>
        <b/>
        <sz val="8"/>
        <rFont val="Verdana"/>
        <family val="2"/>
      </rPr>
      <t>GRUPO 6:</t>
    </r>
    <r>
      <rPr>
        <sz val="8"/>
        <rFont val="Verdana"/>
        <family val="2"/>
      </rPr>
      <t xml:space="preserve"> Nulíparas, embarazo único, podálica</t>
    </r>
  </si>
  <si>
    <t>R4.a + R4.b Electivo+</t>
  </si>
  <si>
    <t>R4.a + R4.b Urgencia</t>
  </si>
  <si>
    <r>
      <rPr>
        <b/>
        <sz val="8"/>
        <rFont val="Verdana"/>
        <family val="2"/>
      </rPr>
      <t>GRUPO 7:</t>
    </r>
    <r>
      <rPr>
        <sz val="8"/>
        <rFont val="Verdana"/>
        <family val="2"/>
      </rPr>
      <t xml:space="preserve"> Multíparas, embarazo único, podálica, con 1 o más cesáreas previas. </t>
    </r>
  </si>
  <si>
    <r>
      <rPr>
        <b/>
        <sz val="8"/>
        <rFont val="Verdana"/>
        <family val="2"/>
      </rPr>
      <t>GRUPO 8:</t>
    </r>
    <r>
      <rPr>
        <sz val="8"/>
        <rFont val="Verdana"/>
        <family val="2"/>
      </rPr>
      <t xml:space="preserve"> Todas las mujeres con embarazo múltiple, incluidas las que tienen 1 o más cesáreas previas. </t>
    </r>
  </si>
  <si>
    <r>
      <rPr>
        <b/>
        <sz val="8"/>
        <rFont val="Verdana"/>
        <family val="2"/>
      </rPr>
      <t>GRUPO 9:</t>
    </r>
    <r>
      <rPr>
        <sz val="8"/>
        <rFont val="Verdana"/>
        <family val="2"/>
      </rPr>
      <t xml:space="preserve"> Embarazo único, transverso y oblicuo, incluidas las que tienen una o mas cesáreas previas. </t>
    </r>
  </si>
  <si>
    <r>
      <rPr>
        <b/>
        <sz val="8"/>
        <rFont val="Verdana"/>
        <family val="2"/>
      </rPr>
      <t>GRUPO 10:</t>
    </r>
    <r>
      <rPr>
        <sz val="8"/>
        <rFont val="Verdana"/>
        <family val="2"/>
      </rPr>
      <t xml:space="preserve"> Todas las mujeres con embarazo único, cefálica, &lt;37 semanas, incluidas las que tienen 1 o más cesáreas. </t>
    </r>
  </si>
  <si>
    <t>Acompañamiento durante la cesárea</t>
  </si>
  <si>
    <t>TRIMESTRE</t>
  </si>
  <si>
    <t>Descripcion</t>
  </si>
  <si>
    <t>TOTAL (todas las edades)</t>
  </si>
  <si>
    <t>Menores de 15 años</t>
  </si>
  <si>
    <t>15 a 24 años</t>
  </si>
  <si>
    <t>25 y más años</t>
  </si>
  <si>
    <t>N°</t>
  </si>
  <si>
    <t>%</t>
  </si>
  <si>
    <t>N° total de mujeres atendidas por parto en el período    MAYO</t>
  </si>
  <si>
    <t>Tipo de Paciente</t>
  </si>
  <si>
    <t xml:space="preserve"> </t>
  </si>
  <si>
    <t>OBSERVACIONES</t>
  </si>
  <si>
    <t>Plan de parto</t>
  </si>
  <si>
    <t>Ligadura tardía del cordón (&gt; 60 segundos)</t>
  </si>
  <si>
    <t>Alojamiento conjunto en puerperio inmediato</t>
  </si>
  <si>
    <t>Discapacidad</t>
  </si>
  <si>
    <t>Privada de Libertad</t>
  </si>
  <si>
    <t>29 a 37 semanas</t>
  </si>
  <si>
    <t>39 semanas y más</t>
  </si>
  <si>
    <t>Parto Espontaneo</t>
  </si>
  <si>
    <t>Parto Inducido</t>
  </si>
  <si>
    <t>Urgencia</t>
  </si>
  <si>
    <t>Electiva</t>
  </si>
  <si>
    <t>Cesárea</t>
  </si>
  <si>
    <t>Espontaneo</t>
  </si>
  <si>
    <t>Inducido</t>
  </si>
  <si>
    <t>Eutocicos</t>
  </si>
  <si>
    <t>Distocicos</t>
  </si>
  <si>
    <t>Anemia severa postmetrorragia que requiere transfusión</t>
  </si>
  <si>
    <t>Manejo del dolor</t>
  </si>
  <si>
    <t>No farmacológico</t>
  </si>
  <si>
    <t>Farmacológico</t>
  </si>
  <si>
    <t>USO DE SALA SAIP (SI/NO)</t>
  </si>
  <si>
    <t>Ligadura Tardia del Cordón  (&gt; a 1 minuto)</t>
  </si>
  <si>
    <t>Anest. Peridural Solicitada por paciente</t>
  </si>
  <si>
    <t>Anest. Peridural indicada por médico GO</t>
  </si>
  <si>
    <t>Tiempo de espera entre indicación médica y administración de Anest. Peridural</t>
  </si>
  <si>
    <t>FECHA</t>
  </si>
  <si>
    <t xml:space="preserve">Manejo del Dolor No Farmacologico </t>
  </si>
  <si>
    <t>INDICADOR H2</t>
  </si>
  <si>
    <t>Porcentaje de mujeres con acompañamiento durante el preparto y parto</t>
  </si>
  <si>
    <t>Meta Nacional ≥ 
(O disminuir brecha)</t>
  </si>
  <si>
    <r>
      <rPr>
        <u/>
        <sz val="8"/>
        <color theme="3"/>
        <rFont val="Calibri"/>
        <family val="2"/>
        <scheme val="minor"/>
      </rPr>
      <t>Numerador</t>
    </r>
    <r>
      <rPr>
        <sz val="8"/>
        <color theme="3"/>
        <rFont val="Calibri"/>
        <family val="2"/>
        <scheme val="minor"/>
      </rPr>
      <t xml:space="preserve">:Número de partos con acompañamiento durante el preparto y parto </t>
    </r>
  </si>
  <si>
    <r>
      <rPr>
        <u/>
        <sz val="8"/>
        <color theme="3"/>
        <rFont val="Calibri"/>
        <family val="2"/>
        <scheme val="minor"/>
      </rPr>
      <t>Denominador</t>
    </r>
    <r>
      <rPr>
        <sz val="8"/>
        <color theme="3"/>
        <rFont val="Calibri"/>
        <family val="2"/>
        <scheme val="minor"/>
      </rPr>
      <t>:Número de partos de mujeres beneficiarias</t>
    </r>
  </si>
  <si>
    <t>Logro</t>
  </si>
  <si>
    <t>"REM A024
Sección A.1: Partos vaginales
Sección A.2: Cesáreas"
Celdas Sección A.1 C37:C38 + Sección A.2 Celdas C57:D57</t>
  </si>
  <si>
    <t>"REM A024
Sección A: Información general de partos"
Celda C12</t>
  </si>
  <si>
    <t>INDICADOR H3</t>
  </si>
  <si>
    <r>
      <rPr>
        <u/>
        <sz val="8"/>
        <color theme="3"/>
        <rFont val="Calibri"/>
        <family val="2"/>
        <scheme val="minor"/>
      </rPr>
      <t>Numerador</t>
    </r>
    <r>
      <rPr>
        <sz val="8"/>
        <color theme="3"/>
        <rFont val="Calibri"/>
        <family val="2"/>
        <scheme val="minor"/>
      </rPr>
      <t>:Número de recién nacidos con peso ≥ a 2.500 grs con contacto piel a piel ≥ a 30 min</t>
    </r>
  </si>
  <si>
    <r>
      <rPr>
        <u/>
        <sz val="8"/>
        <color theme="3"/>
        <rFont val="Calibri"/>
        <family val="2"/>
        <scheme val="minor"/>
      </rPr>
      <t>Denominador</t>
    </r>
    <r>
      <rPr>
        <sz val="8"/>
        <color theme="3"/>
        <rFont val="Calibri"/>
        <family val="2"/>
        <scheme val="minor"/>
      </rPr>
      <t>: Número de nacidos y nacidas con peso ≥ a 2.500 grs</t>
    </r>
  </si>
  <si>
    <t>REM A24
Sección A: Información general de partos (Celdas U13:U16)</t>
  </si>
  <si>
    <t>REM A24
Sección D1: Información general de RN vivos (Celdas I109:K109)</t>
  </si>
  <si>
    <t>Porcentaje de recién nacidos y nacidas con peso ≥ a 2.500 grs con contacto piel a piel ≥ a 30 min supervisado por equipo</t>
  </si>
  <si>
    <t>ACTUAL</t>
  </si>
  <si>
    <t>REM A 21</t>
  </si>
  <si>
    <t>PROPUESTA ACTUAL</t>
  </si>
  <si>
    <t>SUGERENCIA</t>
  </si>
  <si>
    <t>PLAN DE PARTO (SI/NO)</t>
  </si>
  <si>
    <t>Fecha</t>
  </si>
  <si>
    <t>Nombre</t>
  </si>
  <si>
    <t>R.U.T.</t>
  </si>
  <si>
    <t>TIPO DE PARTO</t>
  </si>
  <si>
    <t>PESO</t>
  </si>
  <si>
    <t>TALLA</t>
  </si>
  <si>
    <t>APGAR AL 1</t>
  </si>
  <si>
    <t>APGAR 5</t>
  </si>
  <si>
    <t>APEGO</t>
  </si>
  <si>
    <t>,</t>
  </si>
  <si>
    <t>TTC</t>
  </si>
  <si>
    <t>AG</t>
  </si>
  <si>
    <t xml:space="preserve">SI </t>
  </si>
  <si>
    <t>CHILENA</t>
  </si>
  <si>
    <t>D DORSAL</t>
  </si>
  <si>
    <t>FEDERICO PUGA</t>
  </si>
  <si>
    <t>DOBLE CESAREA ANTERIOR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</si>
  <si>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</si>
  <si>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</si>
  <si>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35.8</t>
  </si>
  <si>
    <t>DR RILKE GONZALEZ / DRA ULLOA</t>
  </si>
  <si>
    <t>NICOLE ANGELA FLORES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</si>
</sst>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#,##0;[Red]#,##0"/>
    <numFmt numFmtId="166" formatCode="0;[Red]0"/>
    <numFmt numFmtId="167" formatCode="0.0;[Red]0.0"/>
    <numFmt numFmtId="168" formatCode="[$-F400]h:mm:ss\ AM/PM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10"/>
      <color theme="1"/>
      <name val="Calibri"/>
      <family val="2"/>
      <scheme val="minor"/>
    </font>
    <font>
      <sz val="9"/>
      <name val="Verdana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8"/>
      <color theme="1"/>
      <name val="Verdana"/>
      <family val="2"/>
    </font>
    <font>
      <sz val="12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8"/>
      <color theme="3"/>
      <name val="Calibri"/>
      <family val="2"/>
      <scheme val="minor"/>
    </font>
    <font>
      <u/>
      <sz val="8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color rgb="FF00B0F0"/>
      <name val="Aharoni"/>
      <charset val="177"/>
    </font>
    <font>
      <b/>
      <sz val="11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CFE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9F0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8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3" borderId="0" applyBorder="0" applyAlignment="0">
      <alignment horizontal="center" wrapText="1"/>
    </xf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" fillId="6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0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0" xfId="0"/>
    <xf numFmtId="1" fontId="13" fillId="0" borderId="22" xfId="0" applyNumberFormat="1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1" fontId="13" fillId="0" borderId="23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wrapText="1"/>
    </xf>
    <xf numFmtId="1" fontId="13" fillId="8" borderId="26" xfId="0" applyNumberFormat="1" applyFont="1" applyFill="1" applyBorder="1" applyProtection="1">
      <protection locked="0"/>
    </xf>
    <xf numFmtId="1" fontId="13" fillId="8" borderId="27" xfId="0" applyNumberFormat="1" applyFont="1" applyFill="1" applyBorder="1" applyProtection="1">
      <protection locked="0"/>
    </xf>
    <xf numFmtId="1" fontId="13" fillId="8" borderId="28" xfId="0" applyNumberFormat="1" applyFont="1" applyFill="1" applyBorder="1" applyProtection="1">
      <protection locked="0"/>
    </xf>
    <xf numFmtId="1" fontId="13" fillId="8" borderId="31" xfId="0" quotePrefix="1" applyNumberFormat="1" applyFont="1" applyFill="1" applyBorder="1" applyProtection="1">
      <protection locked="0"/>
    </xf>
    <xf numFmtId="1" fontId="13" fillId="8" borderId="31" xfId="0" applyNumberFormat="1" applyFont="1" applyFill="1" applyBorder="1" applyProtection="1">
      <protection locked="0"/>
    </xf>
    <xf numFmtId="1" fontId="13" fillId="8" borderId="36" xfId="0" applyNumberFormat="1" applyFont="1" applyFill="1" applyBorder="1" applyProtection="1">
      <protection locked="0"/>
    </xf>
    <xf numFmtId="1" fontId="13" fillId="8" borderId="13" xfId="0" applyNumberFormat="1" applyFont="1" applyFill="1" applyBorder="1" applyProtection="1">
      <protection locked="0"/>
    </xf>
    <xf numFmtId="1" fontId="13" fillId="8" borderId="3" xfId="0" applyNumberFormat="1" applyFont="1" applyFill="1" applyBorder="1" applyProtection="1">
      <protection locked="0"/>
    </xf>
    <xf numFmtId="1" fontId="13" fillId="0" borderId="25" xfId="0" applyNumberFormat="1" applyFont="1" applyBorder="1" applyAlignment="1">
      <alignment vertical="center" wrapText="1"/>
    </xf>
    <xf numFmtId="1" fontId="13" fillId="0" borderId="43" xfId="0" applyNumberFormat="1" applyFont="1" applyBorder="1" applyAlignment="1">
      <alignment vertical="center" wrapText="1"/>
    </xf>
    <xf numFmtId="1" fontId="13" fillId="7" borderId="1" xfId="0" applyNumberFormat="1" applyFont="1" applyFill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 wrapText="1"/>
    </xf>
    <xf numFmtId="1" fontId="13" fillId="0" borderId="3" xfId="0" applyNumberFormat="1" applyFont="1" applyBorder="1"/>
    <xf numFmtId="1" fontId="13" fillId="8" borderId="1" xfId="0" applyNumberFormat="1" applyFont="1" applyFill="1" applyBorder="1" applyAlignment="1" applyProtection="1">
      <alignment vertical="center" wrapText="1"/>
      <protection locked="0"/>
    </xf>
    <xf numFmtId="1" fontId="13" fillId="0" borderId="45" xfId="0" applyNumberFormat="1" applyFont="1" applyBorder="1" applyAlignment="1">
      <alignment horizontal="left" vertical="center"/>
    </xf>
    <xf numFmtId="1" fontId="13" fillId="0" borderId="45" xfId="0" applyNumberFormat="1" applyFont="1" applyBorder="1"/>
    <xf numFmtId="1" fontId="13" fillId="8" borderId="45" xfId="0" applyNumberFormat="1" applyFont="1" applyFill="1" applyBorder="1" applyAlignment="1" applyProtection="1">
      <alignment vertical="center" wrapText="1"/>
      <protection locked="0"/>
    </xf>
    <xf numFmtId="1" fontId="13" fillId="0" borderId="2" xfId="0" applyNumberFormat="1" applyFont="1" applyBorder="1" applyAlignment="1">
      <alignment horizontal="left" vertical="center"/>
    </xf>
    <xf numFmtId="1" fontId="13" fillId="0" borderId="46" xfId="0" applyNumberFormat="1" applyFont="1" applyBorder="1"/>
    <xf numFmtId="1" fontId="13" fillId="8" borderId="2" xfId="0" applyNumberFormat="1" applyFont="1" applyFill="1" applyBorder="1" applyAlignment="1" applyProtection="1">
      <alignment vertical="center" wrapText="1"/>
      <protection locked="0"/>
    </xf>
    <xf numFmtId="1" fontId="13" fillId="0" borderId="47" xfId="0" applyNumberFormat="1" applyFont="1" applyBorder="1"/>
    <xf numFmtId="1" fontId="13" fillId="8" borderId="47" xfId="0" applyNumberFormat="1" applyFont="1" applyFill="1" applyBorder="1" applyAlignment="1" applyProtection="1">
      <alignment vertical="center" wrapText="1"/>
      <protection locked="0"/>
    </xf>
    <xf numFmtId="1" fontId="13" fillId="0" borderId="45" xfId="0" applyNumberFormat="1" applyFont="1" applyBorder="1" applyAlignment="1">
      <alignment vertical="center"/>
    </xf>
    <xf numFmtId="1" fontId="13" fillId="0" borderId="9" xfId="0" applyNumberFormat="1" applyFont="1" applyBorder="1" applyAlignment="1">
      <alignment horizontal="left" vertical="center"/>
    </xf>
    <xf numFmtId="1" fontId="13" fillId="0" borderId="1" xfId="0" applyNumberFormat="1" applyFont="1" applyBorder="1"/>
    <xf numFmtId="1" fontId="13" fillId="0" borderId="45" xfId="0" applyNumberFormat="1" applyFont="1" applyBorder="1" applyAlignment="1">
      <alignment horizontal="left" vertical="center" wrapText="1"/>
    </xf>
    <xf numFmtId="1" fontId="13" fillId="0" borderId="26" xfId="0" applyNumberFormat="1" applyFont="1" applyBorder="1"/>
    <xf numFmtId="1" fontId="15" fillId="7" borderId="0" xfId="0" applyNumberFormat="1" applyFont="1" applyFill="1" applyAlignment="1">
      <alignment horizontal="left"/>
    </xf>
    <xf numFmtId="1" fontId="16" fillId="7" borderId="48" xfId="0" applyNumberFormat="1" applyFont="1" applyFill="1" applyBorder="1"/>
    <xf numFmtId="1" fontId="16" fillId="7" borderId="0" xfId="0" applyNumberFormat="1" applyFont="1" applyFill="1"/>
    <xf numFmtId="1" fontId="13" fillId="0" borderId="51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13" fillId="7" borderId="52" xfId="0" applyNumberFormat="1" applyFont="1" applyFill="1" applyBorder="1" applyAlignment="1">
      <alignment horizontal="center" vertical="center"/>
    </xf>
    <xf numFmtId="1" fontId="13" fillId="0" borderId="45" xfId="0" applyNumberFormat="1" applyFont="1" applyBorder="1" applyAlignment="1">
      <alignment horizontal="left"/>
    </xf>
    <xf numFmtId="1" fontId="13" fillId="8" borderId="53" xfId="0" applyNumberFormat="1" applyFont="1" applyFill="1" applyBorder="1" applyProtection="1">
      <protection locked="0"/>
    </xf>
    <xf numFmtId="1" fontId="13" fillId="8" borderId="54" xfId="0" applyNumberFormat="1" applyFont="1" applyFill="1" applyBorder="1" applyProtection="1">
      <protection locked="0"/>
    </xf>
    <xf numFmtId="1" fontId="13" fillId="8" borderId="55" xfId="0" applyNumberFormat="1" applyFont="1" applyFill="1" applyBorder="1" applyProtection="1">
      <protection locked="0"/>
    </xf>
    <xf numFmtId="1" fontId="13" fillId="8" borderId="56" xfId="0" applyNumberFormat="1" applyFont="1" applyFill="1" applyBorder="1" applyProtection="1">
      <protection locked="0"/>
    </xf>
    <xf numFmtId="1" fontId="13" fillId="8" borderId="57" xfId="0" applyNumberFormat="1" applyFont="1" applyFill="1" applyBorder="1" applyProtection="1">
      <protection locked="0"/>
    </xf>
    <xf numFmtId="1" fontId="13" fillId="0" borderId="46" xfId="0" applyNumberFormat="1" applyFont="1" applyBorder="1" applyAlignment="1">
      <alignment horizontal="left"/>
    </xf>
    <xf numFmtId="1" fontId="13" fillId="2" borderId="1" xfId="0" applyNumberFormat="1" applyFont="1" applyFill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left" vertical="center"/>
    </xf>
    <xf numFmtId="1" fontId="13" fillId="0" borderId="13" xfId="0" applyNumberFormat="1" applyFont="1" applyBorder="1" applyAlignment="1">
      <alignment horizontal="left" vertical="center"/>
    </xf>
    <xf numFmtId="1" fontId="13" fillId="2" borderId="30" xfId="0" applyNumberFormat="1" applyFont="1" applyFill="1" applyBorder="1" applyAlignment="1">
      <alignment vertical="center"/>
    </xf>
    <xf numFmtId="1" fontId="13" fillId="2" borderId="57" xfId="0" applyNumberFormat="1" applyFont="1" applyFill="1" applyBorder="1" applyAlignment="1">
      <alignment vertical="center" wrapText="1"/>
    </xf>
    <xf numFmtId="1" fontId="13" fillId="8" borderId="2" xfId="0" applyNumberFormat="1" applyFont="1" applyFill="1" applyBorder="1" applyProtection="1">
      <protection locked="0"/>
    </xf>
    <xf numFmtId="1" fontId="13" fillId="0" borderId="24" xfId="0" applyNumberFormat="1" applyFont="1" applyBorder="1" applyAlignment="1">
      <alignment horizontal="left" vertical="center"/>
    </xf>
    <xf numFmtId="1" fontId="13" fillId="0" borderId="25" xfId="0" applyNumberFormat="1" applyFont="1" applyBorder="1" applyAlignment="1">
      <alignment horizontal="left" vertical="center"/>
    </xf>
    <xf numFmtId="1" fontId="13" fillId="0" borderId="29" xfId="0" applyNumberFormat="1" applyFont="1" applyBorder="1" applyAlignment="1">
      <alignment horizontal="left" vertical="center"/>
    </xf>
    <xf numFmtId="1" fontId="13" fillId="0" borderId="30" xfId="0" applyNumberFormat="1" applyFont="1" applyBorder="1" applyAlignment="1">
      <alignment horizontal="left" vertical="center"/>
    </xf>
    <xf numFmtId="1" fontId="13" fillId="8" borderId="46" xfId="0" applyNumberFormat="1" applyFont="1" applyFill="1" applyBorder="1" applyProtection="1">
      <protection locked="0"/>
    </xf>
    <xf numFmtId="1" fontId="13" fillId="0" borderId="40" xfId="0" applyNumberFormat="1" applyFont="1" applyBorder="1" applyAlignment="1">
      <alignment horizontal="left" vertical="center"/>
    </xf>
    <xf numFmtId="1" fontId="13" fillId="0" borderId="41" xfId="0" applyNumberFormat="1" applyFont="1" applyBorder="1" applyAlignment="1">
      <alignment horizontal="left" vertical="center"/>
    </xf>
    <xf numFmtId="1" fontId="13" fillId="0" borderId="58" xfId="0" applyNumberFormat="1" applyFont="1" applyBorder="1" applyAlignment="1">
      <alignment horizontal="left" vertical="center"/>
    </xf>
    <xf numFmtId="1" fontId="13" fillId="0" borderId="57" xfId="0" applyNumberFormat="1" applyFont="1" applyBorder="1" applyAlignment="1">
      <alignment horizontal="left" vertical="center"/>
    </xf>
    <xf numFmtId="0" fontId="0" fillId="0" borderId="0" xfId="0"/>
    <xf numFmtId="1" fontId="15" fillId="0" borderId="0" xfId="0" applyNumberFormat="1" applyFont="1" applyAlignment="1">
      <alignment horizontal="left"/>
    </xf>
    <xf numFmtId="1" fontId="15" fillId="2" borderId="0" xfId="0" applyNumberFormat="1" applyFont="1" applyFill="1" applyAlignment="1">
      <alignment horizontal="left"/>
    </xf>
    <xf numFmtId="1" fontId="13" fillId="2" borderId="0" xfId="0" applyNumberFormat="1" applyFont="1" applyFill="1" applyAlignment="1">
      <alignment horizontal="left" vertical="center"/>
    </xf>
    <xf numFmtId="1" fontId="18" fillId="2" borderId="0" xfId="0" applyNumberFormat="1" applyFont="1" applyFill="1" applyAlignment="1" applyProtection="1">
      <alignment horizontal="right"/>
      <protection locked="0"/>
    </xf>
    <xf numFmtId="1" fontId="13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" fontId="13" fillId="2" borderId="1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" fontId="13" fillId="2" borderId="58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1" fontId="13" fillId="2" borderId="24" xfId="0" applyNumberFormat="1" applyFont="1" applyFill="1" applyBorder="1" applyAlignment="1">
      <alignment horizontal="left" vertical="center"/>
    </xf>
    <xf numFmtId="0" fontId="0" fillId="0" borderId="1" xfId="0" applyBorder="1"/>
    <xf numFmtId="1" fontId="13" fillId="2" borderId="8" xfId="0" applyNumberFormat="1" applyFont="1" applyFill="1" applyBorder="1" applyAlignment="1">
      <alignment horizontal="left" vertical="center" wrapText="1"/>
    </xf>
    <xf numFmtId="167" fontId="21" fillId="9" borderId="70" xfId="0" applyNumberFormat="1" applyFont="1" applyFill="1" applyBorder="1" applyAlignment="1" applyProtection="1">
      <alignment horizontal="left" vertical="top"/>
      <protection hidden="1"/>
    </xf>
    <xf numFmtId="166" fontId="21" fillId="9" borderId="70" xfId="0" applyNumberFormat="1" applyFont="1" applyFill="1" applyBorder="1" applyAlignment="1" applyProtection="1">
      <alignment horizontal="left" vertical="top"/>
      <protection hidden="1"/>
    </xf>
    <xf numFmtId="0" fontId="21" fillId="9" borderId="70" xfId="0" applyFont="1" applyFill="1" applyBorder="1" applyAlignment="1" applyProtection="1">
      <alignment horizontal="left" vertical="top"/>
      <protection hidden="1"/>
    </xf>
    <xf numFmtId="0" fontId="20" fillId="9" borderId="68" xfId="0" applyFont="1" applyFill="1" applyBorder="1" applyAlignment="1">
      <alignment horizontal="left" vertical="top"/>
    </xf>
    <xf numFmtId="0" fontId="20" fillId="9" borderId="62" xfId="0" applyFont="1" applyFill="1" applyBorder="1" applyAlignment="1">
      <alignment horizontal="left" vertical="top"/>
    </xf>
    <xf numFmtId="0" fontId="20" fillId="9" borderId="63" xfId="0" applyFont="1" applyFill="1" applyBorder="1" applyAlignment="1">
      <alignment horizontal="left" vertical="top"/>
    </xf>
    <xf numFmtId="0" fontId="19" fillId="9" borderId="62" xfId="0" applyFont="1" applyFill="1" applyBorder="1" applyAlignment="1">
      <alignment horizontal="left" vertical="top"/>
    </xf>
    <xf numFmtId="0" fontId="19" fillId="9" borderId="61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0" fillId="3" borderId="1" xfId="0" applyFill="1" applyBorder="1"/>
    <xf numFmtId="1" fontId="13" fillId="8" borderId="45" xfId="0" applyNumberFormat="1" applyFont="1" applyFill="1" applyBorder="1" applyProtection="1">
      <protection locked="0"/>
    </xf>
    <xf numFmtId="1" fontId="13" fillId="3" borderId="1" xfId="0" applyNumberFormat="1" applyFont="1" applyFill="1" applyBorder="1" applyAlignment="1" applyProtection="1">
      <alignment vertical="center" wrapText="1"/>
      <protection locked="0"/>
    </xf>
    <xf numFmtId="1" fontId="22" fillId="0" borderId="45" xfId="0" applyNumberFormat="1" applyFont="1" applyBorder="1" applyAlignment="1">
      <alignment vertical="center"/>
    </xf>
    <xf numFmtId="1" fontId="22" fillId="0" borderId="9" xfId="0" applyNumberFormat="1" applyFont="1" applyBorder="1" applyAlignment="1">
      <alignment horizontal="left" vertical="center"/>
    </xf>
    <xf numFmtId="0" fontId="2" fillId="11" borderId="2" xfId="0" applyFont="1" applyFill="1" applyBorder="1" applyAlignment="1">
      <alignment horizontal="center" wrapText="1"/>
    </xf>
    <xf numFmtId="0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 wrapText="1"/>
    </xf>
    <xf numFmtId="0" fontId="2" fillId="10" borderId="0" xfId="0" applyFont="1" applyFill="1" applyBorder="1" applyAlignment="1">
      <alignment horizontal="center" wrapText="1"/>
    </xf>
    <xf numFmtId="0" fontId="3" fillId="11" borderId="0" xfId="0" applyFont="1" applyFill="1" applyBorder="1" applyAlignment="1">
      <alignment horizontal="center" wrapText="1"/>
    </xf>
    <xf numFmtId="0" fontId="0" fillId="0" borderId="0" xfId="0" applyBorder="1"/>
    <xf numFmtId="0" fontId="2" fillId="11" borderId="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3" fillId="3" borderId="26" xfId="0" applyNumberFormat="1" applyFont="1" applyFill="1" applyBorder="1" applyProtection="1">
      <protection locked="0"/>
    </xf>
    <xf numFmtId="1" fontId="13" fillId="3" borderId="2" xfId="0" applyNumberFormat="1" applyFont="1" applyFill="1" applyBorder="1" applyAlignment="1" applyProtection="1">
      <alignment vertical="center" wrapText="1"/>
      <protection locked="0"/>
    </xf>
    <xf numFmtId="1" fontId="22" fillId="0" borderId="45" xfId="0" applyNumberFormat="1" applyFont="1" applyBorder="1" applyAlignment="1">
      <alignment horizontal="right" vertical="center"/>
    </xf>
    <xf numFmtId="1" fontId="22" fillId="0" borderId="9" xfId="0" applyNumberFormat="1" applyFont="1" applyBorder="1" applyAlignment="1">
      <alignment horizontal="right" vertical="center"/>
    </xf>
    <xf numFmtId="0" fontId="0" fillId="0" borderId="0" xfId="0"/>
    <xf numFmtId="0" fontId="23" fillId="12" borderId="7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3" fillId="13" borderId="71" xfId="0" applyFont="1" applyFill="1" applyBorder="1" applyAlignment="1">
      <alignment horizontal="center" vertical="center"/>
    </xf>
    <xf numFmtId="1" fontId="26" fillId="13" borderId="76" xfId="0" applyNumberFormat="1" applyFont="1" applyFill="1" applyBorder="1" applyAlignment="1">
      <alignment horizontal="left" vertical="center" wrapText="1"/>
    </xf>
    <xf numFmtId="9" fontId="26" fillId="13" borderId="75" xfId="67" applyFont="1" applyFill="1" applyBorder="1" applyAlignment="1">
      <alignment horizontal="center" vertical="center"/>
    </xf>
    <xf numFmtId="9" fontId="28" fillId="13" borderId="82" xfId="0" applyNumberFormat="1" applyFont="1" applyFill="1" applyBorder="1" applyAlignment="1">
      <alignment horizontal="center" vertical="center" wrapText="1"/>
    </xf>
    <xf numFmtId="0" fontId="25" fillId="12" borderId="74" xfId="0" applyFont="1" applyFill="1" applyBorder="1" applyAlignment="1">
      <alignment vertical="center" wrapText="1"/>
    </xf>
    <xf numFmtId="0" fontId="25" fillId="12" borderId="83" xfId="0" applyFont="1" applyFill="1" applyBorder="1" applyAlignment="1">
      <alignment vertical="center" wrapText="1"/>
    </xf>
    <xf numFmtId="1" fontId="26" fillId="12" borderId="76" xfId="0" applyNumberFormat="1" applyFont="1" applyFill="1" applyBorder="1" applyAlignment="1">
      <alignment horizontal="left" vertical="center" wrapText="1"/>
    </xf>
    <xf numFmtId="1" fontId="26" fillId="12" borderId="84" xfId="0" applyNumberFormat="1" applyFont="1" applyFill="1" applyBorder="1" applyAlignment="1">
      <alignment horizontal="left" vertical="center" wrapText="1"/>
    </xf>
    <xf numFmtId="0" fontId="26" fillId="3" borderId="76" xfId="0" applyFont="1" applyFill="1" applyBorder="1" applyAlignment="1">
      <alignment horizontal="left" vertical="center" wrapText="1"/>
    </xf>
    <xf numFmtId="0" fontId="26" fillId="3" borderId="84" xfId="0" applyFont="1" applyFill="1" applyBorder="1" applyAlignment="1">
      <alignment horizontal="left" vertical="center" wrapText="1"/>
    </xf>
    <xf numFmtId="9" fontId="26" fillId="12" borderId="75" xfId="67" applyFont="1" applyFill="1" applyBorder="1" applyAlignment="1">
      <alignment horizontal="center" vertical="center"/>
    </xf>
    <xf numFmtId="9" fontId="0" fillId="0" borderId="0" xfId="67" applyFont="1"/>
    <xf numFmtId="9" fontId="26" fillId="12" borderId="85" xfId="67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wrapText="1"/>
    </xf>
    <xf numFmtId="0" fontId="29" fillId="14" borderId="1" xfId="0" applyFont="1" applyFill="1" applyBorder="1" applyAlignment="1">
      <alignment horizontal="center"/>
    </xf>
    <xf numFmtId="14" fontId="0" fillId="0" borderId="1" xfId="0" applyNumberFormat="1" applyBorder="1"/>
    <xf numFmtId="168" fontId="0" fillId="0" borderId="1" xfId="0" applyNumberFormat="1" applyBorder="1"/>
    <xf numFmtId="0" fontId="2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0" xfId="0" applyFont="1" applyBorder="1"/>
    <xf numFmtId="0" fontId="31" fillId="0" borderId="0" xfId="0" applyFont="1" applyBorder="1"/>
    <xf numFmtId="0" fontId="33" fillId="2" borderId="0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wrapText="1"/>
    </xf>
    <xf numFmtId="0" fontId="33" fillId="0" borderId="0" xfId="0" applyFont="1" applyBorder="1" applyAlignment="1">
      <alignment horizontal="center" wrapText="1"/>
    </xf>
    <xf numFmtId="0" fontId="33" fillId="0" borderId="0" xfId="0" applyNumberFormat="1" applyFont="1" applyBorder="1" applyAlignment="1">
      <alignment horizontal="center" wrapText="1"/>
    </xf>
    <xf numFmtId="0" fontId="36" fillId="0" borderId="0" xfId="0" applyFont="1" applyBorder="1" applyAlignment="1">
      <alignment horizontal="center" wrapText="1"/>
    </xf>
    <xf numFmtId="0" fontId="33" fillId="0" borderId="0" xfId="0" applyFont="1" applyBorder="1" applyAlignment="1">
      <alignment horizontal="center" vertical="top" wrapText="1"/>
    </xf>
    <xf numFmtId="0" fontId="33" fillId="10" borderId="0" xfId="0" applyFont="1" applyFill="1" applyBorder="1" applyAlignment="1">
      <alignment horizontal="center" wrapText="1"/>
    </xf>
    <xf numFmtId="0" fontId="36" fillId="2" borderId="0" xfId="0" applyFont="1" applyFill="1" applyBorder="1" applyAlignment="1">
      <alignment horizontal="center" wrapText="1"/>
    </xf>
    <xf numFmtId="0" fontId="36" fillId="11" borderId="0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0" fillId="15" borderId="0" xfId="0" applyFill="1" applyBorder="1"/>
    <xf numFmtId="0" fontId="12" fillId="15" borderId="0" xfId="61" applyFill="1" applyBorder="1" applyAlignment="1">
      <alignment horizontal="center" wrapText="1"/>
    </xf>
    <xf numFmtId="0" fontId="12" fillId="15" borderId="0" xfId="61" applyFill="1" applyBorder="1" applyAlignment="1">
      <alignment horizontal="center" vertical="top" wrapText="1"/>
    </xf>
    <xf numFmtId="0" fontId="6" fillId="15" borderId="0" xfId="61" applyFont="1" applyFill="1" applyBorder="1" applyAlignment="1">
      <alignment horizontal="center" wrapText="1"/>
    </xf>
    <xf numFmtId="0" fontId="0" fillId="15" borderId="0" xfId="0" applyFill="1"/>
    <xf numFmtId="0" fontId="12" fillId="15" borderId="0" xfId="61" applyFill="1" applyBorder="1" applyAlignment="1">
      <alignment horizontal="center"/>
    </xf>
    <xf numFmtId="0" fontId="2" fillId="15" borderId="0" xfId="61" applyFont="1" applyFill="1" applyBorder="1" applyAlignment="1">
      <alignment horizontal="center" wrapText="1"/>
    </xf>
    <xf numFmtId="0" fontId="0" fillId="16" borderId="0" xfId="0" applyFill="1" applyBorder="1"/>
    <xf numFmtId="0" fontId="30" fillId="2" borderId="1" xfId="0" applyFont="1" applyFill="1" applyBorder="1" applyAlignment="1">
      <alignment horizontal="center"/>
    </xf>
    <xf numFmtId="14" fontId="31" fillId="2" borderId="1" xfId="0" applyNumberFormat="1" applyFont="1" applyFill="1" applyBorder="1" applyAlignment="1">
      <alignment horizontal="center"/>
    </xf>
    <xf numFmtId="20" fontId="31" fillId="2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1" fillId="2" borderId="0" xfId="0" applyFont="1" applyFill="1" applyBorder="1" applyAlignment="1">
      <alignment horizontal="center"/>
    </xf>
    <xf numFmtId="0" fontId="30" fillId="18" borderId="2" xfId="62" applyNumberFormat="1" applyFont="1" applyFill="1" applyBorder="1" applyAlignment="1" applyProtection="1">
      <alignment horizontal="center" vertical="center" textRotation="90" wrapText="1"/>
    </xf>
    <xf numFmtId="1" fontId="30" fillId="18" borderId="2" xfId="62" applyNumberFormat="1" applyFont="1" applyFill="1" applyBorder="1" applyAlignment="1" applyProtection="1">
      <alignment horizontal="center" vertical="center" wrapText="1"/>
    </xf>
    <xf numFmtId="0" fontId="30" fillId="18" borderId="2" xfId="62" applyFont="1" applyFill="1" applyBorder="1" applyAlignment="1" applyProtection="1">
      <alignment horizontal="center" vertical="center" wrapText="1"/>
    </xf>
    <xf numFmtId="0" fontId="30" fillId="18" borderId="2" xfId="62" applyFont="1" applyFill="1" applyBorder="1" applyAlignment="1">
      <alignment horizontal="center" vertical="center" wrapText="1"/>
    </xf>
    <xf numFmtId="20" fontId="30" fillId="18" borderId="2" xfId="62" applyNumberFormat="1" applyFont="1" applyFill="1" applyBorder="1" applyAlignment="1" applyProtection="1">
      <alignment horizontal="center" vertical="center" textRotation="90" wrapText="1"/>
    </xf>
    <xf numFmtId="165" fontId="30" fillId="18" borderId="2" xfId="62" applyNumberFormat="1" applyFont="1" applyFill="1" applyBorder="1" applyAlignment="1" applyProtection="1">
      <alignment horizontal="center" vertical="center" wrapText="1"/>
    </xf>
    <xf numFmtId="0" fontId="30" fillId="18" borderId="2" xfId="62" applyFont="1" applyFill="1" applyBorder="1" applyAlignment="1" applyProtection="1">
      <alignment horizontal="center" vertical="center" textRotation="90" wrapText="1"/>
    </xf>
    <xf numFmtId="49" fontId="30" fillId="18" borderId="2" xfId="62" applyNumberFormat="1" applyFont="1" applyFill="1" applyBorder="1" applyAlignment="1" applyProtection="1">
      <alignment horizontal="center" vertical="center" textRotation="90" wrapText="1"/>
    </xf>
    <xf numFmtId="0" fontId="31" fillId="18" borderId="2" xfId="0" applyFont="1" applyFill="1" applyBorder="1" applyAlignment="1">
      <alignment horizontal="center"/>
    </xf>
    <xf numFmtId="164" fontId="30" fillId="18" borderId="2" xfId="62" applyNumberFormat="1" applyFont="1" applyFill="1" applyBorder="1" applyAlignment="1" applyProtection="1">
      <alignment horizontal="center" vertical="center" textRotation="90" wrapText="1"/>
    </xf>
    <xf numFmtId="3" fontId="30" fillId="18" borderId="2" xfId="62" applyNumberFormat="1" applyFont="1" applyFill="1" applyBorder="1" applyAlignment="1" applyProtection="1">
      <alignment horizontal="center" vertical="center" textRotation="90" wrapText="1"/>
    </xf>
    <xf numFmtId="1" fontId="30" fillId="18" borderId="2" xfId="62" applyNumberFormat="1" applyFont="1" applyFill="1" applyBorder="1" applyAlignment="1" applyProtection="1">
      <alignment horizontal="center" vertical="center" textRotation="90" wrapText="1"/>
    </xf>
    <xf numFmtId="49" fontId="30" fillId="18" borderId="2" xfId="62" applyNumberFormat="1" applyFont="1" applyFill="1" applyBorder="1" applyAlignment="1" applyProtection="1">
      <alignment horizontal="center" vertical="center" wrapText="1"/>
    </xf>
    <xf numFmtId="49" fontId="30" fillId="18" borderId="1" xfId="62" applyNumberFormat="1" applyFont="1" applyFill="1" applyBorder="1" applyAlignment="1" applyProtection="1">
      <alignment horizontal="center" vertical="center" wrapText="1"/>
    </xf>
    <xf numFmtId="0" fontId="30" fillId="18" borderId="1" xfId="62" applyFont="1" applyFill="1" applyBorder="1" applyAlignment="1" applyProtection="1">
      <alignment horizontal="center" vertical="center" wrapText="1"/>
    </xf>
    <xf numFmtId="0" fontId="30" fillId="18" borderId="1" xfId="62" applyFont="1" applyFill="1" applyBorder="1" applyAlignment="1" applyProtection="1">
      <alignment horizontal="center" vertical="center"/>
    </xf>
    <xf numFmtId="0" fontId="32" fillId="18" borderId="1" xfId="62" applyFont="1" applyFill="1" applyBorder="1" applyAlignment="1" applyProtection="1">
      <alignment horizontal="center" vertical="center" wrapText="1"/>
    </xf>
    <xf numFmtId="0" fontId="30" fillId="18" borderId="1" xfId="62" applyFont="1" applyFill="1" applyBorder="1" applyAlignment="1" applyProtection="1">
      <alignment horizontal="center" vertical="center" textRotation="90" wrapText="1"/>
    </xf>
    <xf numFmtId="0" fontId="35" fillId="18" borderId="1" xfId="62" applyFont="1" applyFill="1" applyBorder="1" applyAlignment="1" applyProtection="1">
      <alignment horizontal="center" vertical="center" wrapText="1"/>
    </xf>
    <xf numFmtId="0" fontId="33" fillId="18" borderId="0" xfId="0" applyFont="1" applyFill="1" applyBorder="1" applyAlignment="1">
      <alignment horizontal="center" wrapText="1"/>
    </xf>
    <xf numFmtId="0" fontId="30" fillId="18" borderId="0" xfId="62" applyFont="1" applyFill="1" applyBorder="1" applyAlignment="1">
      <alignment horizontal="center" wrapText="1"/>
    </xf>
    <xf numFmtId="0" fontId="30" fillId="18" borderId="4" xfId="62" applyFont="1" applyFill="1" applyBorder="1" applyAlignment="1">
      <alignment horizontal="center" wrapText="1"/>
    </xf>
    <xf numFmtId="0" fontId="30" fillId="18" borderId="3" xfId="62" applyFont="1" applyFill="1" applyBorder="1" applyAlignment="1">
      <alignment horizontal="center" wrapText="1"/>
    </xf>
    <xf numFmtId="0" fontId="30" fillId="18" borderId="5" xfId="62" applyFont="1" applyFill="1" applyBorder="1" applyAlignment="1">
      <alignment horizontal="center" wrapText="1"/>
    </xf>
    <xf numFmtId="164" fontId="37" fillId="17" borderId="6" xfId="60" applyNumberFormat="1" applyFont="1" applyFill="1" applyBorder="1" applyAlignment="1"/>
    <xf numFmtId="164" fontId="37" fillId="17" borderId="10" xfId="60" applyNumberFormat="1" applyFont="1" applyFill="1" applyBorder="1" applyAlignment="1"/>
    <xf numFmtId="164" fontId="37" fillId="17" borderId="10" xfId="60" applyNumberFormat="1" applyFont="1" applyFill="1" applyBorder="1" applyAlignment="1">
      <alignment vertical="top"/>
    </xf>
    <xf numFmtId="0" fontId="37" fillId="17" borderId="10" xfId="0" applyFont="1" applyFill="1" applyBorder="1"/>
    <xf numFmtId="164" fontId="37" fillId="17" borderId="6" xfId="60" applyNumberFormat="1" applyFont="1" applyFill="1" applyBorder="1" applyAlignment="1">
      <alignment horizontal="left"/>
    </xf>
    <xf numFmtId="164" fontId="37" fillId="17" borderId="6" xfId="60" applyNumberFormat="1" applyFont="1" applyFill="1" applyBorder="1"/>
    <xf numFmtId="164" fontId="37" fillId="17" borderId="10" xfId="60" applyNumberFormat="1" applyFont="1" applyFill="1" applyBorder="1" applyAlignment="1">
      <alignment horizontal="center" wrapText="1"/>
    </xf>
    <xf numFmtId="164" fontId="37" fillId="17" borderId="10" xfId="60" applyNumberFormat="1" applyFont="1" applyFill="1" applyBorder="1" applyAlignment="1">
      <alignment horizontal="left"/>
    </xf>
    <xf numFmtId="164" fontId="37" fillId="17" borderId="7" xfId="60" applyNumberFormat="1" applyFont="1" applyFill="1" applyBorder="1" applyAlignment="1">
      <alignment horizontal="center" wrapText="1"/>
    </xf>
    <xf numFmtId="164" fontId="37" fillId="17" borderId="7" xfId="60" applyNumberFormat="1" applyFont="1" applyFill="1" applyBorder="1" applyAlignment="1"/>
    <xf numFmtId="164" fontId="37" fillId="17" borderId="1" xfId="60" applyNumberFormat="1" applyFont="1" applyFill="1" applyBorder="1" applyAlignment="1">
      <alignment horizontal="center" wrapText="1"/>
    </xf>
    <xf numFmtId="164" fontId="37" fillId="17" borderId="1" xfId="60" applyNumberFormat="1" applyFont="1" applyFill="1" applyBorder="1" applyAlignment="1">
      <alignment wrapText="1"/>
    </xf>
    <xf numFmtId="164" fontId="37" fillId="17" borderId="1" xfId="60" applyNumberFormat="1" applyFont="1" applyFill="1" applyBorder="1" applyAlignment="1"/>
    <xf numFmtId="164" fontId="37" fillId="17" borderId="0" xfId="60" applyNumberFormat="1" applyFont="1" applyFill="1" applyBorder="1" applyAlignment="1">
      <alignment horizontal="center" wrapText="1"/>
    </xf>
    <xf numFmtId="164" fontId="37" fillId="17" borderId="9" xfId="60" applyNumberFormat="1" applyFont="1" applyFill="1" applyBorder="1" applyAlignment="1">
      <alignment horizontal="center" wrapText="1"/>
    </xf>
    <xf numFmtId="164" fontId="37" fillId="17" borderId="2" xfId="60" applyNumberFormat="1" applyFont="1" applyFill="1" applyBorder="1" applyAlignment="1">
      <alignment horizontal="center" wrapText="1"/>
    </xf>
    <xf numFmtId="164" fontId="37" fillId="17" borderId="8" xfId="60" applyNumberFormat="1" applyFont="1" applyFill="1" applyBorder="1" applyAlignment="1">
      <alignment horizontal="center" wrapText="1"/>
    </xf>
    <xf numFmtId="0" fontId="31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wrapText="1"/>
    </xf>
    <xf numFmtId="0" fontId="33" fillId="18" borderId="0" xfId="0" applyFont="1" applyFill="1" applyBorder="1" applyAlignment="1">
      <alignment horizontal="center" vertical="top" wrapText="1"/>
    </xf>
    <xf numFmtId="0" fontId="2" fillId="18" borderId="0" xfId="0" applyFont="1" applyFill="1" applyBorder="1" applyAlignment="1">
      <alignment horizontal="center" wrapText="1"/>
    </xf>
    <xf numFmtId="0" fontId="2" fillId="18" borderId="2" xfId="0" applyFont="1" applyFill="1" applyBorder="1" applyAlignment="1">
      <alignment horizontal="center" wrapText="1"/>
    </xf>
    <xf numFmtId="21" fontId="31" fillId="2" borderId="1" xfId="0" applyNumberFormat="1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/>
    </xf>
    <xf numFmtId="0" fontId="33" fillId="2" borderId="0" xfId="0" applyFont="1" applyFill="1" applyBorder="1"/>
    <xf numFmtId="0" fontId="33" fillId="2" borderId="0" xfId="0" applyFont="1" applyFill="1"/>
    <xf numFmtId="0" fontId="31" fillId="2" borderId="0" xfId="0" applyFont="1" applyFill="1" applyBorder="1"/>
    <xf numFmtId="0" fontId="31" fillId="2" borderId="0" xfId="0" applyFont="1" applyFill="1"/>
    <xf numFmtId="0" fontId="33" fillId="2" borderId="0" xfId="0" applyFont="1" applyFill="1" applyAlignment="1">
      <alignment horizontal="center"/>
    </xf>
    <xf numFmtId="20" fontId="33" fillId="2" borderId="1" xfId="0" applyNumberFormat="1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33" fillId="2" borderId="0" xfId="0" applyNumberFormat="1" applyFont="1" applyFill="1" applyBorder="1" applyAlignment="1">
      <alignment horizontal="center" wrapText="1"/>
    </xf>
    <xf numFmtId="0" fontId="33" fillId="2" borderId="0" xfId="0" applyFont="1" applyFill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/>
    </xf>
    <xf numFmtId="14" fontId="33" fillId="2" borderId="1" xfId="0" applyNumberFormat="1" applyFont="1" applyFill="1" applyBorder="1" applyAlignment="1">
      <alignment horizontal="center"/>
    </xf>
    <xf numFmtId="0" fontId="33" fillId="18" borderId="1" xfId="0" applyFont="1" applyFill="1" applyBorder="1" applyAlignment="1">
      <alignment horizontal="center"/>
    </xf>
    <xf numFmtId="0" fontId="35" fillId="18" borderId="1" xfId="0" applyFont="1" applyFill="1" applyBorder="1" applyAlignment="1">
      <alignment horizontal="center"/>
    </xf>
    <xf numFmtId="21" fontId="33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38" fillId="2" borderId="1" xfId="0" applyFont="1" applyFill="1" applyBorder="1" applyAlignment="1">
      <alignment horizontal="center"/>
    </xf>
    <xf numFmtId="14" fontId="34" fillId="2" borderId="1" xfId="0" applyNumberFormat="1" applyFont="1" applyFill="1" applyBorder="1" applyAlignment="1">
      <alignment horizontal="center"/>
    </xf>
    <xf numFmtId="20" fontId="34" fillId="2" borderId="1" xfId="0" applyNumberFormat="1" applyFont="1" applyFill="1" applyBorder="1" applyAlignment="1">
      <alignment horizontal="center"/>
    </xf>
    <xf numFmtId="0" fontId="34" fillId="18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wrapText="1"/>
    </xf>
    <xf numFmtId="49" fontId="30" fillId="19" borderId="2" xfId="62" applyNumberFormat="1" applyFont="1" applyFill="1" applyBorder="1" applyAlignment="1" applyProtection="1">
      <alignment horizontal="center" vertical="center" textRotation="90" wrapText="1"/>
    </xf>
    <xf numFmtId="14" fontId="33" fillId="2" borderId="1" xfId="0" applyNumberFormat="1" applyFont="1" applyFill="1" applyBorder="1" applyAlignment="1">
      <alignment horizontal="center" vertical="top" wrapText="1"/>
    </xf>
    <xf numFmtId="20" fontId="33" fillId="2" borderId="1" xfId="0" applyNumberFormat="1" applyFont="1" applyFill="1" applyBorder="1" applyAlignment="1">
      <alignment horizontal="center" wrapText="1"/>
    </xf>
    <xf numFmtId="0" fontId="33" fillId="18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vertical="top" wrapText="1"/>
    </xf>
    <xf numFmtId="0" fontId="33" fillId="2" borderId="6" xfId="0" applyFont="1" applyFill="1" applyBorder="1" applyAlignment="1">
      <alignment horizontal="center" wrapText="1"/>
    </xf>
    <xf numFmtId="0" fontId="33" fillId="2" borderId="7" xfId="0" applyFont="1" applyFill="1" applyBorder="1" applyAlignment="1">
      <alignment horizontal="center" wrapText="1"/>
    </xf>
    <xf numFmtId="0" fontId="33" fillId="2" borderId="1" xfId="0" applyNumberFormat="1" applyFont="1" applyFill="1" applyBorder="1" applyAlignment="1">
      <alignment horizontal="center"/>
    </xf>
    <xf numFmtId="164" fontId="33" fillId="2" borderId="1" xfId="125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 wrapText="1"/>
    </xf>
    <xf numFmtId="0" fontId="33" fillId="0" borderId="1" xfId="0" applyNumberFormat="1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 vertical="top" wrapText="1"/>
    </xf>
    <xf numFmtId="0" fontId="33" fillId="10" borderId="1" xfId="0" applyFont="1" applyFill="1" applyBorder="1" applyAlignment="1">
      <alignment horizontal="center" wrapText="1"/>
    </xf>
    <xf numFmtId="0" fontId="33" fillId="11" borderId="1" xfId="0" applyFont="1" applyFill="1" applyBorder="1" applyAlignment="1">
      <alignment horizontal="center" wrapText="1"/>
    </xf>
    <xf numFmtId="0" fontId="31" fillId="0" borderId="0" xfId="0" applyFont="1"/>
    <xf numFmtId="0" fontId="33" fillId="0" borderId="1" xfId="0" applyFont="1" applyBorder="1" applyAlignment="1">
      <alignment horizontal="center"/>
    </xf>
    <xf numFmtId="0" fontId="33" fillId="0" borderId="6" xfId="0" applyFont="1" applyBorder="1" applyAlignment="1">
      <alignment horizontal="center" wrapText="1"/>
    </xf>
    <xf numFmtId="0" fontId="33" fillId="0" borderId="7" xfId="0" applyFont="1" applyBorder="1" applyAlignment="1">
      <alignment horizontal="center" wrapText="1"/>
    </xf>
    <xf numFmtId="14" fontId="33" fillId="0" borderId="1" xfId="0" applyNumberFormat="1" applyFont="1" applyBorder="1" applyAlignment="1">
      <alignment horizontal="center" vertical="top" wrapText="1"/>
    </xf>
    <xf numFmtId="20" fontId="33" fillId="0" borderId="1" xfId="0" applyNumberFormat="1" applyFont="1" applyBorder="1" applyAlignment="1">
      <alignment horizontal="center" wrapText="1"/>
    </xf>
    <xf numFmtId="0" fontId="35" fillId="19" borderId="1" xfId="0" applyFont="1" applyFill="1" applyBorder="1" applyAlignment="1">
      <alignment horizontal="center"/>
    </xf>
    <xf numFmtId="0" fontId="33" fillId="19" borderId="1" xfId="0" applyFont="1" applyFill="1" applyBorder="1" applyAlignment="1">
      <alignment horizontal="center"/>
    </xf>
    <xf numFmtId="14" fontId="33" fillId="19" borderId="1" xfId="0" applyNumberFormat="1" applyFont="1" applyFill="1" applyBorder="1" applyAlignment="1">
      <alignment horizontal="center"/>
    </xf>
    <xf numFmtId="20" fontId="33" fillId="19" borderId="1" xfId="0" applyNumberFormat="1" applyFont="1" applyFill="1" applyBorder="1" applyAlignment="1">
      <alignment horizontal="center"/>
    </xf>
    <xf numFmtId="0" fontId="33" fillId="19" borderId="1" xfId="0" applyFont="1" applyFill="1" applyBorder="1" applyAlignment="1">
      <alignment horizontal="center" wrapText="1"/>
    </xf>
    <xf numFmtId="0" fontId="33" fillId="19" borderId="0" xfId="0" applyFont="1" applyFill="1" applyBorder="1" applyAlignment="1">
      <alignment horizontal="center" wrapText="1"/>
    </xf>
    <xf numFmtId="0" fontId="33" fillId="19" borderId="0" xfId="0" applyFont="1" applyFill="1" applyBorder="1" applyAlignment="1">
      <alignment horizontal="center"/>
    </xf>
    <xf numFmtId="0" fontId="31" fillId="19" borderId="0" xfId="0" applyFont="1" applyFill="1" applyBorder="1" applyAlignment="1">
      <alignment horizontal="center"/>
    </xf>
    <xf numFmtId="0" fontId="31" fillId="19" borderId="1" xfId="0" applyFont="1" applyFill="1" applyBorder="1" applyAlignment="1">
      <alignment horizontal="center"/>
    </xf>
    <xf numFmtId="0" fontId="12" fillId="11" borderId="0" xfId="61" applyFill="1" applyBorder="1" applyAlignment="1">
      <alignment horizontal="center" wrapText="1"/>
    </xf>
    <xf numFmtId="164" fontId="37" fillId="11" borderId="10" xfId="60" applyNumberFormat="1" applyFont="1" applyFill="1" applyBorder="1" applyAlignment="1"/>
    <xf numFmtId="164" fontId="30" fillId="11" borderId="2" xfId="62" applyNumberFormat="1" applyFont="1" applyFill="1" applyBorder="1" applyAlignment="1" applyProtection="1">
      <alignment horizontal="center" vertical="center" textRotation="90" wrapText="1"/>
    </xf>
    <xf numFmtId="0" fontId="31" fillId="11" borderId="1" xfId="0" applyFont="1" applyFill="1" applyBorder="1" applyAlignment="1">
      <alignment horizontal="center"/>
    </xf>
    <xf numFmtId="0" fontId="33" fillId="11" borderId="1" xfId="0" applyFont="1" applyFill="1" applyBorder="1" applyAlignment="1">
      <alignment horizontal="center"/>
    </xf>
    <xf numFmtId="0" fontId="34" fillId="11" borderId="1" xfId="0" applyFont="1" applyFill="1" applyBorder="1" applyAlignment="1">
      <alignment horizontal="center"/>
    </xf>
    <xf numFmtId="0" fontId="33" fillId="11" borderId="0" xfId="0" applyFont="1" applyFill="1" applyBorder="1" applyAlignment="1">
      <alignment horizontal="center" wrapText="1"/>
    </xf>
    <xf numFmtId="0" fontId="33" fillId="11" borderId="0" xfId="0" applyFont="1" applyFill="1" applyBorder="1" applyAlignment="1">
      <alignment horizontal="center" vertical="top" wrapText="1"/>
    </xf>
    <xf numFmtId="164" fontId="37" fillId="17" borderId="6" xfId="60" applyNumberFormat="1" applyFont="1" applyFill="1" applyBorder="1" applyAlignment="1">
      <alignment horizontal="left"/>
    </xf>
    <xf numFmtId="164" fontId="37" fillId="17" borderId="10" xfId="60" applyNumberFormat="1" applyFont="1" applyFill="1" applyBorder="1" applyAlignment="1">
      <alignment horizontal="left"/>
    </xf>
    <xf numFmtId="164" fontId="37" fillId="17" borderId="1" xfId="60" applyNumberFormat="1" applyFont="1" applyFill="1" applyBorder="1" applyAlignment="1">
      <alignment horizontal="center" wrapText="1"/>
    </xf>
    <xf numFmtId="0" fontId="6" fillId="3" borderId="0" xfId="0" applyFont="1" applyFill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1" xfId="0" applyBorder="1" applyAlignment="1">
      <alignment horizontal="center"/>
    </xf>
    <xf numFmtId="1" fontId="13" fillId="0" borderId="3" xfId="0" applyNumberFormat="1" applyFont="1" applyBorder="1" applyAlignment="1">
      <alignment horizontal="center" vertical="center" wrapText="1"/>
    </xf>
    <xf numFmtId="1" fontId="13" fillId="0" borderId="13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" fontId="13" fillId="0" borderId="16" xfId="0" applyNumberFormat="1" applyFont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 vertical="center" wrapText="1"/>
    </xf>
    <xf numFmtId="1" fontId="13" fillId="0" borderId="17" xfId="0" applyNumberFormat="1" applyFont="1" applyBorder="1" applyAlignment="1">
      <alignment horizontal="center" vertical="center" wrapText="1"/>
    </xf>
    <xf numFmtId="1" fontId="13" fillId="0" borderId="21" xfId="0" applyNumberFormat="1" applyFont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 wrapText="1"/>
    </xf>
    <xf numFmtId="1" fontId="13" fillId="2" borderId="7" xfId="0" applyNumberFormat="1" applyFont="1" applyFill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2" borderId="10" xfId="0" applyNumberFormat="1" applyFont="1" applyFill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1" fontId="13" fillId="0" borderId="12" xfId="0" applyNumberFormat="1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1" fontId="14" fillId="7" borderId="6" xfId="0" applyNumberFormat="1" applyFont="1" applyFill="1" applyBorder="1" applyAlignment="1">
      <alignment horizontal="center" vertical="center" wrapText="1"/>
    </xf>
    <xf numFmtId="1" fontId="14" fillId="7" borderId="10" xfId="0" applyNumberFormat="1" applyFont="1" applyFill="1" applyBorder="1" applyAlignment="1">
      <alignment horizontal="center" vertical="center" wrapText="1"/>
    </xf>
    <xf numFmtId="1" fontId="14" fillId="7" borderId="7" xfId="0" applyNumberFormat="1" applyFont="1" applyFill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1" fontId="14" fillId="0" borderId="10" xfId="0" applyNumberFormat="1" applyFont="1" applyBorder="1" applyAlignment="1">
      <alignment horizontal="center" vertical="center" wrapText="1"/>
    </xf>
    <xf numFmtId="1" fontId="14" fillId="0" borderId="7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 wrapText="1"/>
    </xf>
    <xf numFmtId="1" fontId="13" fillId="0" borderId="18" xfId="0" applyNumberFormat="1" applyFont="1" applyBorder="1" applyAlignment="1">
      <alignment horizontal="center" vertical="center" wrapText="1"/>
    </xf>
    <xf numFmtId="1" fontId="13" fillId="7" borderId="15" xfId="0" applyNumberFormat="1" applyFont="1" applyFill="1" applyBorder="1" applyAlignment="1">
      <alignment horizontal="center" vertical="center" wrapText="1"/>
    </xf>
    <xf numFmtId="1" fontId="13" fillId="7" borderId="19" xfId="0" applyNumberFormat="1" applyFont="1" applyFill="1" applyBorder="1" applyAlignment="1">
      <alignment horizontal="center" vertical="center" wrapText="1"/>
    </xf>
    <xf numFmtId="1" fontId="14" fillId="2" borderId="6" xfId="0" applyNumberFormat="1" applyFont="1" applyFill="1" applyBorder="1" applyAlignment="1">
      <alignment horizontal="center" vertical="center" wrapText="1"/>
    </xf>
    <xf numFmtId="1" fontId="14" fillId="2" borderId="10" xfId="0" applyNumberFormat="1" applyFont="1" applyFill="1" applyBorder="1" applyAlignment="1">
      <alignment horizontal="center" vertical="center" wrapText="1"/>
    </xf>
    <xf numFmtId="1" fontId="14" fillId="2" borderId="7" xfId="0" applyNumberFormat="1" applyFont="1" applyFill="1" applyBorder="1" applyAlignment="1">
      <alignment horizontal="center" vertical="center" wrapText="1"/>
    </xf>
    <xf numFmtId="1" fontId="13" fillId="7" borderId="14" xfId="0" applyNumberFormat="1" applyFont="1" applyFill="1" applyBorder="1" applyAlignment="1">
      <alignment horizontal="center" vertical="center" wrapText="1"/>
    </xf>
    <xf numFmtId="1" fontId="13" fillId="7" borderId="18" xfId="0" applyNumberFormat="1" applyFont="1" applyFill="1" applyBorder="1" applyAlignment="1">
      <alignment horizontal="center" vertical="center" wrapText="1"/>
    </xf>
    <xf numFmtId="1" fontId="13" fillId="7" borderId="16" xfId="0" applyNumberFormat="1" applyFont="1" applyFill="1" applyBorder="1" applyAlignment="1">
      <alignment horizontal="center" vertical="center" wrapText="1"/>
    </xf>
    <xf numFmtId="1" fontId="13" fillId="7" borderId="20" xfId="0" applyNumberFormat="1" applyFont="1" applyFill="1" applyBorder="1" applyAlignment="1">
      <alignment horizontal="center" vertical="center" wrapText="1"/>
    </xf>
    <xf numFmtId="1" fontId="13" fillId="7" borderId="4" xfId="0" applyNumberFormat="1" applyFont="1" applyFill="1" applyBorder="1" applyAlignment="1">
      <alignment horizontal="center" vertical="center" wrapText="1"/>
    </xf>
    <xf numFmtId="1" fontId="13" fillId="7" borderId="9" xfId="0" applyNumberFormat="1" applyFont="1" applyFill="1" applyBorder="1" applyAlignment="1">
      <alignment horizontal="center" vertical="center" wrapText="1"/>
    </xf>
    <xf numFmtId="1" fontId="13" fillId="7" borderId="6" xfId="0" applyNumberFormat="1" applyFont="1" applyFill="1" applyBorder="1" applyAlignment="1">
      <alignment horizontal="left" vertical="center"/>
    </xf>
    <xf numFmtId="1" fontId="13" fillId="7" borderId="7" xfId="0" applyNumberFormat="1" applyFont="1" applyFill="1" applyBorder="1" applyAlignment="1">
      <alignment horizontal="left" vertical="center"/>
    </xf>
    <xf numFmtId="1" fontId="13" fillId="0" borderId="6" xfId="0" applyNumberFormat="1" applyFont="1" applyBorder="1" applyAlignment="1">
      <alignment horizontal="left" vertical="center"/>
    </xf>
    <xf numFmtId="1" fontId="13" fillId="0" borderId="7" xfId="0" applyNumberFormat="1" applyFont="1" applyBorder="1" applyAlignment="1">
      <alignment horizontal="left" vertical="center"/>
    </xf>
    <xf numFmtId="1" fontId="13" fillId="0" borderId="24" xfId="0" applyNumberFormat="1" applyFont="1" applyBorder="1" applyAlignment="1">
      <alignment horizontal="left" vertical="center"/>
    </xf>
    <xf numFmtId="1" fontId="13" fillId="0" borderId="25" xfId="0" applyNumberFormat="1" applyFont="1" applyBorder="1" applyAlignment="1">
      <alignment horizontal="left" vertical="center"/>
    </xf>
    <xf numFmtId="1" fontId="13" fillId="0" borderId="29" xfId="0" applyNumberFormat="1" applyFont="1" applyBorder="1" applyAlignment="1">
      <alignment horizontal="left" vertical="center"/>
    </xf>
    <xf numFmtId="1" fontId="13" fillId="0" borderId="30" xfId="0" applyNumberFormat="1" applyFont="1" applyBorder="1" applyAlignment="1">
      <alignment horizontal="left" vertical="center"/>
    </xf>
    <xf numFmtId="1" fontId="13" fillId="0" borderId="32" xfId="0" applyNumberFormat="1" applyFont="1" applyBorder="1" applyAlignment="1">
      <alignment horizontal="left" vertical="center"/>
    </xf>
    <xf numFmtId="1" fontId="13" fillId="0" borderId="33" xfId="0" applyNumberFormat="1" applyFont="1" applyBorder="1" applyAlignment="1">
      <alignment horizontal="left" vertical="center"/>
    </xf>
    <xf numFmtId="1" fontId="13" fillId="0" borderId="34" xfId="0" applyNumberFormat="1" applyFont="1" applyBorder="1" applyAlignment="1">
      <alignment horizontal="left" vertical="center" wrapText="1"/>
    </xf>
    <xf numFmtId="1" fontId="13" fillId="0" borderId="35" xfId="0" applyNumberFormat="1" applyFont="1" applyBorder="1" applyAlignment="1">
      <alignment horizontal="left" vertical="center" wrapText="1"/>
    </xf>
    <xf numFmtId="1" fontId="13" fillId="0" borderId="37" xfId="0" applyNumberFormat="1" applyFont="1" applyBorder="1" applyAlignment="1">
      <alignment horizontal="left" vertical="center" wrapText="1"/>
    </xf>
    <xf numFmtId="1" fontId="13" fillId="0" borderId="38" xfId="0" applyNumberFormat="1" applyFont="1" applyBorder="1" applyAlignment="1">
      <alignment horizontal="left" vertical="center" wrapText="1"/>
    </xf>
    <xf numFmtId="1" fontId="13" fillId="0" borderId="40" xfId="0" applyNumberFormat="1" applyFont="1" applyBorder="1" applyAlignment="1">
      <alignment horizontal="left" vertical="center"/>
    </xf>
    <xf numFmtId="1" fontId="13" fillId="0" borderId="41" xfId="0" applyNumberFormat="1" applyFont="1" applyBorder="1" applyAlignment="1">
      <alignment horizontal="left" vertical="center"/>
    </xf>
    <xf numFmtId="1" fontId="13" fillId="0" borderId="42" xfId="0" applyNumberFormat="1" applyFont="1" applyBorder="1" applyAlignment="1">
      <alignment horizontal="left" vertical="center"/>
    </xf>
    <xf numFmtId="1" fontId="13" fillId="0" borderId="43" xfId="0" applyNumberFormat="1" applyFont="1" applyBorder="1" applyAlignment="1">
      <alignment horizontal="left" vertical="center"/>
    </xf>
    <xf numFmtId="1" fontId="13" fillId="0" borderId="44" xfId="0" applyNumberFormat="1" applyFont="1" applyBorder="1" applyAlignment="1">
      <alignment horizontal="left" vertical="center" wrapText="1"/>
    </xf>
    <xf numFmtId="1" fontId="13" fillId="0" borderId="39" xfId="0" applyNumberFormat="1" applyFont="1" applyBorder="1" applyAlignment="1">
      <alignment horizontal="left" vertical="center" wrapText="1"/>
    </xf>
    <xf numFmtId="1" fontId="14" fillId="0" borderId="6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" fontId="13" fillId="0" borderId="32" xfId="0" applyNumberFormat="1" applyFont="1" applyBorder="1" applyAlignment="1">
      <alignment horizontal="left" vertical="center" wrapText="1"/>
    </xf>
    <xf numFmtId="1" fontId="13" fillId="0" borderId="33" xfId="0" applyNumberFormat="1" applyFont="1" applyBorder="1" applyAlignment="1">
      <alignment horizontal="left" vertical="center" wrapText="1"/>
    </xf>
    <xf numFmtId="1" fontId="13" fillId="0" borderId="3" xfId="0" applyNumberFormat="1" applyFont="1" applyBorder="1" applyAlignment="1">
      <alignment horizontal="left" vertical="center"/>
    </xf>
    <xf numFmtId="1" fontId="13" fillId="0" borderId="2" xfId="0" applyNumberFormat="1" applyFont="1" applyBorder="1" applyAlignment="1">
      <alignment horizontal="left" vertical="center"/>
    </xf>
    <xf numFmtId="1" fontId="13" fillId="0" borderId="8" xfId="0" applyNumberFormat="1" applyFont="1" applyBorder="1" applyAlignment="1">
      <alignment horizontal="left" vertical="center"/>
    </xf>
    <xf numFmtId="1" fontId="13" fillId="0" borderId="9" xfId="0" applyNumberFormat="1" applyFont="1" applyBorder="1" applyAlignment="1">
      <alignment horizontal="left" vertical="center"/>
    </xf>
    <xf numFmtId="1" fontId="13" fillId="0" borderId="3" xfId="0" applyNumberFormat="1" applyFont="1" applyBorder="1" applyAlignment="1">
      <alignment horizontal="left" vertical="center" wrapText="1"/>
    </xf>
    <xf numFmtId="1" fontId="13" fillId="0" borderId="2" xfId="0" applyNumberFormat="1" applyFont="1" applyBorder="1" applyAlignment="1">
      <alignment horizontal="left" vertical="center" wrapText="1"/>
    </xf>
    <xf numFmtId="1" fontId="13" fillId="2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left" vertical="center" wrapText="1"/>
    </xf>
    <xf numFmtId="1" fontId="22" fillId="0" borderId="2" xfId="0" applyNumberFormat="1" applyFont="1" applyBorder="1" applyAlignment="1">
      <alignment horizontal="left" vertical="center" wrapText="1"/>
    </xf>
    <xf numFmtId="1" fontId="13" fillId="7" borderId="50" xfId="0" applyNumberFormat="1" applyFont="1" applyFill="1" applyBorder="1" applyAlignment="1">
      <alignment horizontal="center" vertical="center"/>
    </xf>
    <xf numFmtId="1" fontId="13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13" fillId="7" borderId="6" xfId="0" applyNumberFormat="1" applyFont="1" applyFill="1" applyBorder="1" applyAlignment="1">
      <alignment horizontal="left" vertical="center" wrapText="1"/>
    </xf>
    <xf numFmtId="1" fontId="13" fillId="7" borderId="7" xfId="0" applyNumberFormat="1" applyFont="1" applyFill="1" applyBorder="1" applyAlignment="1">
      <alignment horizontal="left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1" fontId="13" fillId="0" borderId="49" xfId="0" applyNumberFormat="1" applyFont="1" applyBorder="1" applyAlignment="1">
      <alignment horizontal="center" vertical="center" wrapText="1"/>
    </xf>
    <xf numFmtId="0" fontId="25" fillId="13" borderId="77" xfId="0" applyFont="1" applyFill="1" applyBorder="1" applyAlignment="1">
      <alignment horizontal="center" vertical="center" wrapText="1"/>
    </xf>
    <xf numFmtId="0" fontId="25" fillId="13" borderId="78" xfId="0" applyFont="1" applyFill="1" applyBorder="1" applyAlignment="1">
      <alignment horizontal="center" vertical="center" wrapText="1"/>
    </xf>
    <xf numFmtId="0" fontId="24" fillId="12" borderId="73" xfId="0" applyFont="1" applyFill="1" applyBorder="1" applyAlignment="1">
      <alignment horizontal="left" vertical="center" wrapText="1"/>
    </xf>
    <xf numFmtId="0" fontId="24" fillId="12" borderId="72" xfId="0" applyFont="1" applyFill="1" applyBorder="1" applyAlignment="1">
      <alignment horizontal="left" vertical="center" wrapText="1"/>
    </xf>
    <xf numFmtId="0" fontId="25" fillId="12" borderId="77" xfId="0" applyFont="1" applyFill="1" applyBorder="1" applyAlignment="1">
      <alignment horizontal="center" vertical="center" wrapText="1"/>
    </xf>
    <xf numFmtId="0" fontId="25" fillId="12" borderId="79" xfId="0" applyFont="1" applyFill="1" applyBorder="1" applyAlignment="1">
      <alignment horizontal="center" vertical="center" wrapText="1"/>
    </xf>
    <xf numFmtId="0" fontId="26" fillId="12" borderId="80" xfId="0" applyFont="1" applyFill="1" applyBorder="1" applyAlignment="1">
      <alignment horizontal="center" vertical="center"/>
    </xf>
    <xf numFmtId="0" fontId="26" fillId="12" borderId="81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24" fillId="13" borderId="73" xfId="0" applyFont="1" applyFill="1" applyBorder="1" applyAlignment="1">
      <alignment horizontal="left" vertical="center" wrapText="1"/>
    </xf>
    <xf numFmtId="0" fontId="24" fillId="13" borderId="72" xfId="0" applyFont="1" applyFill="1" applyBorder="1" applyAlignment="1">
      <alignment horizontal="left" vertical="center" wrapText="1"/>
    </xf>
    <xf numFmtId="0" fontId="26" fillId="13" borderId="80" xfId="0" applyFont="1" applyFill="1" applyBorder="1" applyAlignment="1">
      <alignment horizontal="center" vertical="center"/>
    </xf>
    <xf numFmtId="0" fontId="26" fillId="13" borderId="81" xfId="0" applyFont="1" applyFill="1" applyBorder="1" applyAlignment="1">
      <alignment horizontal="center" vertical="center"/>
    </xf>
    <xf numFmtId="1" fontId="13" fillId="2" borderId="29" xfId="0" applyNumberFormat="1" applyFont="1" applyFill="1" applyBorder="1" applyAlignment="1">
      <alignment horizontal="left" vertical="center" wrapText="1"/>
    </xf>
    <xf numFmtId="1" fontId="13" fillId="2" borderId="60" xfId="0" applyNumberFormat="1" applyFont="1" applyFill="1" applyBorder="1" applyAlignment="1">
      <alignment horizontal="left" vertical="center" wrapText="1"/>
    </xf>
    <xf numFmtId="1" fontId="13" fillId="2" borderId="2" xfId="0" applyNumberFormat="1" applyFont="1" applyFill="1" applyBorder="1" applyAlignment="1">
      <alignment horizontal="left" vertical="center"/>
    </xf>
    <xf numFmtId="1" fontId="13" fillId="2" borderId="8" xfId="0" applyNumberFormat="1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left" vertical="center" wrapText="1"/>
    </xf>
    <xf numFmtId="1" fontId="13" fillId="2" borderId="24" xfId="0" applyNumberFormat="1" applyFont="1" applyFill="1" applyBorder="1" applyAlignment="1">
      <alignment horizontal="left" vertical="center" wrapText="1"/>
    </xf>
    <xf numFmtId="1" fontId="13" fillId="2" borderId="2" xfId="0" applyNumberFormat="1" applyFont="1" applyFill="1" applyBorder="1" applyAlignment="1">
      <alignment horizontal="left" vertical="center" wrapText="1"/>
    </xf>
    <xf numFmtId="1" fontId="13" fillId="2" borderId="8" xfId="0" applyNumberFormat="1" applyFont="1" applyFill="1" applyBorder="1" applyAlignment="1">
      <alignment horizontal="left" vertical="center" wrapText="1"/>
    </xf>
    <xf numFmtId="1" fontId="13" fillId="2" borderId="3" xfId="0" applyNumberFormat="1" applyFont="1" applyFill="1" applyBorder="1" applyAlignment="1">
      <alignment horizontal="left" vertical="center" wrapText="1"/>
    </xf>
    <xf numFmtId="1" fontId="13" fillId="2" borderId="59" xfId="0" applyNumberFormat="1" applyFont="1" applyFill="1" applyBorder="1" applyAlignment="1">
      <alignment horizontal="left" vertical="center" wrapText="1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left" vertical="center" wrapText="1"/>
    </xf>
    <xf numFmtId="1" fontId="13" fillId="2" borderId="10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left" vertical="center" wrapText="1"/>
    </xf>
    <xf numFmtId="0" fontId="20" fillId="9" borderId="64" xfId="0" applyFont="1" applyFill="1" applyBorder="1" applyAlignment="1">
      <alignment horizontal="left" vertical="top"/>
    </xf>
    <xf numFmtId="0" fontId="20" fillId="9" borderId="65" xfId="0" applyFont="1" applyFill="1" applyBorder="1" applyAlignment="1">
      <alignment horizontal="left" vertical="top"/>
    </xf>
    <xf numFmtId="0" fontId="0" fillId="0" borderId="6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7" fillId="0" borderId="67" xfId="0" applyFont="1" applyBorder="1" applyAlignment="1">
      <alignment horizontal="left" vertical="top" wrapText="1"/>
    </xf>
    <xf numFmtId="0" fontId="17" fillId="0" borderId="70" xfId="0" applyFont="1" applyBorder="1" applyAlignment="1">
      <alignment horizontal="left" vertical="top" wrapText="1"/>
    </xf>
  </cellXfs>
  <cellStyles count="126">
    <cellStyle name="20% - Énfasis2" xfId="62" builtinId="34"/>
    <cellStyle name="Buena" xfId="60" builtinId="26"/>
    <cellStyle name="Estilo 1" xfId="4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Millares" xfId="125" builtinId="3"/>
    <cellStyle name="Millares 2" xfId="1"/>
    <cellStyle name="Millares 2 2" xfId="3"/>
    <cellStyle name="Millares 2 2 2" xfId="65"/>
    <cellStyle name="Millares 2 2 2 2" xfId="74"/>
    <cellStyle name="Millares 2 2 2 2 2" xfId="122"/>
    <cellStyle name="Millares 2 2 2 2 3" xfId="106"/>
    <cellStyle name="Millares 2 2 2 2 4" xfId="90"/>
    <cellStyle name="Millares 2 2 2 3" xfId="114"/>
    <cellStyle name="Millares 2 2 2 4" xfId="98"/>
    <cellStyle name="Millares 2 2 2 5" xfId="82"/>
    <cellStyle name="Millares 2 2 3" xfId="70"/>
    <cellStyle name="Millares 2 2 3 2" xfId="118"/>
    <cellStyle name="Millares 2 2 3 3" xfId="102"/>
    <cellStyle name="Millares 2 2 3 4" xfId="86"/>
    <cellStyle name="Millares 2 2 4" xfId="110"/>
    <cellStyle name="Millares 2 2 5" xfId="94"/>
    <cellStyle name="Millares 2 2 6" xfId="78"/>
    <cellStyle name="Millares 2 3" xfId="2"/>
    <cellStyle name="Millares 2 3 2" xfId="64"/>
    <cellStyle name="Millares 2 3 2 2" xfId="73"/>
    <cellStyle name="Millares 2 3 2 2 2" xfId="121"/>
    <cellStyle name="Millares 2 3 2 2 3" xfId="105"/>
    <cellStyle name="Millares 2 3 2 2 4" xfId="89"/>
    <cellStyle name="Millares 2 3 2 3" xfId="113"/>
    <cellStyle name="Millares 2 3 2 4" xfId="97"/>
    <cellStyle name="Millares 2 3 2 5" xfId="81"/>
    <cellStyle name="Millares 2 3 3" xfId="69"/>
    <cellStyle name="Millares 2 3 3 2" xfId="117"/>
    <cellStyle name="Millares 2 3 3 3" xfId="101"/>
    <cellStyle name="Millares 2 3 3 4" xfId="85"/>
    <cellStyle name="Millares 2 3 4" xfId="109"/>
    <cellStyle name="Millares 2 3 5" xfId="93"/>
    <cellStyle name="Millares 2 3 6" xfId="77"/>
    <cellStyle name="Millares 2 4" xfId="63"/>
    <cellStyle name="Millares 2 4 2" xfId="72"/>
    <cellStyle name="Millares 2 4 2 2" xfId="120"/>
    <cellStyle name="Millares 2 4 2 3" xfId="104"/>
    <cellStyle name="Millares 2 4 2 4" xfId="88"/>
    <cellStyle name="Millares 2 4 3" xfId="112"/>
    <cellStyle name="Millares 2 4 4" xfId="96"/>
    <cellStyle name="Millares 2 4 5" xfId="80"/>
    <cellStyle name="Millares 2 5" xfId="68"/>
    <cellStyle name="Millares 2 5 2" xfId="116"/>
    <cellStyle name="Millares 2 5 3" xfId="100"/>
    <cellStyle name="Millares 2 5 4" xfId="84"/>
    <cellStyle name="Millares 2 6" xfId="108"/>
    <cellStyle name="Millares 2 7" xfId="92"/>
    <cellStyle name="Millares 2 8" xfId="76"/>
    <cellStyle name="Millares 3" xfId="5"/>
    <cellStyle name="Millares 3 2" xfId="66"/>
    <cellStyle name="Millares 3 2 2" xfId="75"/>
    <cellStyle name="Millares 3 2 2 2" xfId="123"/>
    <cellStyle name="Millares 3 2 2 3" xfId="107"/>
    <cellStyle name="Millares 3 2 2 4" xfId="91"/>
    <cellStyle name="Millares 3 2 3" xfId="115"/>
    <cellStyle name="Millares 3 2 4" xfId="99"/>
    <cellStyle name="Millares 3 2 5" xfId="83"/>
    <cellStyle name="Millares 3 3" xfId="71"/>
    <cellStyle name="Millares 3 3 2" xfId="119"/>
    <cellStyle name="Millares 3 3 3" xfId="103"/>
    <cellStyle name="Millares 3 3 4" xfId="87"/>
    <cellStyle name="Millares 3 4" xfId="111"/>
    <cellStyle name="Millares 3 5" xfId="95"/>
    <cellStyle name="Millares 3 6" xfId="79"/>
    <cellStyle name="Millares 4" xfId="124"/>
    <cellStyle name="Neutral" xfId="61" builtinId="28"/>
    <cellStyle name="Normal" xfId="0" builtinId="0"/>
    <cellStyle name="Porcentaje" xfId="6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9F0F3"/>
      <color rgb="FFE33113"/>
      <color rgb="FFD44C22"/>
      <color rgb="FFFF9999"/>
      <color rgb="FFFF5050"/>
      <color rgb="FFC80000"/>
      <color rgb="FFF69EDF"/>
      <color rgb="FFA55199"/>
      <color rgb="FFF0F0A4"/>
      <color rgb="FFDCB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518203</xdr:colOff>
      <xdr:row>0</xdr:row>
      <xdr:rowOff>66675</xdr:rowOff>
    </xdr:from>
    <xdr:ext cx="184666" cy="707886"/>
    <xdr:sp macro="" textlink="">
      <xdr:nvSpPr>
        <xdr:cNvPr id="9" name="Rectángulo 8"/>
        <xdr:cNvSpPr/>
      </xdr:nvSpPr>
      <xdr:spPr>
        <a:xfrm>
          <a:off x="9497103" y="66675"/>
          <a:ext cx="184666" cy="7078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4000" b="0" cap="none" spc="0">
            <a:ln w="0"/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573977</xdr:colOff>
      <xdr:row>0</xdr:row>
      <xdr:rowOff>89650</xdr:rowOff>
    </xdr:from>
    <xdr:ext cx="6427017" cy="1125501"/>
    <xdr:sp macro="" textlink="">
      <xdr:nvSpPr>
        <xdr:cNvPr id="3" name="Rectángulo 2"/>
        <xdr:cNvSpPr/>
      </xdr:nvSpPr>
      <xdr:spPr>
        <a:xfrm>
          <a:off x="6041574" y="89650"/>
          <a:ext cx="6427017" cy="112550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66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SEPTIEMBRE 2025</a:t>
          </a:r>
          <a:endParaRPr lang="es-ES" sz="66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2120731</xdr:colOff>
      <xdr:row>1</xdr:row>
      <xdr:rowOff>107192</xdr:rowOff>
    </xdr:from>
    <xdr:ext cx="3438955" cy="593304"/>
    <xdr:sp macro="" textlink="">
      <xdr:nvSpPr>
        <xdr:cNvPr id="4" name="Rectángulo 3"/>
        <xdr:cNvSpPr/>
      </xdr:nvSpPr>
      <xdr:spPr>
        <a:xfrm>
          <a:off x="7588328" y="1109173"/>
          <a:ext cx="3438955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DATOS GENERALES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112" name="AutoShape 88" descr="25.100+ Dibujos De Navidad En Color Fotografías de stock, fotos e imágenes  libres de derechos - iStock"/>
        <xdr:cNvSpPr>
          <a:spLocks noChangeAspect="1" noChangeArrowheads="1"/>
        </xdr:cNvSpPr>
      </xdr:nvSpPr>
      <xdr:spPr bwMode="auto">
        <a:xfrm>
          <a:off x="600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113584</xdr:rowOff>
    </xdr:to>
    <xdr:sp macro="" textlink="">
      <xdr:nvSpPr>
        <xdr:cNvPr id="1129" name="AutoShape 105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003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0</xdr:row>
      <xdr:rowOff>0</xdr:rowOff>
    </xdr:from>
    <xdr:to>
      <xdr:col>39</xdr:col>
      <xdr:colOff>304800</xdr:colOff>
      <xdr:row>0</xdr:row>
      <xdr:rowOff>304800</xdr:rowOff>
    </xdr:to>
    <xdr:sp macro="" textlink="">
      <xdr:nvSpPr>
        <xdr:cNvPr id="1130" name="AutoShape 106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26889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0</xdr:row>
      <xdr:rowOff>0</xdr:rowOff>
    </xdr:from>
    <xdr:to>
      <xdr:col>39</xdr:col>
      <xdr:colOff>304800</xdr:colOff>
      <xdr:row>0</xdr:row>
      <xdr:rowOff>304800</xdr:rowOff>
    </xdr:to>
    <xdr:sp macro="" textlink="">
      <xdr:nvSpPr>
        <xdr:cNvPr id="1131" name="AutoShape 107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26889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304800</xdr:colOff>
      <xdr:row>5</xdr:row>
      <xdr:rowOff>113584</xdr:rowOff>
    </xdr:to>
    <xdr:sp macro="" textlink="">
      <xdr:nvSpPr>
        <xdr:cNvPr id="1154" name="AutoShape 130" descr="Dibujo de Campana de Navidad fácil"/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304800</xdr:colOff>
      <xdr:row>5</xdr:row>
      <xdr:rowOff>113584</xdr:rowOff>
    </xdr:to>
    <xdr:sp macro="" textlink="">
      <xdr:nvSpPr>
        <xdr:cNvPr id="1155" name="AutoShape 131" descr="Dibujo de Campana de Navidad fácil"/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304800</xdr:colOff>
      <xdr:row>5</xdr:row>
      <xdr:rowOff>113584</xdr:rowOff>
    </xdr:to>
    <xdr:sp macro="" textlink="">
      <xdr:nvSpPr>
        <xdr:cNvPr id="1156" name="AutoShape 132" descr="Dibujo de Campana de Navidad fácil"/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304800</xdr:colOff>
      <xdr:row>5</xdr:row>
      <xdr:rowOff>113584</xdr:rowOff>
    </xdr:to>
    <xdr:sp macro="" textlink="">
      <xdr:nvSpPr>
        <xdr:cNvPr id="1157" name="AutoShape 133" descr="Dibujo de Campana de Navidad fácil"/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304800</xdr:colOff>
      <xdr:row>5</xdr:row>
      <xdr:rowOff>113584</xdr:rowOff>
    </xdr:to>
    <xdr:sp macro="" textlink="">
      <xdr:nvSpPr>
        <xdr:cNvPr id="1158" name="AutoShape 134" descr="Dibujo de Campana de Navidad fácil"/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304800</xdr:colOff>
      <xdr:row>5</xdr:row>
      <xdr:rowOff>113584</xdr:rowOff>
    </xdr:to>
    <xdr:sp macro="" textlink="">
      <xdr:nvSpPr>
        <xdr:cNvPr id="1159" name="AutoShape 135" descr="Dibujo de Campana de Navidad fácil"/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4</xdr:row>
      <xdr:rowOff>0</xdr:rowOff>
    </xdr:from>
    <xdr:to>
      <xdr:col>58</xdr:col>
      <xdr:colOff>304800</xdr:colOff>
      <xdr:row>5</xdr:row>
      <xdr:rowOff>113584</xdr:rowOff>
    </xdr:to>
    <xdr:sp macro="" textlink="">
      <xdr:nvSpPr>
        <xdr:cNvPr id="1161" name="AutoShape 137" descr="Dibujo de Campana de Navidad fácil"/>
        <xdr:cNvSpPr>
          <a:spLocks noChangeAspect="1" noChangeArrowheads="1"/>
        </xdr:cNvSpPr>
      </xdr:nvSpPr>
      <xdr:spPr bwMode="auto">
        <a:xfrm>
          <a:off x="40843200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0</xdr:colOff>
      <xdr:row>4</xdr:row>
      <xdr:rowOff>0</xdr:rowOff>
    </xdr:from>
    <xdr:to>
      <xdr:col>65</xdr:col>
      <xdr:colOff>304800</xdr:colOff>
      <xdr:row>5</xdr:row>
      <xdr:rowOff>113583</xdr:rowOff>
    </xdr:to>
    <xdr:sp macro="" textlink="">
      <xdr:nvSpPr>
        <xdr:cNvPr id="1170" name="AutoShape 146" descr="Dibujo de Bola de Navidad estampada pintado por Natyp en Dibujos.net el día  20-11-16 a las 02:29:36. Imprime, pinta o colorea tus propios dibujos!"/>
        <xdr:cNvSpPr>
          <a:spLocks noChangeAspect="1" noChangeArrowheads="1"/>
        </xdr:cNvSpPr>
      </xdr:nvSpPr>
      <xdr:spPr bwMode="auto">
        <a:xfrm>
          <a:off x="44129325" y="54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0</xdr:colOff>
      <xdr:row>4</xdr:row>
      <xdr:rowOff>0</xdr:rowOff>
    </xdr:from>
    <xdr:to>
      <xdr:col>65</xdr:col>
      <xdr:colOff>304800</xdr:colOff>
      <xdr:row>5</xdr:row>
      <xdr:rowOff>113583</xdr:rowOff>
    </xdr:to>
    <xdr:sp macro="" textlink="">
      <xdr:nvSpPr>
        <xdr:cNvPr id="1171" name="AutoShape 147" descr="Dibujo de Bola de Navidad estampada pintado por Natyp en Dibujos.net el día  20-11-16 a las 02:29:36. Imprime, pinta o colorea tus propios dibujos!"/>
        <xdr:cNvSpPr>
          <a:spLocks noChangeAspect="1" noChangeArrowheads="1"/>
        </xdr:cNvSpPr>
      </xdr:nvSpPr>
      <xdr:spPr bwMode="auto">
        <a:xfrm>
          <a:off x="44129325" y="54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76" name="AutoShape 152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2922150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77" name="AutoShape 153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78" name="AutoShape 154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79" name="AutoShape 155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80" name="AutoShape 156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81" name="AutoShape 157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82" name="AutoShape 158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3" name="AutoShape 159" descr="Dibujos de Navidad, Fáciles Para Colorear, Imprimir y a Color"/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4" name="AutoShape 160" descr="Dibujos de Navidad, Fáciles Para Colorear, Imprimir y a Color"/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5" name="AutoShape 161" descr="Dibujos de Navidad, Fáciles Para Colorear, Imprimir y a Color"/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6" name="AutoShape 162" descr="Dibujos de Navidad, Fáciles Para Colorear, Imprimir y a Color"/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91</xdr:col>
      <xdr:colOff>0</xdr:colOff>
      <xdr:row>4</xdr:row>
      <xdr:rowOff>0</xdr:rowOff>
    </xdr:from>
    <xdr:ext cx="304800" cy="303119"/>
    <xdr:sp macro="" textlink="">
      <xdr:nvSpPr>
        <xdr:cNvPr id="126" name="AutoShape 152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2921029" y="5591735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27" name="AutoShape 153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28" name="AutoShape 154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29" name="AutoShape 159" descr="Dibujos de Navidad, Fáciles Para Colorear, Imprimir y a Color"/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30" name="AutoShape 160" descr="Dibujos de Navidad, Fáciles Para Colorear, Imprimir y a Color"/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31" name="AutoShape 161" descr="Dibujos de Navidad, Fáciles Para Colorear, Imprimir y a Color"/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32" name="AutoShape 162" descr="Dibujos de Navidad, Fáciles Para Colorear, Imprimir y a Color"/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7" name="AutoShape 163" descr="Dibujos de Navidad, Fáciles Para Colorear, Imprimir y a Color"/>
        <xdr:cNvSpPr>
          <a:spLocks noChangeAspect="1" noChangeArrowheads="1"/>
        </xdr:cNvSpPr>
      </xdr:nvSpPr>
      <xdr:spPr bwMode="auto">
        <a:xfrm>
          <a:off x="6292215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8" name="AutoShape 164" descr="Dibujos de Navidad, Fáciles Para Colorear, Imprimir y a Color"/>
        <xdr:cNvSpPr>
          <a:spLocks noChangeAspect="1" noChangeArrowheads="1"/>
        </xdr:cNvSpPr>
      </xdr:nvSpPr>
      <xdr:spPr bwMode="auto">
        <a:xfrm>
          <a:off x="6292215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2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5827661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3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5827661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4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5827661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5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6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7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8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9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</xdr:row>
      <xdr:rowOff>2457450</xdr:rowOff>
    </xdr:from>
    <xdr:ext cx="304800" cy="304084"/>
    <xdr:sp macro="" textlink="">
      <xdr:nvSpPr>
        <xdr:cNvPr id="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</xdr:row>
      <xdr:rowOff>2457450</xdr:rowOff>
    </xdr:from>
    <xdr:ext cx="304800" cy="304084"/>
    <xdr:sp macro="" textlink="">
      <xdr:nvSpPr>
        <xdr:cNvPr id="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</xdr:row>
      <xdr:rowOff>2457450</xdr:rowOff>
    </xdr:from>
    <xdr:ext cx="304800" cy="304084"/>
    <xdr:sp macro="" textlink="">
      <xdr:nvSpPr>
        <xdr:cNvPr id="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</xdr:row>
      <xdr:rowOff>2457450</xdr:rowOff>
    </xdr:from>
    <xdr:ext cx="304800" cy="304084"/>
    <xdr:sp macro="" textlink="">
      <xdr:nvSpPr>
        <xdr:cNvPr id="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59996</xdr:colOff>
      <xdr:row>24</xdr:row>
      <xdr:rowOff>17318</xdr:rowOff>
    </xdr:from>
    <xdr:ext cx="304800" cy="304084"/>
    <xdr:sp macro="" textlink="">
      <xdr:nvSpPr>
        <xdr:cNvPr id="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75548" y="813212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1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1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1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1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1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1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1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1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1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1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1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1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1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1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1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1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1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1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1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1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1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1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1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1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1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1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1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1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1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1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1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1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1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1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1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1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1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1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1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1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1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1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1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1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1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1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1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1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1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1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1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1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1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1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1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1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1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1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1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1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1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1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1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1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1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1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36549</xdr:colOff>
      <xdr:row>100</xdr:row>
      <xdr:rowOff>2215</xdr:rowOff>
    </xdr:from>
    <xdr:ext cx="304800" cy="304084"/>
    <xdr:sp macro="" textlink="">
      <xdr:nvSpPr>
        <xdr:cNvPr id="1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145677" y="2329416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1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1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1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1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1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1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1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1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1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1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2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2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2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2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2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2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2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2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2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2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2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2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2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2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2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2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2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2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oneCellAnchor>
  <xdr:oneCellAnchor>
    <xdr:from>
      <xdr:col>66</xdr:col>
      <xdr:colOff>47625</xdr:colOff>
      <xdr:row>136</xdr:row>
      <xdr:rowOff>4949</xdr:rowOff>
    </xdr:from>
    <xdr:ext cx="304800" cy="304084"/>
    <xdr:sp macro="" textlink="">
      <xdr:nvSpPr>
        <xdr:cNvPr id="223" name="AutoShape 167" descr="Dibujos de Navidad, Fáciles Para Colorear, Imprimir y a Color"/>
        <xdr:cNvSpPr>
          <a:spLocks noChangeAspect="1" noChangeArrowheads="1"/>
        </xdr:cNvSpPr>
      </xdr:nvSpPr>
      <xdr:spPr bwMode="auto">
        <a:xfrm rot="20432246">
          <a:off x="49763177" y="29767481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2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2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88</xdr:col>
      <xdr:colOff>202407</xdr:colOff>
      <xdr:row>138</xdr:row>
      <xdr:rowOff>142875</xdr:rowOff>
    </xdr:from>
    <xdr:ext cx="304800" cy="304084"/>
    <xdr:sp macro="" textlink="">
      <xdr:nvSpPr>
        <xdr:cNvPr id="2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12703970" y="142398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2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2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2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2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2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2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2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2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2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2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2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2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2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2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2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2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2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2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2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2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2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2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2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2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2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2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2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2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2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2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2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2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2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2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2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2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2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2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2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2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2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2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2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2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2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2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2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2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2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2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2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2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2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2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2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2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2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2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2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2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2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7129700" y="66865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2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7129700" y="68770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2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7129700" y="70675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2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7129700" y="72580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2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7129700" y="70675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3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4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5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6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7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8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9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1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2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3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4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5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6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7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3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548587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3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567416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3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3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3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67</xdr:col>
      <xdr:colOff>47625</xdr:colOff>
      <xdr:row>64</xdr:row>
      <xdr:rowOff>2457450</xdr:rowOff>
    </xdr:from>
    <xdr:ext cx="304800" cy="304084"/>
    <xdr:sp macro="" textlink="">
      <xdr:nvSpPr>
        <xdr:cNvPr id="3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67</xdr:col>
      <xdr:colOff>47625</xdr:colOff>
      <xdr:row>65</xdr:row>
      <xdr:rowOff>2457450</xdr:rowOff>
    </xdr:from>
    <xdr:ext cx="304800" cy="304084"/>
    <xdr:sp macro="" textlink="">
      <xdr:nvSpPr>
        <xdr:cNvPr id="3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67</xdr:col>
      <xdr:colOff>47625</xdr:colOff>
      <xdr:row>64</xdr:row>
      <xdr:rowOff>2457450</xdr:rowOff>
    </xdr:from>
    <xdr:ext cx="304800" cy="304084"/>
    <xdr:sp macro="" textlink="">
      <xdr:nvSpPr>
        <xdr:cNvPr id="3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47625</xdr:colOff>
      <xdr:row>64</xdr:row>
      <xdr:rowOff>2457450</xdr:rowOff>
    </xdr:from>
    <xdr:ext cx="304800" cy="304084"/>
    <xdr:sp macro="" textlink="">
      <xdr:nvSpPr>
        <xdr:cNvPr id="3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47625</xdr:colOff>
      <xdr:row>65</xdr:row>
      <xdr:rowOff>2457450</xdr:rowOff>
    </xdr:from>
    <xdr:ext cx="304800" cy="304084"/>
    <xdr:sp macro="" textlink="">
      <xdr:nvSpPr>
        <xdr:cNvPr id="3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47625</xdr:colOff>
      <xdr:row>64</xdr:row>
      <xdr:rowOff>2457450</xdr:rowOff>
    </xdr:from>
    <xdr:ext cx="304800" cy="304084"/>
    <xdr:sp macro="" textlink="">
      <xdr:nvSpPr>
        <xdr:cNvPr id="3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69</xdr:col>
      <xdr:colOff>47625</xdr:colOff>
      <xdr:row>64</xdr:row>
      <xdr:rowOff>2457450</xdr:rowOff>
    </xdr:from>
    <xdr:ext cx="304800" cy="304084"/>
    <xdr:sp macro="" textlink="">
      <xdr:nvSpPr>
        <xdr:cNvPr id="3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69</xdr:col>
      <xdr:colOff>47625</xdr:colOff>
      <xdr:row>65</xdr:row>
      <xdr:rowOff>2457450</xdr:rowOff>
    </xdr:from>
    <xdr:ext cx="304800" cy="304084"/>
    <xdr:sp macro="" textlink="">
      <xdr:nvSpPr>
        <xdr:cNvPr id="3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69</xdr:col>
      <xdr:colOff>47625</xdr:colOff>
      <xdr:row>64</xdr:row>
      <xdr:rowOff>2457450</xdr:rowOff>
    </xdr:from>
    <xdr:ext cx="304800" cy="304084"/>
    <xdr:sp macro="" textlink="">
      <xdr:nvSpPr>
        <xdr:cNvPr id="3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70</xdr:col>
      <xdr:colOff>47625</xdr:colOff>
      <xdr:row>64</xdr:row>
      <xdr:rowOff>2457450</xdr:rowOff>
    </xdr:from>
    <xdr:ext cx="304800" cy="304084"/>
    <xdr:sp macro="" textlink="">
      <xdr:nvSpPr>
        <xdr:cNvPr id="3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70</xdr:col>
      <xdr:colOff>47625</xdr:colOff>
      <xdr:row>65</xdr:row>
      <xdr:rowOff>2457450</xdr:rowOff>
    </xdr:from>
    <xdr:ext cx="304800" cy="304084"/>
    <xdr:sp macro="" textlink="">
      <xdr:nvSpPr>
        <xdr:cNvPr id="3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70</xdr:col>
      <xdr:colOff>47625</xdr:colOff>
      <xdr:row>64</xdr:row>
      <xdr:rowOff>2457450</xdr:rowOff>
    </xdr:from>
    <xdr:ext cx="304800" cy="304084"/>
    <xdr:sp macro="" textlink="">
      <xdr:nvSpPr>
        <xdr:cNvPr id="3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64</xdr:row>
      <xdr:rowOff>2457450</xdr:rowOff>
    </xdr:from>
    <xdr:ext cx="304800" cy="304084"/>
    <xdr:sp macro="" textlink="">
      <xdr:nvSpPr>
        <xdr:cNvPr id="3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65</xdr:row>
      <xdr:rowOff>2457450</xdr:rowOff>
    </xdr:from>
    <xdr:ext cx="304800" cy="304084"/>
    <xdr:sp macro="" textlink="">
      <xdr:nvSpPr>
        <xdr:cNvPr id="3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64</xdr:row>
      <xdr:rowOff>2457450</xdr:rowOff>
    </xdr:from>
    <xdr:ext cx="304800" cy="304084"/>
    <xdr:sp macro="" textlink="">
      <xdr:nvSpPr>
        <xdr:cNvPr id="3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72</xdr:col>
      <xdr:colOff>47625</xdr:colOff>
      <xdr:row>64</xdr:row>
      <xdr:rowOff>2457450</xdr:rowOff>
    </xdr:from>
    <xdr:ext cx="304800" cy="304084"/>
    <xdr:sp macro="" textlink="">
      <xdr:nvSpPr>
        <xdr:cNvPr id="3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72</xdr:col>
      <xdr:colOff>47625</xdr:colOff>
      <xdr:row>65</xdr:row>
      <xdr:rowOff>2457450</xdr:rowOff>
    </xdr:from>
    <xdr:ext cx="304800" cy="304084"/>
    <xdr:sp macro="" textlink="">
      <xdr:nvSpPr>
        <xdr:cNvPr id="3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72</xdr:col>
      <xdr:colOff>47625</xdr:colOff>
      <xdr:row>64</xdr:row>
      <xdr:rowOff>2457450</xdr:rowOff>
    </xdr:from>
    <xdr:ext cx="304800" cy="304084"/>
    <xdr:sp macro="" textlink="">
      <xdr:nvSpPr>
        <xdr:cNvPr id="3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73</xdr:col>
      <xdr:colOff>47625</xdr:colOff>
      <xdr:row>64</xdr:row>
      <xdr:rowOff>2457450</xdr:rowOff>
    </xdr:from>
    <xdr:ext cx="304800" cy="304084"/>
    <xdr:sp macro="" textlink="">
      <xdr:nvSpPr>
        <xdr:cNvPr id="3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73</xdr:col>
      <xdr:colOff>47625</xdr:colOff>
      <xdr:row>65</xdr:row>
      <xdr:rowOff>2457450</xdr:rowOff>
    </xdr:from>
    <xdr:ext cx="304800" cy="304084"/>
    <xdr:sp macro="" textlink="">
      <xdr:nvSpPr>
        <xdr:cNvPr id="3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73</xdr:col>
      <xdr:colOff>47625</xdr:colOff>
      <xdr:row>64</xdr:row>
      <xdr:rowOff>2457450</xdr:rowOff>
    </xdr:from>
    <xdr:ext cx="304800" cy="304084"/>
    <xdr:sp macro="" textlink="">
      <xdr:nvSpPr>
        <xdr:cNvPr id="3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47625</xdr:colOff>
      <xdr:row>64</xdr:row>
      <xdr:rowOff>2457450</xdr:rowOff>
    </xdr:from>
    <xdr:ext cx="304800" cy="304084"/>
    <xdr:sp macro="" textlink="">
      <xdr:nvSpPr>
        <xdr:cNvPr id="3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47625</xdr:colOff>
      <xdr:row>65</xdr:row>
      <xdr:rowOff>2457450</xdr:rowOff>
    </xdr:from>
    <xdr:ext cx="304800" cy="304084"/>
    <xdr:sp macro="" textlink="">
      <xdr:nvSpPr>
        <xdr:cNvPr id="3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47625</xdr:colOff>
      <xdr:row>64</xdr:row>
      <xdr:rowOff>2457450</xdr:rowOff>
    </xdr:from>
    <xdr:ext cx="304800" cy="304084"/>
    <xdr:sp macro="" textlink="">
      <xdr:nvSpPr>
        <xdr:cNvPr id="3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47625</xdr:colOff>
      <xdr:row>64</xdr:row>
      <xdr:rowOff>2457450</xdr:rowOff>
    </xdr:from>
    <xdr:ext cx="304800" cy="304084"/>
    <xdr:sp macro="" textlink="">
      <xdr:nvSpPr>
        <xdr:cNvPr id="3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47625</xdr:colOff>
      <xdr:row>65</xdr:row>
      <xdr:rowOff>2457450</xdr:rowOff>
    </xdr:from>
    <xdr:ext cx="304800" cy="304084"/>
    <xdr:sp macro="" textlink="">
      <xdr:nvSpPr>
        <xdr:cNvPr id="3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47625</xdr:colOff>
      <xdr:row>64</xdr:row>
      <xdr:rowOff>2457450</xdr:rowOff>
    </xdr:from>
    <xdr:ext cx="304800" cy="304084"/>
    <xdr:sp macro="" textlink="">
      <xdr:nvSpPr>
        <xdr:cNvPr id="3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76</xdr:col>
      <xdr:colOff>47625</xdr:colOff>
      <xdr:row>64</xdr:row>
      <xdr:rowOff>2457450</xdr:rowOff>
    </xdr:from>
    <xdr:ext cx="304800" cy="304084"/>
    <xdr:sp macro="" textlink="">
      <xdr:nvSpPr>
        <xdr:cNvPr id="3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76</xdr:col>
      <xdr:colOff>47625</xdr:colOff>
      <xdr:row>65</xdr:row>
      <xdr:rowOff>2457450</xdr:rowOff>
    </xdr:from>
    <xdr:ext cx="304800" cy="304084"/>
    <xdr:sp macro="" textlink="">
      <xdr:nvSpPr>
        <xdr:cNvPr id="3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76</xdr:col>
      <xdr:colOff>47625</xdr:colOff>
      <xdr:row>64</xdr:row>
      <xdr:rowOff>2457450</xdr:rowOff>
    </xdr:from>
    <xdr:ext cx="304800" cy="304084"/>
    <xdr:sp macro="" textlink="">
      <xdr:nvSpPr>
        <xdr:cNvPr id="3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47625</xdr:colOff>
      <xdr:row>64</xdr:row>
      <xdr:rowOff>2457450</xdr:rowOff>
    </xdr:from>
    <xdr:ext cx="304800" cy="304084"/>
    <xdr:sp macro="" textlink="">
      <xdr:nvSpPr>
        <xdr:cNvPr id="3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47625</xdr:colOff>
      <xdr:row>65</xdr:row>
      <xdr:rowOff>2457450</xdr:rowOff>
    </xdr:from>
    <xdr:ext cx="304800" cy="304084"/>
    <xdr:sp macro="" textlink="">
      <xdr:nvSpPr>
        <xdr:cNvPr id="3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47625</xdr:colOff>
      <xdr:row>64</xdr:row>
      <xdr:rowOff>2457450</xdr:rowOff>
    </xdr:from>
    <xdr:ext cx="304800" cy="304084"/>
    <xdr:sp macro="" textlink="">
      <xdr:nvSpPr>
        <xdr:cNvPr id="3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3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718044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3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8791259" y="1736872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3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156753" y="21920791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3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156753" y="2210907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3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699456" y="2780192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3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699456" y="2799020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699456" y="2855506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699456" y="287433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699456" y="2855506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699456" y="287433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3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36161" y="2993571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3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36161" y="3012621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3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8125" y="303318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3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8125" y="305223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3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8125" y="303318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3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02923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3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147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3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147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3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0033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3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147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3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0033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3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3070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3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3255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</xdr:row>
      <xdr:rowOff>2457450</xdr:rowOff>
    </xdr:from>
    <xdr:ext cx="304800" cy="304084"/>
    <xdr:sp macro="" textlink="">
      <xdr:nvSpPr>
        <xdr:cNvPr id="3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</xdr:row>
      <xdr:rowOff>2457450</xdr:rowOff>
    </xdr:from>
    <xdr:ext cx="304800" cy="304084"/>
    <xdr:sp macro="" textlink="">
      <xdr:nvSpPr>
        <xdr:cNvPr id="3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</xdr:row>
      <xdr:rowOff>2457450</xdr:rowOff>
    </xdr:from>
    <xdr:ext cx="304800" cy="304084"/>
    <xdr:sp macro="" textlink="">
      <xdr:nvSpPr>
        <xdr:cNvPr id="3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3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3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3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3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3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3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3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3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3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3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3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3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3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3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3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3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3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3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3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3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3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3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3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3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3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3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3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3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4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4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4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4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4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4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4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4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4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4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4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4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4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4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4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4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4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4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4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4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4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4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4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4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4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4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4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4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4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4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4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4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4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4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4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4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4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4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4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4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4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4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4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4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4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4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4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4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4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4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4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4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4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4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4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4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4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4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4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4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4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4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4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4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4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4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4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4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4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4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4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4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4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4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4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4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4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4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4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4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4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4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4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4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4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4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4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4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4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46</xdr:row>
      <xdr:rowOff>2457450</xdr:rowOff>
    </xdr:from>
    <xdr:ext cx="304800" cy="304084"/>
    <xdr:sp macro="" textlink="">
      <xdr:nvSpPr>
        <xdr:cNvPr id="4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46</xdr:row>
      <xdr:rowOff>2457450</xdr:rowOff>
    </xdr:from>
    <xdr:ext cx="304800" cy="304084"/>
    <xdr:sp macro="" textlink="">
      <xdr:nvSpPr>
        <xdr:cNvPr id="4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46</xdr:row>
      <xdr:rowOff>2457450</xdr:rowOff>
    </xdr:from>
    <xdr:ext cx="304800" cy="304084"/>
    <xdr:sp macro="" textlink="">
      <xdr:nvSpPr>
        <xdr:cNvPr id="4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4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4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4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4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4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4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4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4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5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5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5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5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5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5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5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5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5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5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5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5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5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5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5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5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5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5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5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5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5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5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5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5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5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5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5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5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5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5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5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5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5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5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5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5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5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5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5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5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5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5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5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5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5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5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5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5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5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5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5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5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5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5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5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5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5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5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5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5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5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5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5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5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5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5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5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5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5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5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5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5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5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5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5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5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5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5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5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5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5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5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5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5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5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5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5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5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5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5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5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5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5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5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5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5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5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5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5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5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6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6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6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6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6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6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6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6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6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6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6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6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6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6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6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6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6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6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6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6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6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6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6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6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6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6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6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6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6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6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6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6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6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6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6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6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6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6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6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6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6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6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6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6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6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6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6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6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6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6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6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6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6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6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6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6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6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6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6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6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6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6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6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6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6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6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6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6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6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6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6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6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6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6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6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6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6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6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6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6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6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6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6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6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6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6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6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6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6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6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6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6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6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6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6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6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6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6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6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6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7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7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7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7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7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7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7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7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7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7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7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7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7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7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7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7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7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7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7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7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7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7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7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7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7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7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7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7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7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7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7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7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7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7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7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7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7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7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130</xdr:row>
      <xdr:rowOff>2457450</xdr:rowOff>
    </xdr:from>
    <xdr:ext cx="304800" cy="304084"/>
    <xdr:sp macro="" textlink="">
      <xdr:nvSpPr>
        <xdr:cNvPr id="7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130</xdr:row>
      <xdr:rowOff>2457450</xdr:rowOff>
    </xdr:from>
    <xdr:ext cx="304800" cy="304084"/>
    <xdr:sp macro="" textlink="">
      <xdr:nvSpPr>
        <xdr:cNvPr id="7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130</xdr:row>
      <xdr:rowOff>2457450</xdr:rowOff>
    </xdr:from>
    <xdr:ext cx="304800" cy="304084"/>
    <xdr:sp macro="" textlink="">
      <xdr:nvSpPr>
        <xdr:cNvPr id="7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7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7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7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133</xdr:row>
      <xdr:rowOff>2457450</xdr:rowOff>
    </xdr:from>
    <xdr:ext cx="304800" cy="304084"/>
    <xdr:sp macro="" textlink="">
      <xdr:nvSpPr>
        <xdr:cNvPr id="7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133</xdr:row>
      <xdr:rowOff>2457450</xdr:rowOff>
    </xdr:from>
    <xdr:ext cx="304800" cy="304084"/>
    <xdr:sp macro="" textlink="">
      <xdr:nvSpPr>
        <xdr:cNvPr id="7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133</xdr:row>
      <xdr:rowOff>2457450</xdr:rowOff>
    </xdr:from>
    <xdr:ext cx="304800" cy="304084"/>
    <xdr:sp macro="" textlink="">
      <xdr:nvSpPr>
        <xdr:cNvPr id="7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7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7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7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7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7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7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7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7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7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7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7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7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7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7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7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7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7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7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7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7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7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7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7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7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7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7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7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7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7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7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7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7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7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7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7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7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7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7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7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7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7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7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7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7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7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7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7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8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8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8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8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8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8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8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8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8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8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8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8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8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8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8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8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8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8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8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8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8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8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8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8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8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8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8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8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8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8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8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8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8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8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8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8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8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8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8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8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8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8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8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8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8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8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8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8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8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8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8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8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8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8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8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8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8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8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8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8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8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8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8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8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8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8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8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8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8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8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8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8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8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8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8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8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8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8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8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8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8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8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8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8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8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8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8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8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8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8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8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8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8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8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8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8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8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8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8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8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9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9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9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9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9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9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9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9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9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9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9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9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9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9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9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9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9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9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9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9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9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9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9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9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9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9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9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9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9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9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9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9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9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9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9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9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9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9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9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9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9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9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9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9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9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9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9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9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199</xdr:row>
      <xdr:rowOff>2457450</xdr:rowOff>
    </xdr:from>
    <xdr:ext cx="304800" cy="304084"/>
    <xdr:sp macro="" textlink="">
      <xdr:nvSpPr>
        <xdr:cNvPr id="9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199</xdr:row>
      <xdr:rowOff>2457450</xdr:rowOff>
    </xdr:from>
    <xdr:ext cx="304800" cy="304084"/>
    <xdr:sp macro="" textlink="">
      <xdr:nvSpPr>
        <xdr:cNvPr id="9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950" name="AutoShape 104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951" name="AutoShape 105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952" name="AutoShape 104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953" name="AutoShape 105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6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7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8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9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0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1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2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3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4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5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6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7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8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9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1000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1001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2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3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4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5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6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7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8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9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0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1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2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3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4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5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6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7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18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19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0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1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2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3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4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5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6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7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8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9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0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1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2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3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5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6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7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8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9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40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41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2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3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4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5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6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7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8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9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0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1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2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3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4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5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6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7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58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59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0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1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2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3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4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5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6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7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8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9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0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1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2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3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4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5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6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7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8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9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80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81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2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3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4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5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6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7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8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9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0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1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2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3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4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5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6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7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98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99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0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1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2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3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4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5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6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7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8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9" name="AutoShape 121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0" name="AutoShape 122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1" name="AutoShape 123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3" name="AutoShape 124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4" name="AutoShape 125" descr="Ilustración De Dibujos Animados De Carácter Para Navidad, Renos Fotos,  retratos, imágenes y fotografía de archivo libres de derecho. Image 25444448"/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2</xdr:col>
      <xdr:colOff>38501</xdr:colOff>
      <xdr:row>2</xdr:row>
      <xdr:rowOff>12370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0"/>
          <a:ext cx="2486396" cy="16575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229</xdr:row>
      <xdr:rowOff>0</xdr:rowOff>
    </xdr:from>
    <xdr:to>
      <xdr:col>7</xdr:col>
      <xdr:colOff>304800</xdr:colOff>
      <xdr:row>230</xdr:row>
      <xdr:rowOff>114300</xdr:rowOff>
    </xdr:to>
    <xdr:sp macro="" textlink="">
      <xdr:nvSpPr>
        <xdr:cNvPr id="5" name="AutoShape 84" descr="data:image/png;base64,iVBORw0KGgoAAAANSUhEUgAAAQkAAAFXCAYAAACx7LvjAAAAAXNSR0IArs4c6QAAIABJREFUeF7svemvZdd1J7b23me84xur6lUVWVVkkZJYMmWKktySR8lDt2MbHbvVQjrIhCADEKADJEi+NAJYjSB/Qj7kQ/KhvwRRG3Fsd9y2227Jska7ShIlUuJQLA7Fmt90xzPvHfzWOqdIJG6nfVVFkbr72U+v+N49956zztm/vdZv/dZaivyXt4C3gLfA32AB5a3jLeAt4C3wN1nAg4R/PrwFvAX+Rgt4kPAPiLeAt4AHCf8MeAt4C6xuAe9J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T7+DY75xTRP9dEu4roFxTRVU2UaKJQ077RtGM0kVL3v2cLzZerlKIBEc2VIrVUy6w0ShudxkGd5aWhLCMbB00/3bHzxZwGvaqhOqpx6J2yX588eRL/tt23Usq9j83oT/3/xwIeJN7jj4gAAXXfmoHg1sRQODAUpsEimEa6SEJdZVEZUNQ0daxtFBVlHtvaxkppo7QzipRurDOkgBr8/4oaq/lfzoZK1UGcJsVymYWuIZf04tI53ZRFgRPIk15/kec1hdrMa6uWQWqLKNgsmiIrh/FOSTt5TVdzSxcnluhZAIhTSuGn/3qfW8CDxHv4BrYAERBRSHQUEoURZbOU6qJHpk6paXpFrUa2Lkdl3WzUVbFhGxpaa4dN04zyIt8gcpFSOnDW4X0CRwI6Hfgo55QiawJDKkmjerHIlSJt4yRqiHSd53mllJn3e4OjbJk5E0Z3gii9q7Q+joJgEkTRLDa9aRjrKQXpktIwJ6pKoq2SiEoPFO/hB+zf8tQ8SPxbGurdeJlzDuFASEdHybKZ95uqGWVlvlVm870sW5yu6+yEpnJoNA3CUKfGhIkJdKpIJ9a5xDZN2tgmauomVlpFxpiwLKsgCIxSyqi6rrTRmsI4VmEQkG0aiuOImqZUVZlTEGgXBKEqq9ply9z1+gOLUMJaqmxDudLUlEWdaxMsB/3+IsurorE2M9pM4yQ52D84msUmvNsbDO40RPtxMjhITTytVbocGJPR7i6Ao/bA8W48TQ/uMzxIPDhb/q3fqd3Nzf7+S2nSBGmjsqEq1FZe5meqstqrGntCuWbHObdLrt51rt7Sqk4V2QRrXSsdKK2MVmQckSFHxpLT5EgrIo3QoiwrHYYhaW2oriuFKCOKIjLGUFVVFMchOVdTXecc1CRJSmVRUZYVrt8fMJ3hnLN15awy2pZF5YwKmqSXVotFbslRbcKwiKNoMTmeLuM4PojD5CCrq+Mw7t8xJrxX1/UB1e6uiqL9iMzEJGYxjHVJ06Ck839VKfW55m9tPH/Au2YBDxLvmqnf/iD2GK5eDY+0Tlxsh0Y3p6ytTrmm3qvL+kxZF0/Yqj5rm3pHEY20okQZirV2URQgbGi0s42y1mIB8xtrrfkbix+AQFi9dU1N0xBAAr/Hv7vX4rCiYO+BlHZ4NeH98FrbOKqqmuI4pcY2hNdqZaixRM46fn9jQprNF2RMQHGUuCAI3HKZ1VEU5koHBbyMMOodOaUPm6q519jmplb6RmD0HTLhvtb2SCu3n/TCo5mzi709qoiebbyX8SN4ID1x+d4zunMupeX1zeXSnsrz+QVbZh+2ZJ90rjln62bbNfWGbeoBORdr57TCOtZE2pDq9yLe+cuqUFVVUl1j4cvCDcOAoiimKAqZlwRIdAsfIIF/N40ACwAjyzKwlny8cw1VdUX8YUoAB+9ZlIgQFMVRTFVt+e9GG05tTKdzAAS8D4f3sJYIYGGto8Uyd3E8dNbpsq7rrGnsQhmaKqWPtDa3ydDrQRS9GAXhtWG/f6Nq8uPBqc0Z0XnPY7zHHlnvSbxLN8S5y+Hx8XZflfPtPK/ON2X+QVvXH7B1c15RvacU7WpSY6MoMloFSpFR1mpHWNiNwiLGjt9LI7KuJgBEWb4NEgABeAFxHPNPLPLO08DfABpYvM7ZFiwaPp4BxmhSRvF7No2jMJD3wfECJJrStMevZ8fFKWqcpeU849+HYURFUVAQhPwtIJGRMQn+bau6aWxtrQ50bYwpSOuFDtRhFIQ3wyS6boLojels+UacRC+PRts3es3GhE6ezLxX8S49nN6T+NEb2l3/Wnpkot2msBfKurhU1xXA4QPKuXOaHDyHHrIQmlwAMkEhe0gOKQhShLAfX5aUVhRGAS/0ugGPULFn0IUQQQBPAqFFwCABj6ELR+Qn/ptaoOj+2zFAgI8o4ZlUDXsjvV5KVVFSluccavR6AhIAG7g1eB/8d5r0+bPm8zlzHQAMZG3hgSgKqKktcx910xDyrWS0I6UabXQRheEyjKNjbYK7R9P5DeXoB2EQ/yBUwbXBzuYbg2oxo7OfLDxY/GifYe9JPET7CzF5NSrePD4za+oPV3X5ibIsP1XX5TntaNso1dPahdTUZNtv1zRkbUXw3bVyFIBnCMABGFL4hoeg8GfxCmTxK9Ia38JJYOfHeuwAAqEFwAS/677wWuz6HCYg1GhBB1wEg0SaUpkXLTAYSpKEQQleCo7D5+Ec4HHgFKbTKf8tDKIWoMCTACQaKouCyqpiIMI5iQrLUWACiuKoJmOK6Wy5qGt7Synzg0DH30166eX+YHCt6Y/vbW1dXCilPLn5EJ/Vv+mtPUg8RMO7115L8o2jk7Pj5d+xVf2ZxtafsNYhvOgp5wLXWOVspTRCACxS7ORlSU1dEjnZeaPAUISFGUWkTEgN+xitkLIVT/Luznfy7Z/iXeC/tezkdX2f3MTfACZpmvLVV03FXgQWMDwJ8Ugi9iTwO7z/Oz0T/Lcx+Jaw5m1+Q/GxeO9AG+YrnCXxeGzNmRJrGyZF8zKnGl6Qhmeh8TpX1baoG5ooHdxKkv63oij5i35v/B0dxtdHZ5869h7FQ3xY/4a39iDxkOzu3PPR7dfvndaNeqauy18jomeVdecU0dC52jR1pQQQCoqw+2OV2IbBgmzD/41FHgZashNBSA5EYqOoYZAQb4HFk+8Eh/aO4nc43gQB1VXNWQpoIzhUsLLw0zRhDyMvcsrzos2AwOMQsGnKkkKAE4CkqjiMQR5EiFLFngB4C3wLcYnwSDItAAloMnj1wyviUClCYlZApSg4ZOIjlGHAaPBWpGulgswE8U2lg+8TBd/WJrxskuT7p+N6n85+Mvcy8If00P4b3taDxEOy90uX/2AnTs3TAdG/Q+Q+46w9T9YO67oJnK2owe5a1+SaktI4JtACWExYVAwQED0YhATYkQUkrDK0KBqqWAqBA0SwDUAQ4bbs+Fjk7NZbyx4BFiWAIYpjWfwIaZyEClUJAhSeRkNxBFLUsciqQfhT19Tv99hCi8WCX4+vjt9AlgNkJ77glXQpV8QfgdEUBQFfE64TWZSgzboAsAr2XIAPCKUCahxx9qRBLKWNNTrMSQd3HalXbaO+ow193VXqhXo8vnnx4k/NvVfxkB7cv+ZtPUg8BFs798Xg5Svzi3HoPhNo94+stU+RtaOqqgJkAaqi4HAC5VdGKUoSgAQTDeLeOyd/M+JFACQCEIJkaJZVVFlHjRUQwO59n4uAtrrdybHYQSyCI8Br8Ic4TQirEfwDp0ajkIq84H8bpVl9iS/s8AAxAEu/lzJnsZjPKU4S9g6wuBE24FzLQsjMwWDAn8OA5CxzKWkUMkiUVUE1OAmwssyBWKrZ+2j1HUHA11fVjWgxSLOX4lRQWEcT17gbiuivHKkv10H03IJOvfb000/77MdDeHb/urf0IPGADf35z39e/+N//PcGx2/d+3hoy18PjPutuqpPam0iZ63KsiXNZ3N2v+FBIARgAZQwjS1ISN0mpJSI8TnODxEqBLzbljU0DchuIBVaUxInFCcp79RYtExeas2vwd/hdYD8DGPwDLV8BngDY5iLgPcCPThCHeEbhCxF2hVggVADP/G+UGTifAAS8C4gvAI4AGj6/WGbBjXsRTRFwe+B64L30FgroZFG/oYoyzNaLOb8/ptbW0KKhhFpeBZNg+uzTeMarc3SaP1W4+jrtQu+Wtnel8O5uXnh05/OH/Dt82/nPYmH/wx88YtfDJ44S6eK6dEvR9r+/V5sfqEsykHdNAaLIc9zXshw7eFBYNHA3cZP7Lr8zWRhG9sHwf2MAhZwXmHR1u1uj1Row1oFLF4s7MViyQgDLkKbsNVC8JtJaZdDSGJIs5tvWHXpbE2aw5Oawxt4GFGIejBoKQpexAASnCcWMr7gESFMYeHVfQFWwEIrBjYT0NHBPntI/X7KGRMQmMhywJMRoSiulXUgTGwyAPHnKj5veEMaJazGNEpTRmRetRR8uyjNnwY6/YauDm898qnPZQ//rq73J3hP4gHf/9e++MXEnKSL9fL43w118/cHafR0VXOYoXlh8e5KrGAEULBsuktFInyAIhI7bssvwNOA9gCLB+sK+gMAg4QacPstpb0eRXHCx0ymU/4dduQk7YkngayFdZQVOfXSPgWtTBsgsVwuyNaScgVYAGgQ3kRRwNFB3UCLwa0k2OvBewM48qJkIGDgCFALEtBikTEIRSH0EgFNjo/5PXppwtwIjkUog8XP1wcRFz6jrmg6nTCvgXPC9YFMZU4mFE8LQUhg4oml4PWsUF+3Jf2hsvSdx39ufEupT8sJ+q+HYgEPEg/QrKjJuHbtytAdHzxr69lno4B+tRcH57HosTg4FVlWwgdAndhKpZHBYJe8XfxY1Ag/sCtzOrENSeAJINzoFpmoKK2EGqi5sJaOj6fs1mPHT3p9ARPneFEfHR3Rzs4J1jwIYWhoPpsJX2BrairwC8QLHIVfIYcckrnA74MQoLLkb2RMBgOEF5GAhA7o3r0DJlPjGFLthAlYhCUAGVwbzhe8BzwoTrE2DRVlQQjBEHYAJPAa2AlKzyCCjgK6jIB/H0aJJRdM58v61Syr/qXW0b9KR1vfvfDMp48f4G30b/X/soAHiQf4SDz//PPReFzvTm/c+BVVL34j0M3PRIZ2paYi5J0TIIEFAJERgIBrJFA/0fIRDBAQRbUpRNE/tIlHC48AystAwgmtRf/Aiwj/bmg+XzAfgYXa6/dbbYKlZZbR7Tt36cyZM6yexOuxsCfTYw4lQq2owHk18CZQKRpSjNCCBZLgHIXXAEDkWc7gAyAIDMBOviezOferEg8Doi4597fTpKLdQEjDvAaTmFKIVhTZfS0G/hthmUNGJBQhF0vNVeCK0lbT6WLqXHAlSPq/uzU+9acnPvypaz4t+gAfZA8SD8+YNy9f7pXx4tzx0dG/F6jyM5qqjxhlh0kcU5LG4jnAlc5zTj0CGKSvA2L+tpoTOzZCDF5o0DRYLrxiohJVnAqcQczfeB3eC5kOeA/YrRGOIFUJngK7PIAJwANgunn7Dp09c5bSHnZsqDMDmkyOOdxACrapKsgvhJfgTAlASTwfhA3gKgBu+MbiFqDD+4QUmohMGJJD9oQJ04o/twOFTowl9SSS2TChFKV1IQZ4CIAUILHjb3A+vV5fFKBljZDGHh/Nq6Q3eiNO+n9iwuQP62brKx/46Z+GKtN3wnoIj7f3JB6gUV999fK4nE4ulfP5f6pc/imjmscMNXGMFCdnMNASqpUmQ4FoG16oFZOH4lkgo4FdE8QhV1ui20uec4wO99wEMcUtUQmQwM5ecqZDeAoABTyFJE27qkx21fOioHv39unEyRMMIpzF0CHNZhP2IAAUCHvggcDFx7mWRUbLbMlaCOii4hREq+Z0KchPAA+nV6FtIEUbG1v8syorqR7l7prSKQ/Hd/qNTsOBinYuTIsi1nDgWgASAAZ4E6gHwWv7/T5/L+bIDC1oMc/tcLQ5IRNcdmT+MB7u/p/ZtaPbH/7c50S04b8eqAU8SDxAc37ve396MijVJ8rl4j/XrnjG6Op0oEijKEvSiA3rB3o96A0geJKNr8oz9jBY46CIXX1IsaFJAEhgMaLQCqlPEJRJ2mceAmCCv5WsqOzif6Qi+7zo0DwGYQnABOCB+orRaEQ6ABFIFGiQjXOaz6ZULJc07PdoPB4zZ+CoYS9jMplQXqCiU0mYAgIziqiX9NoMR81aizwvaWdnl6IQtRwi5sLnSJoW1apd3YeESQC0qpbfAyi2d3clDGsgHwdhKtoMeCzgKtIkYYDIlzne36W9QZUX9atZUf/ZYPPUPxsP4u+f+sjfXTzA2+nfqrWAB4kH9Cg458Jrz33lQlkVn3ZV/h+TzZ8kW26RqxUYeoQXWDDQDwyHfVYkAiR4waBEG70fQFw2qJ3QHIYgPEFMX5UFFUVJRdWQVZpDDYAFQALggx0aX1zaneccFiAjgq0cCxCAwS49hxNddSh0GAFzARB3IdRI40gAJkIlZ0Oz+ZRmAJASmQZF/V6PFzE4h34P7bYVA9FymbGsG2EB0pg4P6RYQUpKdkWyNQArbm9TVwww+AkwwXUMh3g/uQZoKmAvDnPAYYAbYfK1IOUUDdKBq611R5P5flY2l3dOPfo7FAZfpOPkttdOPKAH+h1v40HiAdnU3X6uf/Xm0dO1LX9D1dVvujo7W1fLAXpHYtGJctpRFISUJFjAiDssC6GUa3gBY2EAEDiTADecsxqKAQRqRP5GfYQOeTfH4sIiQ/ggAidLx9MJ/046VEm8j50Yr8G/mQ9p1ZQAiZqLyRz4SZGEt6EBzg8cQVG2ZKbR7XljJUvJuSLxFCCoAi8hQBAxwdm0ik/mUeC1BMiYxBxKAGhwHjgWXyIlh7Q74XMHgODvXRYEr0Eogr8lYUzD/oDmi4wOjiaLqnJXTz362J+Wrv6CCujlC8/8ps90PKBnunsbDxIPyKCT6y9s7R/c/VRTlv9IU/Pz5KqdplrGeYYWb4ZBQjgHEH1cqMGhRYr0pREhFYCiaVBHgQ5RKO5Cbwi0qsTuC/dcQAJ1DlAlIp3IngLrEiR7skD2IUf2wb2dOgwAKtA+RG3YIylJaTGB80CHGyFJ8fkIcaQwBP8r/+4qP1HPgcUNDgTyCU5rcv+J4du/R+gDKRbXiIi3BG+GrwlZHq3aRS+gxCFXWUg2BiQryNimvq+buA8acUwxNCOkaJGh/LypSAd30uHGlbyy/5vVdOXJT37uJhfK+q8HZgEPEg/IlNdf+tqZepn9MpH9j5RrfjIO1FDrOqhZB5Dx7sgudINFg50V9QmiVYjA8rNoSr7BE7Ab3uoDUFGJhZkVJYG5KEr0ZkAVp0iksRjxPggVsFtDLg2gQIaEMx7s2kNNiVBn0GoRSjS7FQUlPAOIspKk7RMBEBGJtvTAlAUPAIFACp4NPKCiaDg9iTAjDGIGoOl0xhxJ2u+JJBvvEQZ8ruA38BPH4N8QbOGcOMxApoRDIQk38JouKwMuBde1MRrzuR7cu8cFbzs7JylKe9Pb+0cvF7X6X10YffnSz+6+7MVVD+ih9pzEgzXkS5f/+IO2rn5dOfsfBoaejIyLjZK2c7xDv0NNiYIpqfiUWo0YdRmtDFvaxqEPi7Sjg3eBxY4XsPiogoRZaiGw8Flk1CoocUVSXwFi1FDO2QcoJJFaBNdhaDDot5oK4QWg+kTnKfgromxEWXhJeQ5gy8gE8HyEQF0u5yIRx/lwP0tRWnbcBGsbWi8HdSRQa3KJeWBoZ2dHJOlcdVryZ29ubjBJC9DB+ULshc8aDAf89y670fW9gB2QCTq4t88p3u2dExQl/exotrhR1vR/KB3+yYc+83N/pdQjXqr9AB9v70k8AGM658y157/0TDmf/WZTVf9+GLozIQo4NYRPqPSU8m3x37HAUWXZufxwuTWDQVfaDU9DOkAFVGR5W/iEcAICJBRuSWk3SEBu+tLqEgAa8ERYfBSEnIngXRp9KljqTZw1ATmKwi4ch8UG5xwahK6zNt4Dpd2QX3PjGhaEWpZwD0YjOa9FxqRkVYJXUJTEKROL4DkQWrCmAlwL8x9Sso7UKMCtOx/xhKSLN4AD4QjCE84EwTviVnmSQkWYhutBJmV6PKHhcEij8SYFUVxO5vlh6dQfaxX/i5O75744+tBPHTyA2+rfwnsSD+YZQIu6W1eupFU6/WQ2m/5WXZT/II7UdqAcZt2QMSj77jpQi56gExR1jWrhVEjBVFvByd6BkI7ZcsGZCll4MbvZWIzwQFA0xdLq+azVLIAIRWZCYv00TloCU5rIcM9LXpDIOkiJNyo3wXcsFxl7Jkhz9gc9ipOIyiLnMm9Oz3LbfaIoSThkWk5n7NGgkxU0E6gJqaqGwxD2ZALNJebwoAAU2UKIR07vRm8XiXW8Bc4H5eb479lsxsDYTxMGBnggAEMALOTgUHyORmNKITt3uplmxbyy9E2lw9/r94f/9+mP/tobD+bu+neBBbwn8UM+B6jXuPXyl7aKPP/lKi9+05blrwzSYKC1NZrLpKXACkQel3/Dq2gLoyQDgSJtzQCBxYAvVFdKKzoQdEvehfGNxYiFih0cuzk0D+AMELNjgSNUwQKdTo5ZYwDOA/+NbEoX+xcZiE1kLCTuH483QQDSbL68/55QZEL1dbx/j27ducUcSS9J6NSZU3R0cET79/YZ1C5ceIw2Njb5/A/3j0AX0PbWNqdK58sFgwM8EuEyhI8Yj0fcyAY2efPNN+nw8JCJ0Z3dHQY62AReAs4NpetIzeLapLO3TByCxzEYjFieXlS1my6KypJ+0SrzB04nv/PhT3/uOz/kbfWHv8MCHiR+yMfh8uX/JTypzp2blYvfcnX9G9o1H9sY9SJla+0a7MLixsONZs4ApdS86FHkJP0kkK2QxrYc0NNyAeWheANlKzaCqAhyZ0488hAOyYh0pKUUgWnWPHC60DbcMEYa3kJzISEPVJSoROUiMxSBpX1ebGj2Ak8gyxYcxqQpiMIhFRVK28Vz2dreZEFYluW8m8PbgSeCXpZNJRkNpEOx28NbATigshThBQADoQV4BhCrXagBUhNgxqFEge7bMQu68HsAA8jetrdEqxtR1IAYRYVrA11I5abLwoZR8hbp8E+c1v/8Qz//9J8TXcK4Mp/l+CGfb+9J/BAGRJjxwgsvhI9u5aPj/YOnsmz+D5uy+GVq6ou9ONTa1YocFolwDVjkCO67lGUUJax1QOdpKCkVD9cR8FgspYAKpCAXdCkpEUcvBuywyDzAPe+EVDJnQ4bxLGczBgkcMxoOJNZnnYJ4FWjRL53uWqJSYzIXFJKaVZwSukC46Ghrc4M00rNtJehoPGKAAkigtBszOsBFAOAOD45E5IV6EQwN5RQruBe06YcwCq3w+rLgraXecIgBI5zeRX+No8NDGrEHAcWmACqAqQOIjqOBJ4ZydAis8rKm+TKnZVbYdDDet2S+bi39Xx/86NO/T6O7U5/l+CEecO9JrG48Gep7xey/lCeFCcZVNTurnftIU+a/bov842WenXR1SYFq+BuNWziLwWO4utJv9IfoWtMHDBLgGpKkR2nal/bzGPYZRuxlSBMWaf4y2BjRYjZlrgJfMTpeYzFVkq1AOIHybyxyuPbYuaFtQMEW+AbUZ2Dn7nphFiAfK3gwIW1ub/POPZ9PaZktWIEJSXlX0QldBnZ4eBHIRKCOA8pPkIk3rt9kjmA82pAu3DwzBB5Uw1mOushbEEgwsJg0CrbQlSrPOMxAWvPkiZPMVyAc6kKvrq8Gzh0bJOwdAAAgAElEQVQAhZALFacwS17UrJfI8tIONrZnjXUvZEX1Z5snz/2OiZqbTS9enJ2Mmit57p599ll2dLx38bd/9n248bewGbIYd+58N1FKD5aT6V6dTR9t6vKD/TD9Sa2aZ1xdPFpmy958dkzGVRQoCJVaFSO3lEPRVsCcBDIVAA2e28mdokRFiWE3eJoNQpE44VQjQUsgU3WIejFN9+9SnWUsPorHY2qyJbeKw1doNE0nE56wtbW7Q/OjIyrzjEMTLHaEG6zubGP9+TKjMO7RYLTZ9tEUohGeCtpccP9NI5wJCMWuMYxwBNBq9FgQxvM2cE08GF06agdQjg5S0lFANEeNyIyyth8FwAuyb3gI49GIkkgKvPD+m5tj5iqOj4+ZZzl16hTzENxoFyKuxnFRW1U7KsqGsrJ227sn8qKyN+bL/FvDre0/CuLwahwP7lo1mJthWiwWurx48SKMhDGCPgz5Wzz3HiT+DcZyzkW0vx/fPr6eLAubWqoHZJqxq8vtui5ORZowqu/RsirO9eLojHLNbqCoH2plmqqgYjmjuoDbb6XtfVs5CZDQSE+2uzkP3w0iqhu41lYG5ijUW6BvJQbi1LxDh0mC1lAgNdhrQL2HLaUdHPiHrmkuaxp4PihRmMZULJYyCQyufRBQiYYxZdv8FuEMUo3oVpX0aN6SiGEIjwfVnAVrHOB54DPgPXTt6wASo9EGZzO4JsMShyG4HjxU4DE43EJ4g2wNt/JH+350tYKeQqTjOF9gSsEZDOlB0Y0i5B6fbdMdPoe2tf9ykYOwZDvBQ6stub29Mzav6vl0kd2KwuTlIEmuV407yIpq6rSeBjqYBDqaJElyHCszibeHi1BF2XBvnBG9VRI9W3vw+OsXgweJ1i7OfV7TC58N6ARF86ZMXdZsZWW2UxT1dtXkO45o0xizrQ3tVEW5Q9ScImu3ra03I6P7tqljzKtBARee+wY1DxU2LugZUKotvS3Bz6PdHLek4y7R6CgFRaMM80V8D74CUmsmGquShsMxaegO0FkbvSAwIRzk4DLjIioUU8FNx3uiAQ3SnFyFya+r7vMhcPMhRhLiEi30UwLdaBVmezoq59KgF4QkuNHlYiFjA1GE1tRcyMUycW7sbRnIoAYFB9GVjjNJ20Bi3g0ZamXfbZMcLHRJiyK7gloO4S/ANYgt2uKuBulY9L0gyhYLJl6hD8mzgjMxAAeAKzgchFxJ0od3UeVllUVReqS0Oaobu6iqOnNEc2XMvJf2ZqPh4Lgqq8PauiP8LOfLg6DXu9PbHB2d7F2Y094exgr6aWGekxALfOELXzBPPUVmPD1rRo9Q6hbVuCK77ZQ7Udf2EVvbc42tz9im3nNkt8IgGAeBHpZFkVpbx/CmtVZGcYs2cA+WFxRSjug2xV6tkqwFUoCTyZSZ/53tbXajwQvgp4CHfOHfKMPmmRbQF2Q5bWyMOb2YlxUNtzZRe87aBs46cGm5ZEpQFm6iSGpAeGKXTP8uCpCnjnr9nrSy4+IqLFJM8LKULWb8jcwCCE7uO4kWcktkIUB2Kt7ppY2cCLgAYOAieIHzNcccCnSFWwgPcDz+BmGVtKnS3HcTnb8h34anJFl4R9vb2/yenAnBZ8+nNBgOmfBEQ10QrgCtJTIrZdMWuMXUHwxoc3OLO3KhRR8EHYP+sKnqumkai27bcGVqDCse9IZlf9Bf5nkxY4Aoynt11dyIe/1Xgv7wtbg3uB5Fw3uzG5PFHlFFzz7b+EY2a6yTAL9wdHRlQDmNKSvHVZmfrov8ibqun6xsfU4T7Rmtt4zRgzjQqQkCTKYJGlsrTsvVNXthPEALDzYPwEHcr3n3RXUlUokAjG6oLx7+fJnRyZMneREjLsfC6CUpx9y8C9citwZIYFcHD7C1uckLfoHaDbjo6NlAiNEb8SJQ4IWq0CjihjTcpQqKTOzwRjNI4BzghWgVSKYEZevcs4JoOZ/QcnZEo6EM/wVfgWvE3xBe4FyzZcbZEXTXxkIGYKAVn4AEFJcyAxSPFA8UimO6c+c2C7EARhCDWaeoh76YUUzHR4fsiQC8cL3IbCA0wfvjs4p8ToNej8Oc6fERZ0nmiwVniIbjLU4HA2TAYfA5No6Oj45B3rqd3ZP8uXzdyKSkqePyeYR5Srs8L60mVWijM63NNIh7txsTv9yo6AWKo++rJnhrONo4WLhkuru7i45Xa81hrFW44S5fDuncINnPlsNZtthVhTtv6/xxV2ePalKnEEIool0OLTT1tNaRMdqEgcYPXgGIl7kWgnshtEN42X2WgTddURT/TUsDGYQGnCFATF3XtH3iBGccMmQerGXpNUhJbnoLwRQmYKHgKwiY+ecWd5hwhdZv+H0MsRMWs5Ra8+wdMP+YG4r5m8h2gIeARDpJWP8AkMBCxYLFwoaXwp4MGtcsZrScH9PmxlC6WOU5ew6DvjSmhXcDwhEpTGQecG1c9i0TgPm6UMnafaGNHTyao3t3uQs3e02o8dCGoqTH/17MZ3wNOC9u2c91J20TXJCbiymTsAiXlsuZ9NtEuJX2aHNrh+aLJYdF4HCkya7hNCpGCpw4cYrfT7p1Aajj+924rHWOwzrkYbWyQRDWOojQ+3u/JHPbWnOTlLseh/FVE8evRr3BGzvj4Ihm/cW6hiI/1iAhU72vBHfuhFFaBfHk+HjTNeVebu0FZ6vzzjaPaUXnIuX2tKYROdtXSsWKVKiYpncybpOddumJwIKltqS7m5EBT+Kdna6x8UCWzBWUPFevm6UhjVcGGxsS54MvaBo62j8QXQTXYUg1JANGS9qxHoJBIKQSXABcdpCO0FegmQzGBfIAHjTcTXgx1ezdWOr1BlxiLl4HxE996dnQipQQYlTFkvLljJvhdMAEcIKYqgNFABk8iYp5FnTEjrnwjNvToYakHR/I3hVIWQDcbCYq0wBNdyrJnijoMkDS1tJRi3kYeBAgSYX7QIp1NjuiAIIxyMiLnDUbPF8k7VEP/STmi1bejn6YKHTTLNKCWnVjvNm2yhORGncUb/tp4HUAFmmVJ5JyMiGZpF9QEOfWmYUj2ielritS16yja9qYt6IwfCMy6W2liunmY89mRP+0Vurza9FT88cSJBgcrlwJ9gd5otRglLl82zblLjl3tqmaJ+u6/ommqc6Ta7YDo4dDaI6VM85aptq5xsFJlygeZ9eOxZN28JJxgCdxv3CKW8e3Q2b4GEikMY1KZmGiZR0WAd4X9QmQWMNV5g5QTUP7d+/db183m87azlByHttbWxxyYKElvR5N5guKuXtULI10YzkfxPtw3+E5IARB1gOLpj8Y8ULEggRBigpL0RgUvBh7vZj7WwIooKGA+w5PCSAx7Kf3BU3whnA+XK2KeRgIe9pMRgekIqASz5zBEb0kuBsV0WI2JxOFVJUoLoMuBJ23cxnAoyXFCs8LNkdW5XhySAMUgBmEVRWdOnmS+r0+2wHXgU5YXVVpd/2dQCwwMq4QgIBzQliH3p2dbB3AifQqV63yCwPqjzcpSvsYLQgno2yaZlFXzXHT2DtkgutBELwQmPAliuLr2tDNeDw82tq6uAQP++MejvzYgYR4DxQtr397e39R7tmiuFiUxSVN7rEg0I8Ggdkz2mzVdTGo6zIIjFHj0ZB3sKoqVTf0Fh2suwIsjOcFeCCG56G6PEdDhtZwWMFPmqgDRQmJeF56McA7YHKyxIBcx12f8ZP7NvZQgeno8B42Lgy1kdmc+Bv3gKwqfv2du3c5TEH59WQ2o95gxCCDC017AykZx+xNpEpR44GSau4RueSqTVksmL/ppMdlCyIo6ur3E3INsgYL1lDg7/jCAjItSdmBARZbfzSkKI5Yl1EV0pKPBx+z/Fo8ps6rQpdwhATcFwIkJ2aA1o7TvcCQZS42YdBE5oXVmRVnRuaLKZ0+eZIGPYBWTpubmzybFOAHrgGeEbwB7vFZluxlYA4IbNdVlSIti9cBZONY+lhAlIVsEX4H4GYwA/8DnUcYw1tzsCVU8pgyaK3FPNKF1mZf6fC6CoKXLDVXojh+cTjcvd7frY+ILv5Yay9+LEBCgOFqNHkz67mmHtWOdotsealu6idtUz1OZM8qRTuRMRtG6wG4hqapg7oqOawGbyA7YFs/wWv+7V1Rt+EGbzptDwjUJaDsGZ4Cd8FuB+XwdKs85xAFKsduCC8fez9qh0hJqiWlx6X0heA4uh3e0+3G+L2EGyib1rTIc3a3saNiQUGhifQqdld4EbgK5i/aGgsQhSDsWGPQWBoOBlw7glAE8XuaRLzAixxdqGdcN8GiK/TkbFvvAbxgKOgkIM2GvcBZdMSl9OYUXoEBtKpYIYp0MIcjAEyIpTLM1oBOJJJxfyBXnYRxWLxiI9wD6CmWXPSFXhsIW9jDYY0F+n1K0Rfs0nWt2tzc5sIwgE03t0PmrUt4iBCDxxtq3BOETR0Pgq5h+FQRrINchUsDYFVaO6WN1UbXSpnCKTW1jm6XVf2aUvolE0QvpDr5fpO4ezvR6Qnt7WGI8Y8dyfm+BglM76ZbH4hmNOsVeb5d5tmjTVM90jTNuUC5S47cBSJ7Ujk7xEZtFIUoWeCnkYuuZMI1hsQIDyBcwP3BMi0gMGBwxqDdNXluZhuKtGnPbkYGHlpImuF9dCDBjVd4WI2oBvHFuye0EFhALCLq+k1IO3ke8BuGVOYFxT0Zf8c7JIABC0rJbg/XGfoFntoVJfcXH48CbBxrCFBTwYRkO5MDzWLAC6BOg8VMZHl6F6o90ZSGm91Ak8ApUMzxRFhkGSQAesi6dP0fWCPBkYVwKUIYAnQyHhnAIGoMZzUWUHe2TXxFMcm1sffb6iPdKsAifTCTHrycmhbHx203LYCPfAsP4yQ8qWpOg/IEMK4twbhBgI80yOHwkWetynBjAYC3J6RxmIKwiO8PakuwztvBSS24tOALbM2MCaaO3I26di/bxn1Pm+CVMI6upoPxjdHEzenSj1dx2fsOJNpwAvUTenZrOC7n893aqNNVWTzmqvIjVV1/iFzzSBwEm0rTQJONlLMaDxMe5K5YiVMVWkREMs9CxtpJCzlp6sqFWe0u2bnVAAr8De/FfAV3e5aJVFgQWNSLhSw+tGfDz86tfbvzU8UxPZridqDBROX94cCSlYC4CAVbvY0NyYy0ZFucJgxwWAyD4aiNrRUDAsRGaG+Hv0NcxYNz4pirRrFIRemItnaWS8zv97PkUKBkQMC54PeoAwHRiXNFGAT3HilKAAi+kLrlKV5o0W+b+41y8DfuRdGOCuA0bZJymhihUIDitjDiEAS7NtKTAA2kehM0DXZQnsJuOS3nyLzMOSXbDfhBh27cG3zBZjjn7p4BkA8Pj9kjQgiCa+XuXMXb5fdSPAdglpQtQA9cDc6Dy9KRFQGhyv4XCtzgYRCDB36ONjZwucu8KI+KsrynTPi9MAz/MurF3xpEyeuTwB7vfeVaQZ/7HCaSvO89i/cVSHBx1Z076TI/HGWUbcyX+WNNWX7YWvu0Vu7R0JhTYaC3Aq0H5KypykIVeabKPFdY1FDtYeFK70ieac07DHF7OKlIfJu4lNgarjgWP6c3eS6G7DAgJ7kFHTwGDNNByNKmM+eLmQBOoDkkAah0XZ/gEh8cHEjaUBvu9QgysxuYg4ccr8F7sute1zTc2eEuTQAJjuFRCYr2+dmShhsbnGJ1EC31+1QtoDEo2JXHNeFc076EGAArrqCM4MFoWswXvGODA2AehSs+22ca3lJTMUjgC8SjcA1t6TvG/LVNbzpAwYKVrlhYmA17J/AyYKPlsqDeYCAARkQn9k7zYuaGNexlLNgbAEBAhIWwaDad8L/RyWsxFZvyaMPqbZvCe0BtB2o9uAp2mdGbb16nxx9/nEECXoeMJiw4/Qvw6IrG4IHg7yJDh+JTvDdpKgzCFfcN/FPbfpBxSTPgmSCET4LbUNW2uVvX9pq19D0TBX+Zhun3N4abN2hOU/XEE5IOeh9/vS9AwjkXHB1d60/u3N3UTXVGK7rgGvtkUZUXrG3OB0qfSZJwHMdRGiMAty6YTaecrmNZMu982EExzwLio7ayESlHxO+8a7QTN++HGO04uu6/2bWVid/SLEY4BgEPkR7zcuDdRqouuSipEjUldt9uyhak1BBAgQRlt7nTSLQybUAXdkCcLxbyxvaWgEZVS6qxJQiZrOz3edHw7yCEKqHfwGuQ5pQdf2Nzi0uzmVhFKrLXJx1FlB0dsWcFgJCeEQ31h0PmFKBu7CURcwU4x8nRcZvZAQ8g7fAH/T4LnwAI4+GAsykACWlVl3OoADuA+IQXgwHGDMpa02C8QfP5UsRgcUyHx5O2xya6Z+E6ufsu96Tg4T6oUeHzL3mqGJrbgNTtsha431yENp/T9Tdv0Llzj3I6GEDA3ppDF64+F8UBUHijaJWjXWoXQ53hXYo3BWm6hJ6Qf/P24cCvSA0Jp2JIu6ZpXJaXRVnVU2RCgjh41ejwB0qp72Q1vVQ0o9tmPD7+8Ic//L6dLvaeBonLly+H584Nktm9g60ib84bl19Q1j5hAn3RWnvRNg3SmuMwDJJemoRJFCmkzBASoKtzN2MT0627obfchAXcAx4Q7EqQKWNh4QWtlyC5f/EcJB0qrD0k1XhYRS/BnKeEJG0fx47XgPuN7AY8E2RNuolV2MmxkDo3GQ/gO1OGeDh7Q3AMyKyJK91N3WJegMMf4UXwniHYeAz+4fQmajU0VQ3OV66FCUyUl4/G1B8MhcfICopAXsYxzQ/277fS45b+dcWVo7zYjo9YJ4EQBlmM2WTCiwwAAUEVABPVmxyyNA2dPLHTchYxZ2nwGuVq9rDAC4C0hFIUi4xL5iHiyhFC4N8BTWcLKZHnieoYSFQxPwF/DylR+HkACC6ZL0s6ubvLHheO5+Y0TJaiUnVO+/cOuPEuAKTjFmCTTp159+7dttNX62mlKYda3PfTSdjE7T9YUxGIlNyId4EwCdciFCs4DMsAWBYlVOBFlESzKIyRBXneBtF3iyb4QUN0NTus7z37S78E9aaQUu+jr/ckSIB3+NKXvmQ++MHxZp25vcVk9oEiX/5UoO2lUNN5TbQDyYGzTaS10ngoeyk6REtXZ3afC7SCQ9tY4bgZA7pKATwB4BQQZ6KwCaQbYuW2xwMejC7tyW4zypPbmoKuJoI5OgBIBxJtvl+UkhK6AGi6dGc3PAc7L5dpc8pVJowj3GDgCQLqD/r8EHItSJuK7GJufB7ic5nKLWw90oqoWcBCHIyG3GGqKGveoQEMACUsSgiZoMhEbN6RkYfHR9Jq34Dxx8KwHL5I7cScxqM2E4Ip33PxEtBBW0hLzVJqvD/ABZ4EUqQdp4F0KlKocOEBurhupBo5vm+9iWWGWgs0kIk43heRWs2eBJO9HALiVtWcVeKJ51pRjwciyziBLhWK8wGAoNYF2Q8AGk8Tw3VDh1FUbBMcAxAWh1O0LdLQBlkODEiWruLQlbCi1UnPDnTfwvuBND4+nsiGwmQyCOAlZXnGnAuAu9frLYIw2qcgerN06ttZ4y6TDV84e2r3jeErtyfq059+XwHFew4kmJh8663kUB1uZ4vFB7Jl+YmyzH+qaaoPxgFtRYEehGEQmcAoW1vlmgYOAd901iogA4GUIcuSZdQ9dzPiiVnChkMIhcWBm4pww6GysX2AJLshINHl/PF+smjxntJ7skuFMiHazqi4Tz6yPgKvEeITfAMWT5fd6EbZYefEAzudz6RvZSh9K1ni3YIOE3JtNgSLGYViAEUAGsISnBfCCrz/eGODFyIWCUAPYYboAUqu40DtBhYL1zHwoB5x5/kaeIgOdBc96aZdFjwblLtxo5tUKRkaXkzt53Zt+wEqcSQzPhhgtez6tsq5/gMghWtFHw3Ip5n/Qdl6JVPSeahQJk118DkcookbxyEbj0RElgS1MFFIG9BytDUfAFl4M6z9YN1Gw3oJAC5uOTI8XF/SytzhHaAGBAOFWFOCTE1VUYQ+oOgSDl1LFLF3ydPOOP0szwQ8E4CPKDxlywH3A3DsxHIAiTiOrQrCSgfhIkwGd2qnvm/JfbNp7DeSXvTK7vneoVLvn/DjPQUS7pVX4llaD5b5fK8uiqfKMvt449xHtFIXjVa7ZMsoCk2QJLHGTop+jvc7P7ekogSPwhHgWzwIfuL491gA2PkAJiCkFDpCoTFrl4Js3UBx7VvVJRN2bcjS1iiwJBv8A8CjTf91i4jl1O2ULpwjt6xrswZc24E6BGQQMOeznRjOi6gduIMHDlOs8IBi98Zu3VWMQh7NHZqwcFgTIVwJFgHaz0VxysIr7KA7uyf4fVA5Ca9pOB7xjo7jYD+ZF9qmdhuAgKSAsaiwa4O7EVDFt3AnSJHidQA3hF+wA0wHCTWDZ0vScojgMIlMNCTcnxP9HwiqEyX8CVKgokdowyR02JJwivUlLVcDL4eH9/CYREM9tLiDihT8xHLJixTgIFkkTSdPnmqzUwhbapkv0o5CxO2FtwHFaqdTAUhrZKhAWkYR9YcDDt94ZAC4EO5BChAVjQVPPOOpbBJuSNbn7R4dABSlNSzTWGXy/mB4R5vgpaqqvpUV2XfSMPl+Oty4vXH+eP5+aLH3ngAJ6B3uvbCb2OjoRF4258i6p5RtPmZd85NKqTNG6xEAHo1WwhBTuaUTUpYveRZEkUnREVxuIRXFe5AGJrIjySAcLGxZ8KzpR5owimm4MZbKyXdKqyHF5sUCT0HCBrwvvuGm4nfyPpZ0O8qua6IinAfqDlCHAAER+AOZFI4HMYGrjAcdDxqUmCjNbgvEACbYwUDAYZcEcXh4dMTnz0rMljwVjx3KQJwXFp9i0BsOR/wTOys6YWNxYvQfPKbNrU2O2cHo4++D/pBBglO57GZ3vSlFEQlvCaQhA2HLb6BsHSCB3RvpXiYqGUxkd+UWejyEp6AYPXLaGI9vAYuW0CjGcA8LliNg6bcdw3FOAF4AD0hRfN3XmqAMHHYGzEBKiQY2KESD8rOqGChwXbDf6dNnhUNCOrOQLlzS0Eaa/2AR43VdCDhHZy+cIIjtOKIRC8pk6JBksKQwD/eadRcNwiiEh/BeURDHnERbaMY5ML4v8DIAIMPhqIjSFLNA3qib+nnb2L/UFL6QbI9enbnJ5OLFX31PKzZ/5CCBzMXkzTeHhg729g8Ony6r4uPO2k9EoXksisJNrVxsG6ulVgI7pPQugHIPKcA8w46GGRKyEDt3l2dbsuhJFjITkEha3R9QK6lMkGacUmxf20mK8dD/f0CCF6boJ7o6Bc5MIIvaMuUMJO0CA6EJvUDnSTC3EEn9B4hDByCBBxFAlyDNcvF3/BvgAu8CKbujyTGfN/pM8E7b8hV4Xzy8yA4AGFAZubm1JV2vc+xsyHI0NAdIWHS73uI+DvAsYIl+f8Ckq4RrIiaDlyXni90bmYGOTBTlIorA8IUwBqt8Y2OD70e2EJcbv0c7f1x3Pw25BZ54T5EUfhlwI5GkbEPoN4wsqHcMHYYNR4MBgxQDLNd5LMmxB1hxX0zYAzaCLWBXCL2k4jPh3hT4vfATpfAQC8wXxWvRDm+Pf4frgYITBijAg2DvN5rt0nFEyILg/buNBQpOtAfkWhqke1l4JoQ2ABxf0kSoYbA8OLjXzjXtN6PxRhYn6b3pMvt+VTd/GfcHXzxz4sQr/fObR0q9d1OlP1KQcDdv9g6Xb20vq/yxqig/ls+nP9009UWjzV6aRiOEFvAHbNMoAIFDv0gsQoMWDjLCnnUKvDNIL8aOR+h2/3cuaAhmuwpL9jjg8iMv3z4o3d9kEIykO9n15uyBJEm7asf7WQnWO4Alb1OgrbfCOyiS6GgB147s61zUDizwZni4oiQWaTAAB6EID9CVughwFHCH8XfE0cg0gKTrPCYACbwh1ENAI7C5tc0zLzCRC14FWvIDPOAlbW1tobM0czECqhGP7oMngLJwZIO40KoN0+bTiTSR4SY2UDZKSCIt8msaDYb8niCNoWeQkEzCPHTkMlwkh07ZloJQgAweDaIMDD7GTgwKCmxP2hu2aUfJOGABdopNpD6hDq2KTNLZ3HdDJpPj88ATQGIOm3RhBbwwgAZAAtkMNOjFQB+QjwcHh/z+LONOEk6/9jfGpGNwEdK7U9KmooGBB8cNeBmwQppOpgy+ncKUQ8E2fIFwrcxLWi7mDJyQtmMjQ4l6EMY2iNO6sc292tJrFISXt3a3/yTt9V/cCM7eUY+8N8cTvusgAWLy6tWrkbWTYa+sT8+XR5dsVX1UG/WT5OonNblNrSgNjQrgsrPQl4fbWFYNQhovriQierh/hlBI1A2YxUMhtRNdlNFVdQoJ1omhRMeP/ojYdfP7zDd2Dkiiu/Qng0wLEqx1AFi1giMGlTal2qVDRZxU8Q5q+DwlZQpAYr1ES+6hSAq7EZN9UchxuaTfW14A3g/Pv0CBEwYEy8wONK2By9u9nof2GCEBcd394UjKoHmX32Ql46JdMMii5IWUnTOxR4rmMzSj1Twti7UNrTeDc15Mj8ULa5vYCOCKd4HzxgBffD5+hw7eOFaGFks9iC1zqkqZR4pO4KxYFFUJ/xuiJA6TLPH8j24gUdf5CsQv+AloOABmCCvRBSxuVazw9AAMsBE4CfEipaIUNmBZdhC2Mm0l2Yk0pcVClKf4ZrBMEupvbpJikBBtCQ9Zhi6FFBe0sXS7BQMeagxuC5wFPC8IwlA4NhhwpW6ZFTSfTRgkYp6PIlJyjABghWmcoi7+uHb0Rl4231RB+NU0GT93/vQH3nwv1n+8qyCBdnFPnz7dc/1qO5vlj0eB+5Cm5mPk7NPG0KOhUcNAq0A5pxUXWEnsyTeUezRg9xcSEp4E/q/rggTEB0mF+BsPiGQTpJ+DpECFvuSF+A6Skl1d1lGIfiJEdgPZEI6f5UFiiS6azXDLeplFK6x7K6UOhETkGLgUMtVAdMWBuDR7wbmzPJj5ACg/IwYHriWA5ujb4zsAACAASURBVKKddSmkIjpqa47hAVo4cVZdIF0LbQE8IHhStqHtvdNchVqCAM2FkIPMHIx8fyhcC+JyBqMw4DkVXfiD9CmKukAGon0+5m3gs5Hh4Onk04mcC/yCts+FiJtEFo0UKGJxdL2eI8OgNWdYUINR5gtuBFzkUIlanrgFgEAjHNKYaapYCQoyE+ERDwhqwyhcK4CIq0qamsNKEMCoBwHEIAUKsHynhJ71FggFuXBNpqpzJ++0x27/8fGUm/ZC1YksC+yO6WgIy8ZbW6SimGwgjXXxOpltAiEe/BwoLyVricwHgLDLVHEDIqQ+Ybck5XQp98AAz1EV1I9DwrOMc1gsMDaxls8iVRW1nZe1u66D4Otxb/zlE3tnvjkOtm/R3l7+Xmqb966BxOc//3n92c9+tmenN87mef6Uc+XPREY904vjC0kc7CjX9LGZAgNEgiCM+jvbv6PgJ4pFicj1E+/sXcCagoIVivAMZAQedllxE7m5CL+vkJYcRgCAjCKN2gYsfAiSEFfiG6Qnf4OJF6+kygsq0RGa0P0ZGQy47AGZEAua2LXPC8iic7IIC5BlwGJti6Z4kbfufMef1ABCmdvDF86KTuyI8GbQYRohSLtQ+XJ5OI3sdEXd0N6HL1GAHW0uBC7ia073QSPQQ9MYyC8bslVDVVPTwRGKpaR8HcIhLDzUSyBkmMGrwMOOojAIuY4n0imbzxvyZZGzcypYKdZUoE0+XofzSdKExpub/LrF5JCaasnl5wBbuPoCiBAlIXNBlA4gkTYcQolQChoJkYXnufS3wILj6wLYVQgviBcxbNzZFaEFSGGEJ+J1LPnZGfWHpEnTKy+/TLPpnHZPnKILjz3BIwrQ+KchRdPFguZZRgtkJ6DB6A9od3v3fok7t/Jrp6zDc4BdQGx2Og08TyCD8zbb04U8UYjaHJTvx5TPpvzcIFuSlRUdHWOuSQHy1g42tpZh0nsz7vW/Ot46+QeDJP1u0gzvvpdCj3cFJBBivP766/HrL185H9nq7yRx8PFBGn9MU3M2icNxoFRS14UBUQUA4EIe1EFIL0leoFKtCLGKCH9Ygdg+vHmrwkPMC3KS43duNNuq+1o1JXsFbYMY20gfawfvBH0G0h4pkIKoZ8gKBgaoGU0SUtBLOd6fHU+pmC1pmPYpbRcu4nMVKgrTiFxAVDQlD8c1taXQEgVMmht2ebEbcjjDIZKw61D58RAe1II4dJLqUQEi1qDGAoIfOWcsfnHDxWvh2B8CMNQnFKWkCNuOUCAz0cVqPN5iTYB4J2h0k9LRZMLkKD4HQInFCCDAgpxMjjC+hs8RIQ3OlyXfbcMZHujbEsFoT7dxeo8O79ylo3v3OBTcO3OWiVT0o+ylIWVLkIklBSGa2fR4KDEMazQmm4Nk7PN/c8l5WbM3xJ8FkEbMj9CSG+JgWjmuF3oW7CSYVQJPpMeitNu3b1EI4Za08eb+E01Z0uZgTImJ6M3X3qCrL13jtn/nHn+SLly6RP0TJ+h4kdHrb16nOwf7tL2zRcPRQPpyoANWIiMYORyCLLyTzyt1fz4INiKARVf8xkpU8C8c5khnMngenI1pvdI8L+nw6JizV1XduP5g2Aw3tmc6iF6dLbKv7+yc/KMoGn9v63F1572ipXhXQOL69a+li8Pq1OHd/U/acvGZNDbPbA4HFxTV/SQMkGLXHOu3xBc3/egUeF3fSO6EBA4CLd+lLwBcQHAQWVtLwOQS5//bAh3kt9ushozZk3BDCCfs/poa9FEMkA4cUFBbsvMlNWDNsTi1IxUbSjc2GLAW0znl0yU/eOjwqLkEGUhApBNDFOH9RIod1kShVWT4+XBcCwFPBOEM3GmESeA6eX7FWHZ8AA6G9U6mE6xVintoeMuxzX1NBFgaqScQGyCsgMISDIakV/sE0IQSEGXkIDHBT4A4HG9s0mQ6ZcIQIQXeB9O6sADjKOSsBMCGKyvRKi8vqamkezUKnQASUh0pvSsGuyfoeH+fjg8O0OSSTp09w/ejrgsaDhNaLo4wxI93VNRRzCYzBgftDINPHCY8r6MuaqpZfAWAkIlnGAHIbQHbMYH4PUACxG6UJqxtqZWjZZFzyITwDovRcOm+omw6pXGcUlATvfz8i3T92nVSKqST5x6jp3/2Z8lsbtKNoyP6wdVrdHv/Ll269CE6e+aUiORaHox5CKTVQTC1dTncFLgdbNx1uhIZtyhGu/ADr8fGBn4GPFq30LCJQVErQi3oQRLqD8a1Vfp4tshe6/XHX07S/r8eDAfPp3uXboPD/lH3qHjoIIHms1eyoz1F+UdUU/5qVSw/FRl1YdRPRoGShwGLhWsSuPS6FQhBvsvkXbtrMruPmyZZA/wNpBEX8LSxbAcQ2Jml96P0GuDCKtYyYHFJKTiG5CAvXpOijGdQJBSjQhIPKgQ0ylFRF4SaxRRTsvAQQA2YlWShaEQLNng+WMDGUWMsWdAHCdKHAYXWUACQkMJSVoFil+SiJe7kJEItLECABIuj8ICHhg4ODzl86Q37vHNyaTjrAgqe6IXdiYG0sRwDgwQEEOA94D1wYxaEB+AnkAUAY68NbW3v0HQ6Z+AET4LY+ujoQKTOqQiUsKuLpiOiDAVYiMeZFEXHLDTZFSERQCLq9Wm+mHO/SdhnsDHm7BNP7wqIsuUxkYX3hKxARPPpnBqwlFZRjbb4GNcHkECPiBzegjwLgEQsLu4Oxt2/ag7jkHKFBzkajiiII5rkS8rrUhrNoBQcJCLIU2QYpjPq4XOO5/TcNy7T/N4xzoo2Tp+hSz/3s6S3tunFW7foyksvUqOJPvnxj9Hj5x+R8AbNbeDVMGAaBlRuBdACQVcoh+cVXiLKzFN0CmtJ0+5YaWhk2NsBOPBME9ZfSJEe3odriQL0JTVV0diZJXPNBNGfhknvq8PNvW/1dh6BvuJHqqN46CBx/YUXtm7defmZush/bThKfonq6rxxzSAKlMIOwxwEmLeOMcbCxo7eNiPpKvWAHkEAvZ4sLpBuHdHFA+m5A5Ko9wAGAApufoLin26iVTvMhTMCXMapOBW3RCyMhQNXEwsATVLSlLIyo3k2510S7eyxq6QQOyGlmJfQ03F9AryJCoOBjSUTh+wBhCaiAF2Y2j0kYqk3uIScY3D0WkCsi7+DMMT583QsTTSdTVm/MdoYc4puvLXBIIf+l/WyoBQcilOcusXuDquAxMSDt7Nzgms50Ax6Y2OLvafZYslAApCYTGa84AE+aAm3f+8Od+HqpzGXfiN0EW1ATIsJ0qOidlzOJcUI2wFgUG7OBWRYVFVJGTwBQpYCpeKGMyX57JhUU7H3xP0jkGXhEeogAqXSVUhBWZhcLg8HAt24e+heVfB/x0lEy2JJumk4zBvGKd26fZvmCMvimHrDEd27s8+27IUR38OtKKVokdP0zZt09cpzNL21z1RTb3eXzn/sWdq59BR97eUX6Y++8VX62M/8DH3iJ5+m0zs7lM/noiZtmwN16Wu+7lY1i/6YHXkrHoPYhZsDg0BvPQoQ2NLmUCT9zFe0Q5eYxL7/GSF37jJhbJd5NXdkXjJR+vXh5u7vJ9vp8/3+hUOllKRdfgRfDw0kul6Tr373S08sptNfdLb6B3FonkoiM9LOBmU2VwnCAvRRbHspdosaBBZWC3LOnKqDOo8LfwpOJ7Fk+n43KcT4kvqCR8EdmdClCbMpOJ6XnhHS8wFxpqSzuPVZ60ajESoeWlb3IR7XRBvjEdUVqjbn/LrDyTHHwv1hX1SBqPyspG4DYQd4UQVVB8g2eDus8BMgwsOL9BjawoNwA0mHAjSAHXYgMPkygQuVkTnvmuAqSqQbG5kvgZ/YcTcHI0rCmL0IeAzgF7CSIOPAokXPBmgnsGCHozHbBV4FQitkHjgcYBl3yM1T5pNjKjKEGaWkQQvRSQTKsIQbYYdyUovB5eFI86XojAUpNVJ6ioFihp4NWOipNKGpIHKDnBzNaDgLFPLnsovU9h/nyspWNYqQMUULf1TxuobSQcrTyUykaTCSojcFVSeUjbMFh2/IMzWYhBYjo0AM3MVkTov9fbr02JNk7x7Sa9+8Qt/+86/QB88/TqPxJgWbmzR84iIFZ0/Tn33vO/RH3/g6/cLf+xX6+EeeptPbW1QuUbAm6tGOHBeeQcRT+BYNhmxSXQu9TjYP7+x+vQtLuuU1XV8RgC4yY8ynsRYDj4rhjAspBEu6aZQ5dGReU0H0zTDp//Fg2H9ho0jvqAsXULX4rn89RJD4gtn/wWMnbt59/ReI7K+GQfALhuyJNAkjiHLR9QieBFdLQvsP17/V4yNNRCR9Blhc1MqW61LSSiwjZpdWSnelIrI9vh2EC6JOyD0JMQTlYxYi4eZit8CDZy0Gy0hKC4VPSLHWeUZDtEKDaIhLows6OD6gxihKRgPOPGBaNgQ9AArIn1B4xOPxcB14MDi16pgcxVUCdNKWlcfODOUgXGuUW8suKgVGkBdLGXVGx5MjWSg8OlA6VA/iHoccCKFY9cnhmAjDwE/w6GwubkOWQ4RZAEl0rYYcHGDI7fdROdvrs0CpZpFSwSEHCMSuJgNgaKidQq6kLRwAi6sv2ywEbIH7BpCA1xagGxfOAzLqomDiljtrt01cuG6jzRwh7cnpXOW46Ux/NOBwC1tAf9ijrMj4fuDf0/mUHDQeyELMkDUpaY5UI4c+PUpMTPU8p+p4RmaR0W4ypKOrr9G1v/oWvfWDV+iJxx6nvfPnafP8eWpOnaC7iuj3vvYN+vJzz9F/9l/9F3Th9EnaHCQUocM+d+aShj/sMaDGh1vcSVMaEJai6My443gXNshGJF4qZ4GYtJY6F5CanTqUyUyW90s7PdgDAI/+mqi9oSAsLalJbel1pYK/CJPeX0RB+N2T4c5NOn8eYwjf1W5XDwUk4EXcunUlLd648xOHx/uf1Ub/UhyHTxpqktBoDUBgDT6XUouUlQexcANXCFTgnhnW0UuHIOl5WGQz3t2BznwMdxGSeZBSRCQVkVz+HECs1BKZkdw8HlkPTUFZMqHH5ctOU78noiATYQiO5d01QZoQC7AdonPvcJ/5hv7uJrkQXEY7tQuyaLwH5NYALCgSyVGOhwhzLZH9IGJ1IkRfIC/Z/YRLHQact0cIwjyJ0aws7G9scEy8f/eODNFhqXCfW8q7EgCXycwNDM5BE5kg5MULr2K2WHCogkUJsIUtwE0AMLjmBPEMh2ZiG+61gUIsJ2MAbGWZrUcqEecLQAM/0U97IsVu2/qB6wGIc7k0jw4sGBDZc8KCwj/LmgJwGC3BCkDBneO7hzgT5wFP0RBzG/DScM8QvvX6KWXwcFhnEnLmpc4LJpcTq1kPM0XalDNZCQ10QjqvKcoq2jIRHbx8jW6+8BLdvvoaLY8mtLV7gs5fukTnn/0ozccj+spLL9MffPUb9Mb+If32//jbFOuSYlPT5qjfirNE0YnvTtovqluiRx99lO8h9BgA+E6p2xW38eW16sxBig5bU76veO6wEck4RbDdUhuCd4UHDI8sTQc8Ud4pXRd1M68belWAIv7zcX/4rUVU3jt79pPQUbxrQPGwQCJ84wd/sTO9df3vZovZP9REnwgCs41FYZtSIYeMNvYgyrpJWIze3K1Y+gg6JbsMiDCpwmtoPsO4N0mHdb0NARB42JnYK0SLjwcYuyR2Zq7s4wVo2NXlGRRlyTs0FhHG3qXxQFR1IDsxGBd6AQy2UYZMXdO9Gzfo1u2bNNwd0yMffIyWrqYMKrq2rT5SnbEylOiA4kA+q9RERedSQjmJOB4DdaAJ4IpPYgHT1samNMNlMHTcH7O3ucE71MGdO8wzMCG5scEahGKRsSxYgDBg/kEYcqj9Ujo8lg5SsAsAUx5MmaCFh5pbssHDwQ6GXV7DuCBUQVhCl4DemVI4NeoPODwCSGyON+7LkVltWKOL1UDS1W2HbngrHU8EDqYpatJWamQ4LQ0CFgsCGwP3b0CaFzoTI0Iw7mkhVbp4VmALdBfD4bPJMXs5kQpoEKWs90AfEPYpq4a2wpS2gpRGLqBgUdK3//Wf09H1G7Q8mtFbN27TiXOP0uPPPEOPffwTtNwc0//8v3+BvvXKq3T6/OP03/73/w2Vy31y1Yw2RmjNP+B7CBu/c7ZHVwOEehV+nt7xJTaBmE5k6FhYSZTQ3sk9ntDGgjAu5kOtjwj18Kxz5TB4jKbmdDW4Hr5fQYTQw2Z5Ma3q5lWnzNe2t3d/bxCPv9+v46N3sy3ewwGJg1dG966//vidW2/+J1VV/KIj93ig4JHjIUKRlqHN8ZjDCOxYUrOPHLgAA1c1gidohU9dZ6jFYsKMNzoWwcuA28a7oZLFjXib5bR1zXEzcxDojBSgJBrzHsSF5DmZ7KYjZ4/PxGQpmdPF4iXoCvKKUsT5iyW98txz9Oabr9PJR07RT/zUM1SFRAtVUdaUnG6ECAtp0dSEFMFHwo6DBdPKvrGrYDdlVhtFRczkKw4/hsOBKEDbAjMQXdwNqm0hh/AIIIK2cv3xmBfQbI4ZGZg1KmFHv4+pVn3mcCbTGYMEPAfstveLq9oBQfh9x9uwB6ZRng09RMFp0LpsXWxrqd/rSYMWE9B4OJbisOWyraqUQrv74UxbLNe16OsasnCw1Wo7eoNe6xU2pNu0IkI0KQWvOeVZo/y/yDmdiW7d4G7A+0BDIf0h4DFK3wtwHw2a5R4c0NmNXRpYTcXtfbr2jSt0ePMOZYucaqepQui5tU2P/MTT9Mgzz9BbZUn/7Hd/n771wosssPr8b/8TinVOtpqQ0ZKWlC5WosyUdn3ivcLbQ5gBQRfEXCzs4jEK4n2xQK/lK6Dc3R5v3U9/4h7j/nJhIipY0b08CRngxfMT8hebFUIxZYwry7ouq3piSV1LovQbcb/3L5J09OLW4x+/o5R6V1riPXCQcO4LJnv15OnpbP7R+eGd/7LIi48q5XYCY0znIXG9BVhwxN5ZxmQdC37a0AFoCrluFzrwbormIEiDQVDV5sulyAmKQKm6u/8NJMfcSWac8TkYVivDbhgkuH4CvQOkmrTrhIwuVQCrIaotJ3MKspLKoyk9/7Vv0O2b12nv7El6+mMfoWizT0VMtHAFzXJZiFD3YYcLGkeLmXSD4p4RzjGYSft3eYCw0LC79uKEeQLYhcU63BZfcu7SPk08Jt7x44iiXkoKuy60IVnWNjoh8SLShAVXXa8E7NIAEwAGHjrRYcB1x0MtUmJUmOJnWSLTUnCfBm5Qg/qNtt8ESvEBVH1oLlC+3rbW4zRsm8rD4mH3mUO+tpcnZO7IVsDLY3l1Q71Bn22ArA4LR1GVGRjmc0AEI5wASFioUlvAQMUnfi8cjmweFYU06PUpAuENAdN0SsF0SeX+MR2/eZNuvfgKgftOxtvUO7FHNN4it7VDGxcuUHL6DP3V1VfpLy5foee+9wJnsv6nf/o/0OZQkbILVokK8S0hKmec2s2jCzuwwLvCL9j3nSQmV4Ry4yMpEAPJDC9RBGrCZYEMZ54CXFQScgpVBiq3VcsAw+4zhbWrHKmJVua1wtp/GUXplx87ffE7dOZ7x0p9TtDrIX49cJC4efNyr37r5iVXZZ+mavkflEWJeZt9pLGkilAKq/CFOBoPO3Y8RMtoOIoiHCwcPPAYA4fQgak2ZpvbfgJSzim9It5RyNWlS/HrLJOUGu8IUSwFOUxEoaJTSoax82ojE6mZaAT7jqGgaZ/KwxmVBxOa3rxDL3/zCuWTI9raGND5i4/SmSceJT1OaE4FHeQzFveAWxikPdK1o+N9tIVr1Z/tdXJGpHUvsfBEdZmI7JmkvyRcKzR1wUKF98BhA+TTUD0yUhgKISLCLpvL9G3YBiABdSYIR4RQAALYABwCJMRMwrU5eYAmCFvYQprSSCpWJoWjq1VxfwHALl0/DNgR7wexUdcbAzunSMrlMeJOX+0cDLSlH29vU5BKGT5eC3IW5wgpOCtMUQELO0QIwwoqkVouC1KY3QkxFRYcfr+EZgGt6wKK4j6lg01qQIzOZxRkSwrznK5//TIdvPEWLY5npIOY6nhAZz/8DJ186mk6ooD0zgmKT5ygmVL0u//qj2meZ/Tm669TvZzTP/nv/mvaGGhSFjUiIuvv2vrBQ+tqNRAu4G8C+vLg4dqZFG9JYgAw8xjsGRG5GmMe2w2Li/HQcyNnu+MnOBjwLwh3RSuDKWW4jxIq4vnEOjGBqZqmmc6W1Xd1EP/x3qnzf7SxNb5GO99dPmygeOAgMbt99cQb3/3KLzbF4rcS434+DIPNwAQBjPP/sPemv5adV3rf2vPZZ7xzjSxWFYszRYkUqVZLarVkyS27Z7TTasSB4zgJ0gkc5G8QkI/5EOeLETuIETg2HMtJbMnuliJ3tyaqKVKUSEqchyJZc935zOfsc/bewW+t971VLStuwC5KaiOXKLDq3nPPsPf7rnetZz3Ps9TNyTkV6SSniFoUbGChmxMlo45iazX132Yaa54PeElYaHGTvGHlOw8Hvmt1rxNm1bUMh2PNIjhh2ZBEbqsjbWo2ZCA/iRs2Ii3CybxQGzVu7GrWlZtvvScXX3xJ9t+8KD3s6Yu55I1IPvWXf0naJ9dkGBSyPT2U1dPHMWTQz5NRuiwr6e/3ZdQfHnlYEORYTMiTWYDGNUiOTFypOFhofF8/pWOadtZWZc7wHcBOwF3qWTIppf5aN4RRfopPMPZuPpfWyqrO3Rzs7cnqxoayGfmjc0JxgQKxr0VavRXpH+xrpwOtx8729pGSE2Ofg4ND3ZxQuMk69nZ3lT9CTODesGloo/La/b19y0ASgm6l3IzNY8ckx+VJahn1+2aso61cNDZDVGOaRaAbqYuFvpfpaKxkufWVnv4c8hndIWWCgvvkben1NqU+GMro0iU5uHhR9t56W26++oZEVSBxoyV9iWT9gUfl/Kf+sjQvPCTfe+kN2ZsvZf2uuyTttuXv/N2/I48//oisdXNpRZX8td/4nBSjAxn1d3RwsjfW5XN1ul1ZZe6JgsToS4wvY5J5G3TM5/YWhXx2ygntiNSB1EsIg7fap1DUJ2qWNNGOjmpRcg4zcxkn6iI8GwxHauzDe6Cb0u506iiMqtGs2F7W8fOSNP+os37qqzKo3zv5xBPmnPw+fd3RIEFX48qrz1wYXHnjN6vZ4PONpH44jZOcdoZXXpoduaHrpMGcVprGOYGWApKw7TQboAVmUdiUkDqHyXpLnkDldBn686NhKwzPzZ2tGRiIpfC38ykoYczMNFSNBqBn5fEJiSWrE3nt+z+UV5/9gTRGc+kuKwkZPCtLeeyxR+T4g3dLvNaUSVTIsJ7LMgklazel0+rI4HCoVGPYOwB3vJa1WNFPZM7v0URhfEZzSzLTHBYbaSeLDSwDroOO1CNIaAmDZjzS56KzA2rOJqZNqo5QgLbdrp5Qw8O+ErK0DNOpYGagYka8uD91ZDDm5E0kbjRUT+BNWngcmQpYD7W5zySYraxDhcqFzCdMEGvaDFPXCiQz4guWp943/C4VAESwFWsAYB7HYoFOg64KqAU2ftjdcb3o71Y6cb2RxFaS4XqNVoY4WYUSl6HMr96QN5/9nlx/7XVJIIdNF7IoAykbbYlPnZX7/upvSOe+D8iVcSn/xx9+TS5d39GsJkxFvv2dr8lf/73fkg8+eLe044Wc2kDjQcfNnM99kPCBnc/oGZdHGg73OT1QaZ02A9BtvompABYTs7WjZOM5yKjJ/ijLaIsy/1RB7DyXbhf3b5sixuhGPDJg5mrZbGB0XdZhUQbJ5SpsfK8Kkj9o5+3vbrVPXn0/ORR3LEgoeerll5P3ihsfnu5d/Z3lbPQ7eVzdFcdJoipGP5dC++RKszySByvYI2Z9Zmiv1bfcAP5uYi2jaasZjBXsLm5aK82+7P+clhBnOO2UPecckf0sSJU/4+A8m8rewb7cuHld3rl0TSazUqqgIYsqll6rJVfffk8OLt+Qjz/wiDQnc1neuCnl/q6c2FyRxz71C7J+96YU8UKG8VImYSkhrMVmU29uUIeKxMO6hEijXRY+B45InKiUGJw61NTOR8Lq3MbRjEw2FcIzFhRBQ/UsahhDwMFcN9MOgFmxAd6S7tcaiPTzTae6+LT74Np3auSKDLrAvDaTAq4FwQcDGP0d/DAhWyGZB69Bxk2lg5NTYdRoFjvMU4J4EOq/CcAIsZTVRXdK24DcQxysJyq6IjvRkq+YSRiaPyh6DbIF6PmUFsqFwCB3WUozydTGroHNHp2hw4EMrm3LjTfflWxeyA2yiKvXNbC08hVprh6T5l3npXX/B2T9iV+USzORb//wdfnKt/5Udnf3VbZeVSNZLvbkv/ybvyMffewe6aYLqecjScJYGjHjAGy4szEqb80q9S5UKiF3hjTGFDXskGtOy1gzVQVbQb1F1bcEaF2XUOwbmCOZ2dF8AWhvQSRJYwWKCbKsdaWA051y3pmsabU/THOp43ywlPjiYDp/qpG3/kUzbv3w+GO/tPt+tUXvZJAI9996pr2/t/fpxWjvd+r55HONqFyPophq48gkRck05AJqIGMuykqBVVfmpS42kyTfmnpldFhzC/KLXQk5DuDTHMMBFF7rgSsTJzScgsPB4Mhfgsdyk9hMOzu7cvHim/Lqay/KCz98Q27uIRuu5WBYyvnzd8l8NJFGHcvf/o//U1mlhHj9Tdl55WXJqkI+/RufkdMXTomkS0lPrslhPZcJ1OzEdWlgjIZMIc80k0CQpF4DDumnc8NmBbzi1EXQpepMVIWFMf5oPfosiAWrfhmjie5AD8pC6WYBWQB0t9O32BTwNUGYYgbLpfR6Kxq0qIcRmtGTR7+CpCJvt5ld57oXgVry+1EE6qkJ6Wk4VL+NXrenHQdKjiiItEuDDT+BQj0gVVkaqSvTZDzQQNduN3UDETQA7Ag4nNygMqudrhxu78rkcKBBope3ta2MpoZhQvPRTKaXr8qVl16R3DaP+AAAIABJREFUF596Wk6sb9j4Qaz6FqV0Nk7J3R/4sJx+/BclPv+AXF3G8tXvvyRf+dPn5N1r2xJXlYwHu1JOd+XhB47Jf/SbvySPP3RSeg30OEOZT5cShw3ptHpHIi1lALtNSpnolbOedq24kBN7EXz9aATtAJGZls4T09smugHSBAuz7IP9CivTsmOuNQHXZpXQsq81O4S3QkBV/5K0KVHWWi6D5GC/P3o9TtL/Pc1XvnH+I5+5+H7N9LhjQUIH6WzIxuH2jd8uR4e/VSPkCstWFMWhb2sqfVhhuluFwy1WpLlBeYGQAWCGtPvF7zMAReqd9NZ53B45DfkggQKS5ybST5zNGQGo3x/Iyy+/Il/84tfk2rVdOXa8K5/42AXZPHZS0rwng2klr1+8JhceeFRe/MHL8vbLr8vf+I2/Jn/pg4/L/quvyve+/GVp14Vsbrbl9N3H5dxD56R1ZkMOl2MZLOeyjAOdjgX9W0VjtDNB9jstyZBng7kyBg8WKfM3ccZiIaqKMzVJtRv+oqMDncENwii1jGemRm00czIsrzrkGvH4W5iDmd2woD0LkAXfWV3VxVcAXhYLafZWpCgrmcwW6moF8KZSaxSpjaaefipz1myvsrkfYSSrqysSVLVhCDqtvCNqdwcdGxo4AjxahwWty1KzqJWVjgYLsgt8QZBzE50oM5DnN2lVTwtZjGfS3Twu0WgqMpzI7GAoL37/eZnuHUiFVyUlmgQyRGjX6cqZhz4g5x77BWmffUDqrdNyEObyD//gj+XbP3pNLu8ewpeXkxs9qaeHEi4P5VOfeFAevnddTq6F0o6mAsVrOmEKfFtWVzasXHBB1fMkwGQIBJ6yzXX3HSaCsJLdaEMz5JlrCH1c2Zq3JtWrSlkNdJG6i7X4EbG5wUhGz081IwHHoLIEACWj8LT4sgokbXXrMMtnh6PpThhl/zLOkn954f6Hnw7W7x28H7DEHQsS2OHvhuO7BwfX/pNqPPjVaj5+NAmqJGB6jjLuMGgw2rBtcqMPa3nhBtNQg3ukX/UN6tRsrUFVRTqClAaGnxAklIRlzixHLEx6z0xY4ma//fY7cunSJRtHl6/ofIa11aZsbTYkazQlzrqyqBuyeziXE3c/IF/9ytflm3/0LfmVj/+y/PYvf1qak4m8+Z1vy3svPiftcCkr3VSOnViT+x57QGbBUoq4lqzXkhDSEPwGsiIyAyaBt5r6d7ooAJZ0KsimcI2e08EBanCW7oyx47Oo3oG6ncwHos4M7QrrCwctWrg2UIdAoCmv86iwKeNL5U+o/sI5Q3szHm66EsqmM+murqoJLYAtIiPuE78LFmFzQ91IRPXusOlZ3Cd0HmATZA9s9jzFCGZqsvJiYSfgnPTeBurwXtsts6Pn7mVJKNPhWGnbDTgCg7E0k4ZERSXVpJAkTOXiiz+S/feu6fcObu5q6s7m649G0lrflK377pOtBx6W1Xvul+7pC3IYNuTVm4fyJ8//SJ577W25tt/X4UudVi6/+KGHZL0DEWsuD9+/JXk81gABJoEmZDrHhLgtKyvrZnfnMlk+B9keZQ9BWfUyav3nbAjocLhy0Wdt2sFz5kDcMwKvGuUi2Ydx2cy1pc2BSCBVejcdkdK0MQC5mBVZyWJ/uP9gGOPJTNK8LWmrVy6CiDf6bBin/3xt7fgf9O7/yLvvR8lxx4LE9vZL7fJg+tBsvPe3yunwszKdnI+CyrzjXJDw2gLr2dcaSTmpvBW+1dUQophIbfRrJSZBHXauQTaUxpcaxie41Qq1UoYvQD1eh4Cwu78v165d00GyZBbQah986CHprXQkCpaymKsBiARhUyQiUDRlZeuc/IsvfU2+/C/+QM4cPy2//dnPygfuOiXR4Z68/t1vy97F16Qa7ctKM5KHP3C/BGkgabshqye2JF3pypK6E3IY3AOMZWhxpYnMQb0pp8Bd4EBEKFFxaTbmHepMHq/6CupwZVYmukh473AF0FP4OZWUZpB5CBYsYhYon5kNTdDg7wqqYXADeYeJVnRJEIhNp9LprehrAdyiHNVJ3JCUKIXwv2gYaY3NTZmgk9nNDlpZpAsyEhypnT2gdiIws5mAQ6CNsfmlajMIJ0LbuihkA5ntHUhc1ZIxBnBnT6SoZTmay7w/lmpayHuvvCH9m3uSYtihFneJVMxbSRuyfuE+OfPEk7L2wMOy7K7L7iyQN67vytMvvyH/+rvPyYxMZsHnDeTMyXX5K7/0pJw9uSq9Vi2r3UCGB1clWo6km+IyxjWvJEpztfzTIKFSgFuycT/QmVLCu1L5oOB1HtwrvmcT0kwnhGBOXcQcNwVqOm1V2KdcZwIrbmpeebq+umLYBJwTOCvL0uwUwTCmlM5DCdOG5N2VOm12SFTeKYPwD5Is/7/uevxzz5AA3WnruzsSJCBQXX/j/GoxH3+knI/+cylmn5Bieow00pumWDfDKTbUPm6pqbYKsBxYAxV3XszU9JQgoeYynLBOfEXbTwe2+nkaLiB4Sw8LFqbeg2/BTcab4b1Ll+TVV1/TKP3ggw/Jk08+qW2mfn9fZpM+kKluPgkQevWkjrrS7J2Sr/3R0/KlL31Fbly/KZ/55CfkV3/54/Lk/eel2rsuT/3zfyo3Xn9Z2lUhJ9ba0kgi6a50ZOv0CemcOiFxuyVBM5e6kWomoerGIFBNB7ClovUwUMFayBooURhI40AANA2oJPliUxmdHPt7Kyk8BkOKi6TaeA6G5aCQ5GTixCYrwb4Pxqf3Q1DTGqjjBI2MFrH5OmCY21vBUbph0vThUEsWwDaegzknPBAsYjIcafeBRaxjAapKmg0bvacu4XO4DUzkKrSVCR8CgJFZpww5ruFL3LghNa5apcjg0hUZ7w/kcGdf+ruH6g+RBonEAdgFFUstQaMpnWOn5K5HHpOV+x6S4ORpGWZtuTKYyzMvvyU/eus9ef3SZbm+dyCNRiyRzGW1FcrjD52VX37iETlzvCetnINlIjs3Lks1n0qvkSn7V+fBwtnAyNZRq5VmzSaHu+GIY2zmlZ6paw2MNDGYdowWYGpY1jXN+MhlE1Dgjeind17vM/iT2vovjVfBPeO1NtYc3wZbATJKJrvhg0L2RxY1HGiWmrS60lvbkFLCvUUlTxVV/aUTZ5/8Uvf06eGdlpXfoSDxUvruCzsnh6Phr9TL2V9Pw+qxLKi7aonuOhGecq0TMv3gFPrkKr/NNCVtZInWtIyc55QDxNHJkYHNowD0s01kcmPXFz3qavi2qLU2rd3HDWfEPT1nFjvEIyI9dV9Z4qp8KKPBthRz/Au70siPS5ZtyWLZlFffuCpPP/eCfPWP/kRW13vyuc9+Uj7/G5+VsytN2X/5Rbn03Hfl3We/K2vY+i8LZkzruLgzD94n3VPHJd1Yw5DRKN+O47Bg4xZzqVDAUr/itIhAi1Yi8z/URdrUr/oZQLR5r+rxiAScEuUWcQlPCM/ysxzY2mcqKnMKU7IMVdrGsc6n0K6J2tfZoGGEbwQRT77SOR4MXe73PfVE76NO9YqtC6H+lyhTVcyFS5dIJ7fn5OdIxPGnUJcvTGkRp/X75q9BwNvZkxsX35H+zr5RrhelekWihIzThvpPjqDsq/y9I/c//LCsn7tP8q0zEq2dknjzjOxWibx46bp89dvPyjeffl7mfJZGKsPRoUzHO/KxJ+6Xv/rLH5Z7jndkrVFLM0FUV0ucMYh5KOW8lCzOlAMyGg90GjyelAoswgx1KlCyOE9Io2zY3NoywaHONrH2tloM6jhGG+loM2ktKIBDEDDUTBmLRJcZg00BrivRT/GLUlu+sFDhC8La5LomWLcpIa1QfUfBayYN6aytSR0mk0qilxZB+P+cuPvMP5wm8fXjxz9oU6nv0NedCRLXnmtevHZwz/Wb1/56UBa/3mmkF9oIE3Qorzb4TJNxmyuPtuHcoBkWMLoBBr8wp2IyHtp0KJyGFXswujIr1roDNonJ4oVTE7oAop7YEJ80whsVmpvAgBrqbT1tmevA26sAhMZSLceyWHD6QZBpSiPflDTbkP3BUp5/+U35H//u/yx5tysPPnSffPzJD8pnf+FxORmKTN99Wy5+51ty84cvSF5MJWPWRFjK+rENWWSJlKTqnY6SnehuNOD64/dABgW3odVUmTSBjAABV4GSglRUOSScOimCsVjVpIu6lKzTVTwDAJAMpbe5aU5deBe4OafgBgCZdCe8PyOXhV77tatXtXwggCBkn01melJB5KI04b0qRZh+P316DIkJJqoGNcl6WcxkStqrtnhmW49rBn+fQ5oaDiXm9J8VcnBjW8aHfel1utK/eVMp15gNY9wLwxKLPHgBBNLxbC4TDHs5KekmrK3J+um75MSFe2X11CnJOhtS52syyzbk4t5EvvH9H8kzL72u2MMO2UfFaMJAWs1AHrxwXD762Hl55MKWNMqhNMNCOjltxlQNhCdTwFWGBwH+LmQ+H0kYMUe0obZ/rDlP4dcg4NzQyM5w/lZMh1anUS/N/Qzae5ocjXdQ+j8lpBPBKQXeeX2oQhmSoKqSFxrU6WaB7xCUUOdyXwi0hk9wr4ydPMfLhJ9h9JvlyyDJLoVJ45tZr/O/iORvnHrgI5jU3DGV6J0JEntvdl97+/VHtq9c/q9iqT7VyrPT7WbucfEjCzptxelkLUvPtFZTJJla2MROOqx27k1jbTitjvBzFxtNhwYBbfP5hEKBjyNnKlqrXkatRBYYlzApPb3byXipl0GXQ8EGr5RiRkCBfdiTvLUpyyCXN969Lv/9//A/SRll0mx35fjmpvzyR56QTz74oJyIQ5m/95a8+a0/lnLvmlTDHVmM96Xbzs0wBgA1b6o9HWYwKtLqdNWVOe10pNHrSUIwAXeAyai29lPJWk2VUAO66UQwTnYWLUa5G+taprAh4Djkq6vmLq7OvnRLbDYGGA6+kqTU6ovEzIgolJ2b25qZIE6qi5kan9BXAkkne4OIpW1XLSPgMRSaCUCD1syOTgQn/Hgslc6oMOt/876sZX54qKYwSRXKcjhVTGE8HEmn2ZKDvT09BOh2YCykJzZeY6TuaUYUUxOZMskkX9uUjbvOaIDYPH9B5hHjAErZG1Xy7n4pL751Wb79vR/Im5cuafZAGRSHlaytNuThB+6SDz18t9xz14qst8E5diSPSum2GjqEaDQjxVenTgmDhonWirEkcS2dTlMneB1Z6tO+VH9d61JwPyjRLHuzOaGsXza6zf6wCWD6XZzPdUaKZRrgXhpMtJNl/B+ViGvL20xzreVJ8Kk0QCDRNwtBwGDa0yYqBMfKGi1J8mYdJo0diZLvlXH+v7abzedOPvLJa0EA9ezOfN2ZIHHlmfW3L1198tqVS3+7k2cfSbNkM4zCQF14XC1sm9UALHY3DDuELvyDmhvSUIOb7WYtoAS0Ya1uKpTzpyQbsXrwVnRXk1vAPAhAKtU2wM9qQTez04OdGlgIKVx6W9yGxJtmgZoUYlEVpBI1urLdn8k/+Mdflncu78vOHnhJLa20Kb/3V39VPvvE4/LoqQ0Zv/OyXHrxO3Lppe/IzrsvyWaeSCdOJalDKfFedOPq7L2bdoW6vNtbkZXVFeUnJEjns1QKVJe9jkTNptbIqByjtVV1vMLDUbodzDeUog3zkoxDZdf84e98HyDHO2v3DyRgriYDcw7xnKwlgAYNPXt7W+JeV8VU1QSSUSFxb0VTXZnMVGQnBIPhSJbDsc4txUyGgEHgQLY+wyGKaVWwMzHg5RQsRVmRyTKRRCgZQy2RSnxD61Jm1ULmVaXOUjMYhmkm2eq6bJ07J8fOXpC1U3dLY2VT0u6aBM22zCWWmzv7cvHqjrzw2iX54++8KFe297WNmKTcRbouh3J8qy1PPHaf/Navf1pmkx1phHNppgTBQhqMh8R7lLF8pch0RgcHDkmm7mDT8UDioJIejtkSOom4GQpzmLCZ1YQHm3xaw940xo1fUOt9NntY67QwAgNBZD5Dqm8iPdrXrD0yQDJa5AdqHOTAd1+6eA8LSnFeS4cAaQfL3NO8OAzTY7pyyzoYzqr6lSpI/2mr3fvahSc/9+adVIjekSAxuvjdYzvb1z5648p7/20jSx7LsnQtiuPA+BHOpcf5jFhtVirphpaOabVgX0IeQnkHkQSthk2k0kXnJnHrhCY3zZkrSwBQQ1GeQ52DcHcyPweitpmN8hijft+ihOOtCShqAauiVx/VMhgeattufWtT6iiW2TKS/lTkys5cvvYnz8nFS30plrmM+oWc3jwuj95zj3zigw/IvZu5rNFvn2/LbOei3HzlBRndvKHo/XJsWRE1JTZuKa1LiEZKNjJXahX6JJEqPNWlqgVhJpUyrLXTkaGeBIfAl2JlTWnkGgTcqEKz0jdgWGXG2PGjA0kzLd1SBhQniUwwjaHGdQzWwcGh5G0W6kKmk6GeVMrQJKsaTwTor+YewMKc4ulZSoUfKIg7sbZGOelZsEab1xisg0pCWcwopfDAXMqMzCSLFdDNVnuSr6xKsrIi0upI1F2R1VNnJF3bkGx1U9LeulRxU3aHM3n3+q68fvGSvP7WRbl8bUd2D8YyHIHNcCpPJQ4L2VjN5BeeeEDuvmtNTmy1ZGsjk3o5UuAyiZaSJaTydrionwZJl5pyk3GCx4Q6rYxg2e20rCuhs2eNjGZZgRGe+DelKlmpaVGsQ0fpbIBnqaUca5AuEJmDkvdoYUI001ERJhVA/UkGodwWzI2wEIAg5vQg3AtKH13HR/vAmK38IdtkLEEVRJN5FVycl9Efps3m/33vhx/6YRDcuZGBdyRI7LzyrRPjwd7Hdm9e/9tJJB+M03hNMQTvdO2s19RZ2tuCkTItzSTVSE8zZZRRdqi8ua5Ve/FnBDTOCcnfNEOMCRJusGyCfwTszFhTcQObXKBwVm9EcuNmOFabIvFkEYEM+nsyHB4qfbjTW5OixAA3lKixJc+++I786XNvystv3JRampKEuXQauZxY68iH7j0lH37wrFw41ZNuspD5wTWZ7FyXGcNip2OZ9AcyPjyU8cGhzAYDqQgajP/DOxEDXoBZhgQFaAdoedq8UyIomABcBSOihdrL1ylYisGQNdhoQGcz7Xw1jQKMjwZ+mepMhZhOpfZGxCKowh+hTartTmzsioW0kKNjzlMstTWp09MLrPpKB6bZiap8By39DBMiLngwWQMaG5J5nrT6mrlkzY6WWGmnJ0l3RdLOiiTdNYlaPQmbXQnbq7KIc+nPS7lxMJTX374sb126Jldu7sv+YCz90VTXA9LxqGbdLGVzrS2nTqzKXSdX5MK5LdlYy1XN2cpx/R5geilJxCwTHMNcF0Jt/zDCAePihGdIcinTEZkEWQAzSc1wxhvo+E6SUqNdV8IbzPAYzU5uM6iBnakT5PQ/s8PT4cTO5QrwkhY9jzO2rFkvkmHofdJyA9FYQwFfL0XnCut7K2xyO7+Tg0skjXkp4eXJQv643en8k7N3nflBsPnA8M4UG0eTKP79no4gMRnsf7zf3/9v6mXxoTiJ1hCymMWaoeqK0jsFInUVUZcNoL4EbuAJGbVGTzwWRBRd9xdWufGNXEVKBkhaJKeNSrlhN9Ck1TwG2bdHpEkZVZjjSg0utLofcyIDCM5xR57KfDKU2XioPf7jx09LHdC+RJ59TPqzVJ554R35o6delL0+NvWhzOfmc3nmxLo8/si98tCFM3L3yVW569SaNINCksVEguVUZoOhDHZ25PDmTRltb0sxGko5Gko9Hkk9m0qOW1G1kGA5V2JPtYT7X2jtbn5VYP10ElKJmPjBFCBFIlT1ZjZoqocxIplHrIyLgm27UbZZ0P7k0jqbU1DbqSYlZ/Mzqk6nnVWoUmNtjXL9NO3Wlh/ZXKKisBAuAHNM4V4QyHRoTqRt3UUWSrS1KtFaR9JuVzrdNcnaKxLlHZG0JVXckDLIZRk2ZFpGcuNgJPuDmVy6sStvvntVXnn9bbl6c1eGEwYlxdoBCquFNOOlbHUDWW2Hcs+5k3LP3Sfk2EZbep1Y0ojSAgYlpjC44i0lCggSxlmAIEYXq6TMiCGOoasxfQlen/iUUG7opnW+ELdvUG+Gy/+97T6Ps1mkS/NNnUxsELHjrMBx4PGec6HtUsUuEm3J+4PUO4apmpfszU1LZ4aqt9/3j+VQw9eD6fDt3qo0Wu1CovTacFp+s9Pu/ONz91x4Nli7p//vt6tv/fYdySS2X/r68clk8LHJsP9fL4rJ40mcrKvaEZCKOopaH/Q+YJir1f+eJUiNxWP4N/MZaE2id6CcQOEICUWfQy3NES7Zoi6XcN9dreiDBO0j0GBaix6LqMyRymcdmklA6oH6qqUNYrGFbF+/TNGoKfX+jRuytXlc4iiXYhHJrGrIibMPS3/RkO/96F35Z1/+Y7m2SysqUgIOQY8FttJrydkzx+XjH/mg3H/uhJze7EgzER3kgw1eCFsRkdRsKrP9PRlt35Dh9g0ZH+zKfLAv5XQkQbWQCS3g8UDKxVTiAD/ZicBLy6OG8F9cUecb7mClmptsBcjpTnYWFtdZMQsFf81VyZSyFkZwnNLRe+rQRdvNWscmCLOAw8gBAi5jDuBz0HZr9no6c4N5JPyd/9P9iZsNtbivYYI2YpETq7JoxNqapKSugkTKIJNFncC+lv3+TA4Hc7m+05fnf/iavHnxkly5vi2Hw4k0mhCOmtoShSmqLk7hUs4ca8nHHjsj95/bkuMbXWk2QonqQo4f68liPpSDnSty89q78shD90ort9kdAK4aatWZjLUAyE0mQXZh7l7M9mD95ag0XYtelcI6B9VaoAQPP5BHuQ3Oeh9yFI+hO0Qbmc1/NAYQspibNqcaJZShWoL4NrSnCdjgoduDhKlG86OxlD6joXs1GU+0jdvlfnRWFmGSXydINDvtf3zh/IVngtVzhz9XQeL6m9/anPcHH5mNBr9fFNNfiKNgiwtDtqCLUZ2aUXKGqmojeCjJRuXhUHlNVgyAxMbVkX4ace2iqlM0xB30+X54jzNS4cYrFUMzCTPGJUqD/vJlrlUEChvSQ4BR3wcNErE025l01rpy+e3XpRj2JYIRCU26qGS5AMuAWr0qaXtTpLUh47opb187lK9+81l5/tWLcnX3EMENpBY9gcmYkqqQ86c25KHzp+W+c6flvrNnZQtTGkg0tD+Zhr0kYMwkKGYS0GWBwox/ZxLIAhCRf+vCBagaafBKK5H57kBkbi1JDZJuNAD0c66XAbb22bneXDcdeqTtSgsu6qYNjZvZJGUlaZxJMwNFR2pl7Wo8NtT6D4owGRwlYJJK1Otq+1bH7cGQRb0JB4Q/gHlY5JMS0/mhFsfUR5jDUcve/kCu3diTS1e2VTezvdOX/mAqMyZ4Lc0EmXmqhuBPVeFKm7rdacrDDz4ojz1yQe47tyF3b8USLAfSzpGS03Fh8BGt7JlUxUSKyUDW13rSajZ07ZDtwU2wtIvPSDnBvVWUwWwLAqwDDHdQdy5KwSS2VjlBw9nik4WSKcBZMPOehXFOlqX6Q/ggAbGM1waA9yMpj3QfEKSYoqbu5RYkzNeVjpTtG1/GAE56BbWtZ8PXwI+wKuz0ViVvdxdBlF3fH02/0Wqv/KNzdz/6bLC29vOVSVx++U/XytnwQ9PR/n+xXMw/GQdyMk7ikAvIbbFhL+bKYyiwmaDYsNWB/lt9Gp1voWIO2l4yRyrVdqi81hIfn05rdkBrys3/JIPwOhC+r7U66beeFibxZcNo4FKdBEGiIZ31rgz2KANGEhQLSetAxocDWcwIUrHEaUeqpCV1oytlviKLuC2vXdqVN69sy+vv3ZDX3r4sl67tKGKepk1tO640G3JspS3H13qytb4mK52O9FpNWWm1ZL3blY1eR1ZbuU6d7rQaojbApMathgaLugIp531GMiJIYFRDdgQ/AZTcDePxjls6c4TS66ifb2Cuiskcqc2G4djQZLsGqYK2UUjpRYkX63VXujFiqxCVaCpR1tA2bE1bNk2kJGA7chiO4ONFIYP5TA7HI7XWH+E7OV/IYDSVmXpmsvFKGY1mMhxMpD+YyGgAxmDjChCvcd9UDCb4J4SystKUXieXlV5T1te7cu7sGblw9phsraWShyOZjnYkCSFHwUasZTI61NICS3ymeDcbfCZwsVo1KlwfygvzO0V9bGtHXdkpeR28wnXxjEuvK/LXmJ+xjlmnPIZs4ieVGzqbBPyMEqeY6WfjvliJbc5TBAnYsv6L90L7mozbBwleH0zCD7vWfeHuLy3X0Xgirc6KZE3KjfhKf7z4k0be+if3nD3z3J0Ue92RcqPeea3z7rX3Hhrv7/+Nell8Lorl7igMEu0rqwbB9BkECWWisWF1ZiRp01hTtVYr18h6VCPTn+fG8vuk1W6AiXZLnCOV14BYamwnpxrLqBTXKLNqQMvNck7G6uXASc7PkkiSRqLDfmmPcVrXMxvhh2QZ8K5mVByHTNqUIkplHqUStlYlXTkmM0nl0s5Q/uSbz8pzz78iV6/vy2IZqi29jotSGN1G+jEdrN3IBW7+iY1NObG1IZtrq9JtN2VjbVUaGYGUidXwFMgAGCmA0jOVmWYbpTTDQDrIicmGjoint0hlFhStxWvRgDduFG7f47d2m0fqQeB5GL8H2c1asERhFibqVDpH3AWowAVaGKZ2U9vr2IBKWZGHk7HsDgeye3gg+/2+uirBSxkeDJSstZjDi9B6Qz1FsaGD5YmKlGsDJNvM0XMspdmIZHWlKefuPiZn7z4uJ4+vydpqS/JGLI20lLCGs3Eoi2Kozum8cxiK2N5B68+zWNNH9BhcBcMK3AgCXjcBi0AjZPohro+6qTtyE2vIe6X6Denl4gQINrYHItnMPD9ZqQcmVWnb6RyBw3h3eiDUYw23A5eqglZRnXmFsAduN70hk/AdFm6pYSWQsvizVO5OnOWzOozeHRf1V5ut9v95z4ceeiEIjt9Gy7RNAAAgAElEQVQx1uWdCRL15fzSiy+f393b+d0okN9Ogvr+MKgbity6OQzmUUn9bPb4BAlKDV2ezvOA1Fp5FNRtC1yFTVVIFkg0Rt8QkfI65ejtTDjzmXBMTMdwU0t92qbuxnvylq8NdbHgDlUu5NixY+ptGZUic+UEYAdPmrmU/cN9WYHElKVyOJvLlb1Daa5uSmfjuLRXTwjDsl959V15+ukX5Dt/+rzc2OlLzRyICFanbVxtGTpmJNJfTmx2KLqUtdVV7erwp9frSKfbkU6vowGj3e3o5+bE7DVTuXtrTXImVtPQ4PrCDXFaDP5v19gCKUAxnR+frmob2Ptu2JwCvWYM76W0ajg3LzYP7eH+cCiz6VymM7wdFzIpCtne3Zfdg0PpjxDOHcreYCAHw6EMOa2dlkHbr6TTWPbR6oXjogOeKSWsfVeVhWZPSYRKM5ELF07Lhz5wnzx43xk5cawn5YIMk44DE8pRveLrOZSyYgo7GBf064Gi/O1mU1baHVVPcrXpglCOeddqiFuLAof0QJW56m8CPqMgr40EoLTynQuPSXjfCC/4YgND4fagpu+A+CDA+iLAECRUw6LXGBauHVIehNc5rT/W3dCSpmLIc1OxJJ/NgEl4rpFmIToOYiF4iEYMrsYSIU7HZRC9sZTwn7fazX914YMXXg2COzft684EiZdeSt8p3juxc3P3rzQa8e+FUj0WSLVChOcCcbHsJDObNsoDq+lGgh2aMs3gCtCDbhigyOOp70gV1UUaMpDWy0aI0TaeEzr5yH+7wEtNXJzjsZnMGO/C+wNoUOGUVbUmrcWGOhMhV+7kLVlO5+otqQzBENBuKQt680HNmGejDucwKNdlWfL+A5lNAzk8nMvzP3xdXn/nmly8si039w6lv8+8kFI3Cyw6XZx6grNpg6PTSbs2rj61wTWOHKbBjtF7tcR1oQGC6eo2INmCpy+1fGl21Fqjv+5OVfO2dEHDLThd4AruWmdjpFwKM7xBnahMSiVzAj7a+EWd36lDivHEsMXN/7nmSpencKGtS5mzmOkUNOWKRCLtViYb6z05fnxDzpzakmNbK7KykkueibQaIt1WLJ12LO0c9hUck4HMpwOpqkKvAXU7r4t+AmxLRWp0WXhVhkxzn6fcN/Cc2MYgMqbQncAqwU/NXNbKgFpBUVtLdjixRny7kyzBry/lSKCvce113/lQngNltJPsw5PQDomyJJlUZ7Z2/ue+3CAg+CwPbIhMglLFZxL8LG+2j4R7HDZwLGDJ8l7TRi4JeFgdHhRl9WIh4T9q551vnf/QJ5GM37HZoXcmSNR1+Nqzf7xaFIMn56P+34wj+aU0iU5mpPCUiH4OgQ7yda5T6uPHTAcLJCgZaRcRIFSaDKkEz0Y3R8MkGab/4CTQDMGl0uAMeuNY0O6k1GzDuVyp/iE0vQOngqLS6uHARkyUDg24GQoWZg3pNjtqYMrCRsmYpEzsWsicNmk5lzCNDBgNAPjgdGB7xqzPjoR1Q965clOu7Q/l2v5Atvf7KoZiojbsO5yv+/2RDAdjGQ0nMh4xOi/XXAMwzTYfA3TgIzHqsKFEKKhgSvCpIZcZVZjN6G3VVB+gQ5Vvswp0fh0+42LxWaC+la3R/cDTAqo4WQm+lVqOEVjoiHDhdQYd9b5Zw3M/dbCwG8rMBtSxi84Ls4H9fxzKagunp0zyjBasyMlTx3T4TZaRYpeyttaWzY2u4g9xQFk2k4jWcYSdHZXaVIrpWIoZzFzzemQNcH3WNzZsnKCWLLwfVJgLy1DVLcoyA8pPwG27dhYgWQ820vHWqAHc1ZVRGcW6RgB/+azmtm7DpzWrdaMjtRQ5Ah0NTLSh1haYyKDhn0xGAw24bDQ/0gFsjeDjg4T3HOUiKVX7tvYra4OOnZKzapGpGwbNdaD7E8WNclHLzXlRPVsn2T9I0vgH933wL12/k3LxOxIkiHCXL/9pHs/i82+88vzfyqLwr7Sa6X1ZEsdhGARHEdcReSwtBs0uFLQ0D0BSb0bUWwDw8w7YpHpiKNHElJHKNLzNKdvXjkcZhSobYVRCHIIjj+MTG5F24lzTUU3nDMhQ8xeCRFDxOzAiMf1IDQsBvAMjSBEg9aU/2tMOBBvVFkrF1FLJ4qakUa5/L8pQyrShQ2GmiNgWSxn0h9I/GEr/cCTXr2/Lzva+HOwPpH84Vt6Bovt0U2oCJsNkIYkFLoCEMi0WMqaF2miY/T9o+7LUz6ZzNrVtB1BsVn4ETt4bBidayzpGoKbUtwXqCtIWBjgJgjLznURkRGmE3kL1GtVS9RrMR83ZXCToKBabuWZa4ApgStwzvoc+otvKZbWHoc+KrK5Sowdy3/3npdXC4+JArl2/JEEIFgWpqKG+D3Qy4IcA3HLf0SsgbCJAqXVbbCxZlLB0wnTeK3RnN3BJPUCLQjMgRiKS1eiGc7YE7FTGMCqIDkNV45+NPmB8A1lSM2ekwVwPEgICG5lAzPP41v3t2QSP8eWr8oFSDhy4KdpHUrs/1rQPEgQg3jdycg9c8lrEYXVwd2Y3PlsBQLZgZ2Swycy8RkKsDTlcwnTOzNCirL+Z5M3/rZ01X7/r4Y/tHyGid+AvdyxIqH3dVrh58dWXfq8qi99Mw/DxZh63iRNHF1IjtW1wb2zLODsWmiL5Ko02j0uzF7cZoPwcoIZ+vao0HEvN1+K+5vY1IpvHOyiZKs/mb9yOMlvqjanIVPr9Q4vWIfwM0lPeRy6tVkf59ci/JVjKQX9bdvevSwpRyKHoLOJYEkkJKngf1EzxrmXBA5jHwCLT+Rqp1Lg8zxACwfNg7cNrSFWROAD172M+Usj1mzty4+aO7OGstCjlsD+Q/cFQxkUpaW9NBtOZDEc2NJd2ofcFZQNAFlLlJultsdRuCcuVDAaOCu5Tt4JEJWVUSxUHUqn2g/dDdYV9fSCr3a40GbCDs/NkJNyRk8e25PyZu+T82bvl+LENVe+e2NqSRx99RDGmyWio8pGNjVU5PNiRqqROn8n+wbZEKbU/pQvtu11tPzdySiZMXs2vAiKb+WZCWbcp8JgJBxKpKtKDd2R58BK451xfXMa63Z5mNwd7B7rOwCxoS3LvDQuzmStscuabIAWYzKdyeNCXVt5WMFUzkuXSrAWyTLEqD1x6nMwfOJqVMKJPXadMY+SJUwQ0Fc0xbxYSuQfOFwsN/Lis8Ty68ScTXddwQ/xzEej1MA3tAFBioJIHjdAW4f3JcOEwHSxK+dF0UX5t89Rd/yRphdd+LqXiCqTDb919vfXCqy9/cjbu/3awXHyu3W4cz7IsMdCqVCt1O7yZfenp2GaJVuvgHaNMA2CaA7NFeyI9qSIaAGo31/G0jEPrcuPfa+cE5L0oZG97W0sXorW3RNdReup25dSVoUgxG8vB7k2bCB5QO8ZSLukutCRvdVXRZxGeKD6U0aQvUUyK60A4Ahx6iMg0J0EdaRYwp7kRxpLgXC2h5JlZzxMgWHx0Taj1tYugsyIxX0HslpsJCcGTtmeSKTo/nMxkXNRSpy05GE+lWFSS0c5T6rZdI050QK022o8okv7hQJrNhoGTukjnGgytJDH+SBVUsghKWUa1zhKlVGArQt5sa+bArl6oTR3/7+LjSPa1XMjpkydcexXviETH1BE0uLcEJGjmzH0NpJSD/q7MFiPJ8lj/FEtcsVqqmcEQVvkcaqzjWZGBNJKWtHL4Dh2RGq6F+UYGNdZ6lRKKKCPUTV1uYTsYHJNhaXejBOSjTDBxlgfGzYAWzgz4C4AnHhKigZUAobydPHfT6BM3GdywittLAo+LeRYva9EA90JhUR0/sDC1s2+B0tbEAYzX4L7oWAXwjmbrCNz0z0d0Mym7/T7AjgWIpiRZDgflxrKSbxVSf/nEuTP/+tix6DAIHrmj4//uWCahYwaeey5+o9x96PDg+q8ti/lvdVv5A3neaGGYTRpLRsBGVmDLpY+qvSjhL0AQ4hR0FGuChWYVJtiiBtPJRkdTuJDh2ih4wEBFk7UEQGo+l+vXruqmJEhwUy2QWevQp4UqrJyPZXiwo711TvayhI8RSxjn6kycprkCRJqFBERy6vpa229I2qeQnlwNr60q/AEWlVKJhTYfAXJZ6mkHeYnaXU8iHV5s10KlyjqhiuEzTa1tCXZkA9SzLKTxtJDhdCll2JBJweJOpQ2olUAW8s5ItI1r6fW6GjT3dvcV8f+3BYk6rKWAjBRWOqODAEN6jxGMthcBmlnItKpRiSrIZD2BzY01zR64fzhOYYSrknWAahiKbNwmBLlYxtOBDMd9LomkOf4YM8nhhKi1PAI3pxiG9VARpuiQtKSRtiRLUULWR0pTyFPgVpaSu+nq8/lRJws6PzMsCAr+4DjCcQJziTIugokHVRoP6sofF1A5WLxlHWuSwK2sYLceb29TqrO5MoLtjwLuzhmswwgDWMbu9w38bJp8wAHquvl5H5lxJLQbBuEP7YsOk0IMObOfYV+Y5ZI221WSNZfzZf12JfKVKsq+vHH6ke+dOPHU/E5P9LpjQcKXPu+89PXjO1fe+2SxKH6t00w/2czzY3GcNOqqDGj90QZTgM2pINU52NXY6iMBoIgOXydeMfYv05MckRJZBFGVC6Z0bTezkgWjdZsOoTV23M72TXsN1wVRthsGrEyMgvLboDxgIvVUyslAAbJ5ASEJTkYmdZhKWVNTEKhs9CC8hSi2bIf6uVjMNEiArZBSeg3EfA7Y2ZAkNraejagDSDUAj5RY8UBtQTLF2zwVef+3+uZu9J92aVKZzbAuY5hLjKBHF1qz0VRCmAYJTpoFqkeuGa3XUvr7iNUa2kGxTAL2H7W8ZXHKVgUbYhRAUMva+qq2+AjWg8Ghpv54UWrQUBC3kGI21UxvZaWrXoywIsMkklNn75b97ZtyeEAnZ6mzOpczcI22WukXy7mMJgNZ1ig48cKYS0iAIxWvSiM0waHQEgMNTkst7in9oODPZxwytI7JIhZaBlLrE2S0zKGudy1esBk+C59TAVW9X7R5wcCsTakqYh1TYJPouRDYDHBduQa+ncx9YdN7WrYZ+YIfGVVb16/b1NqmjyJ1jwJA5aFdxjKqVsle11iwhiNxD3wpocwVpcw7pqzD5gjH3ntFAc4KghuCufai0WyPxrPiuUqif9lsdr56/kOffOtOms34PX3Hg8S1a9eaN9956r56NvtoGoW/lybpw1EUrPPZPXONzWSDqExDoX1kZ6rBQjczD0OKVcuhdG2EYHQolmqR73nzR4xOnVEBZ8BINJx6VsfB8LRUjUXF4qVFBVmpLheq14grnKNHmqovOE3wfKTbQElQm+cAdaQnatEqVMdrtcWnxCmkrJnfOLcRbuOxai0AYpGkg6QrkOj4/3wGOhbY1GFSwvNo4AgZ8jvSz61TngAupJatrWOacRzuH8rh3lBBOern+ZTp5BqfXHdnKa28pb6W49FI/Qtyyo1/S5CwthrzH0pZXVtVshcL2ejyc2XC5s5ekPs2nY70D2k+XA7McdWZuwPgh3mztUHrMpB6Gki70VFhHraEi3Ihs8VU5jBKw0rBQ4I1ZQ7XYjQaCwGW8qzZIhsiVYeCzImPbX1bRxSwEQ1/4v2MZW9vV4LYJl/Z2gFUdWY/Cq4ihZ+YcrJY6Mb2szspYUZjsqFKbfMYW7i+vn4kyOJ3cINSKwKd22pAqa7dRkMz1aNNDBjudB9qCwAuARis5kZGv9Y/3nrxiAAIuctUoH5coHUzKI+NX2Qt1KXMKLcIonl7muXtG6NZ8YcSp3+4dvrsM6dPP7h3B3DKf+Mp7niQ+OIXvxg9fipeXwTzC1LJr0sdfDqU4MEwCnoerNQLVpkug5pNSwUupnpAmF0af3xUVbAzoh3VVG6DjXq39I/n4lSw0gOMwshFmau7baiNodWqF3GDbTSg4GERBdJCwaibvVRrsxkdCXAQlWNzUpACGyvROPeWiupMCrIRCnhadpyQi5m24NS1CYdn1JQIzhaF0qZp38JkVCm3ow1zmhptPVKgTXv7oOaq0gzk+PETisrj8FQXzMPItHMxGU2lu9rVORx4RRwe7Euv3VMwk0CxLEoFLm8FiX8Tk+Aa25hBY0E2c7Ou83W1DrPV8XUoX0npzXIfFmiz3dRNuawWGnQVVlYQqZYl2pcxcvNMUpWsm4ZBMwcOCdy18ARlqDOGwc7oVdN4LTth2gJWkl3g9k0WR/AOFPPxs0l4fQDKza11vaaqZuX5mZfqJmGx0cm21L+MAMbhwZQwPYhgtea6+ZgSxugDn0UAjKonqJssbpmfUbO9aNGTnzS7dT4QPA4AHvNfDIE5EP1ULmUb4/j1Y5IDOBJMiyfo2IHohlGpMM8TAivtctVhWkRpvhel+Su1RP90KclTjY2zF++9914bGHKHv+54kNDa/6Uvpu9OWmvLcvrkbDb7NRH5eJzE53Om1WhGYWapnEYsBDa38hoces3GpizhgnomJcGBC0iqZhHW1+HWH1c0mHYlxCjNQBiQAxhpWIQOaB0O9UQhuJCKsvgR4nS1trfUdF4uFPHGHs64z6Sq2JsT2MBSoHA7V2g3QyIEEMOdWXk7NutSLd8wSl2YNRlAmc4ZccNbrNCgDUxr1/kUuJmlZsRq6lWuy8pKT88e9dxwn5ETEJHPsRPH1WK/f3AgN69fk16HAb5kZmaJT0uSL6XyUm4kf7a7wRMD3IG9cIr71Nwoxws9Lc1UxQIPaT4gG0GCbIr7gAGMmgYB0jryHOjyknafo9XTwtaWpfPB4HEwOfk/Gw5RlbX6bBAvXS/ASYK+YgPQwOnmQCCBHq8jIAka4AUTOXZsS99DsTSqNI9nkxOw8yxXhye6Z+AOOtMFFynFxhjS3NCBz3BFvDeJvgeyCLJCR53W1nJppjKeyesFWV5vwbXmMQR1ZbzOZ+7gcp9LDzeazY5F7GZ4oAz1tGwflDRbcipd1/Kvi2VVl2E8DOL8Yhkk3wyD+Etxmv/ogY985o76Wt4eZ96XIMELfP3rX4/PdIYnhwf7n6kk+Gyaxh/pttsn4yjKlstlBBA2ndkNUEks1GO3SPRm6FBZm4GpKZrj2FPrc/oAhmkKppvFQB3VAegmwgHKjEaV6q0AEVJeSEx9GXEigzwnmTQbbek0V/RkIxsAnFzUVj5oloDEGGYhQYJvMbCWaOAGAStoGYeStaDIYpUOCQkVaSE1QK0z+/WnrGIBzrGI9BHnKZXRuyHADIFRCi+kGZ2ybgxNza7qpdbxepJDMisWcnxrU7UQcD8O9nal0+rq72hpMJ7+WJDAXMes3G0wrQ1NzjJOr1wGo7F1aFx6q0pERwzi+pJdtLo9LRN0cjapMK1FcKCqlN6qTRgndiK2KouBBJVJ/dkEBdYogeEOOutjSiaouYzevy7mtzllXSiT8UiK+QSln53CS4L3XOogkrzdM89ONndoSuJ2B3OWpQYFpOXW3TlUsPPYxpZaynGdyK4UL6Cfoc5kaHMqlbrDpu2Phg7TcevOzW7xTFbWJA7lPmBwrWydGoDK6yppTZ3YYIFWioPZ9TY5uQ6Ddkrko9+n4+acxviZHrZgdWqSY+8ljKI6iJJ5HaXXF0Hy/GC6+FKeNL/TO/PIlfcri7C78/59BW+++YfpwatXLtRJ+tEsTT+7vrbyRJrEJ5bLojUaDmQ8sqlkRM7Mja1TTEH9ImzQqmoNnAuS3nzMOjqYmJjwBa7AdHJruIl6Yqphk9VxfECyBIhBZA9kKNSYerMWLNpEW21qXJNwGkaStbC0ZwyblSBkmZxC80khk+FU+RBqxuIs1zk8szyVtIGACKBvIU06K6SlaqW3cOVDqZiDAbXOt1Bl8Qa2sjjoy7PhAb94/4y9Rz/B37GC5w/Bgg07HAzd1OmGbi7KELooOsiH+ntBbW4Iudmr+XLjFnBJpkTghTk6GjF4xlpzWu5o/W5GrnRN2Ayt9Q0t+Yb7Vv5ympMl7Ozty8bWpgYoMsH5bCDDwQ1ZFmMhugI+7u73FZTsddcE4VKetSTTLAbdSm6MScqyJYF/IoP+vgz7WApOpdtuKxU7b7Vl4UBG0nAyGXAgrwmyYGYDdBR3KAE9AQ4tcyBQaLuaLkHorAXIiCj1irkcDge6rggErEuv9PR4kgfCvcTb8Bt3SLmyV++VYhLWmSNjJbOhTMYjBfo4ByJaHZ/lco/AbnBFtxLQhF/QsP17iKKoylqd7SBuvlxI8s2rB4MvNeb5xU9//vNQUt+3r/czSMgXvvCF8Fc++tBKFizOiciHoyT8S1kafzAKg1NhUHVAywkIGgOOugDUkjb3QFtEzMBUv0HTCOgsCsBMfA78PANVlhp33kqU2y+0XWxOSHr2gFbcABXKaK2KpgISFMFIZ+gJ5YOqQ6FzqwcDmAQtuJmy+QAKASRVfzIemWLT/WGwcc3g46BW5SeniHdM1pOC1h2dCGe8Q3qr7EJQe8fwA/hUcBNjEjeqT7UEuGlTCjnMxiTWdEQMhyG7ghRkLFVkyeI2rU0k57EJPhEsWoRt05l5hiK1wsZNR8pZO089MUcj7X6Y0Q+sxIk02h0NWMN+X+t3m99R6RCkjc1NwxMqNAiZHOzf0ClemLng1bi7fyBJRCDLdWLY+tqmYg46mVvZkD6LQX8x0eCAHwPPt7G+rh0myjWVfGcNzSKxGtg/2JNGjhU+WJG1jBVMnM1tTCLWf6VRrnkNvkeZQSahPiRZJoPJTObgW86P0tqPDMiZOQ1QYnM8b9MBWdfK8BzFvrSLYdRt+Ch0SjSoucniZDrcd9Sq6vbuppsx3o9rzHoGryIzUm2GEgDNX6Kq6iJtZIOVjRNvzavw6eu74z+ZF8tnmpcPDp/4/d+/YzqNnxRp3tcg4VKm6EdP/UG3GByeHhXTX8wb6SfyLHq01czO5Vmai5TRspiHLAbYaXrywygLPcXVhtJw43XmhkYUM3ih/WcyX8MeLI030JO/m0uTFf82d9RuhB/Ey2ZiXgWWcUixFTSlxqa1SltVR9KxqcBBrNbUDIBJWvAhlL47VlcqgE8tneB0AM9h1Y9PIeQiTjTAGOprjEa46Q7t1tp8Sgp6ywGdk4MvA8jMzkxLssyIVWoio8YxpkMwroka56vruL8GLF5OK6Ot45mYmpWdiuwqGY8n1lWB9UDpoHoZwEkEUJlMRmMbh6Cq0kCzLxY/QYq/N9stbRfyuff3D6Tb6+k14bKvra7IZIZeZapBen1tXa7fuKnvlfcA5rCCqW/AScyYQhzMuDfGeWHze52J2djjSub8RFTXglcDw5XGMhgOrHPFjJOWmbTs7+9rqeF5KbwOn5X1QhDmPVj3y8DkRY3YD5uB+Gg0ogc5dTQhM1Fdu/MIf0BS73aVWSBYcNaADZeh0dJ2JZRvFXepvoPxiIkejvAnWDuqlIbGDUNTvSuXugZZ7wTEMIyLKI4HaSO/0l7bfLooo6fefmfnu5/4tbOXRT7MWL87NmPjZxIkXKAIrjz9dOPm9ObJ5WL4sTQKP9ZuZR/trbRPh3XVWcymyWQ8ChnI412BaeXp5ldLfrQH9NdNdWi6BGs8GCWZKE/6CKHK+PhHLk1qlgtQ5P7zIh8lYSUSMQNiCpvQAot2NfQxbCZcqM1CjEWqKaxLQTFk1XKIkkadvaea/ajykA6Ak4KbRZz5bZq2xJm6OJ9NTj82hJqiKAuSQGSnkY45dApDHyR0Mzt+P+CkWbfbKca/Oe084MumoIXpMQbuhdeb2HRvGJKUGnBMCLQWkLwCUks98gyUpg5wVXWjYwnyfdJy3tve3t4Ruc0rUtULYwb3ZSG93qpcvnxZSyktU1TnABZjp7PXRxAYwRoODw/1mis71ZkiG3hn+hvKLU+m07R8bk7Tvhzg/fBlE+IYZWi+pv7+8Zx8frAd7vfKxjGJ01zNgWFccq91SLBaz+mV03Xlqf/Kxkwz1ZaoQa+yicl0zQoQ+jsAK4OIAVm5BjyWtQIFHQCaAMNa4YBzJ5mSBQnQvL/+aFSPxrOq3WkftNvdK2EUv7LTn/yrYVG/cObhu945d+7Tdpq8z1/veybh339d18H3//7fj5MHVk/Pl8tHgnLxqTCsn1zpts82kmh9Pps2mfeo/XQ3pZobwonuTxHwCG4o7UQd7Q7bzqHjxs5ksWPGaq7cgIKwNK38cHMQ3EAgnrfTakoWBRokGKXGuQAIZxmJ6UQ0HXVBwi9+Nt1ce+eYQTfU8ARQ1Ke26irlnQp0QhMyZ3OFYnEbsGjsUM/4sxIgcHM9rdTyqa0HxPR1Z3ZS8cXC86etCbxwPLLX4TVvH27L9zihqNOP+CpKLuO9iJYa6CSUzHbkPm6SfbVxw7KOWaa3ye0BK1dWVnTzsam9CSwbiMfpUCUt74xazHu9FSxL2do8pocAn4PnUcBWn98wGJ4PIhPX7Pjx40dsRBilfE4PGJqwzDIoHkuW4+Xavm3J9fDXke95o1r9XpJIfzjR9qIRuiLFeCyDrNSQWTNZp6Hgd71Ww6twKYlYj759Cn62WNaytnlSH0uGxsBfmLqccFyXnMHJZBJgPoDYXDMJ5XAw0MCSpFmVZU0st94Jo/j5LG9/syiq727vyI1P/e7nx34+1fscI95X4PInvvd3vv71xii8sTmezx+cT6e/uNJrf7id5/fHUXi8mTday8Ui0jq0pAYeG1XZOWArfRakXEesESTgUhiizEnob5Cm/ertaNHfu0pTtqguAkENpYA6eNdSFVPVKGjrSaXIAJa8kqlEWcj+NGahk2IrFhEEetpgca4KTLpzlA+UIF7gA9oON991DHh9c+CCbWfZBQtNAyGTtl167j+LpwL7Dab6Did+U6NbRyu+PWj4HrspDq3Hrgt1Tku0qX+/Rf+1wTEsTk9ft/anOS5p71/FR0iWjQrtQTt4EzZB2+pmTm+vlbH3Zpgz7yEnM3TBzYNyYBMqf57a6e0zF77n03Y+v2IhDKpxIj0/XYv3wXN6NaUnK6KNkZ4AACAASURBVPH83CN+rrJvR8PWEs2VLD7j0EUKAL6s1ZAG+TXvV8VU7g+Zgj8gbgcseS7DHwyEZOPzueFWDMGuwlBOnT6rgdkG9SDDN1yC4ICXCgeKG+mhB9v+YR+wsg6CcNFot4ftTu9yIPV354viqWWdPRcFcvXhT70yCYIvGGnjp/D1U8skbv8sKEbDyfbK4eG7D7UbzScaWfZ4p9V4oN1u3RVHMbP+0sW8iKjVredNcmB4Aie0ka1U1WTTuNSiTqeGHlFztXWntne2yfm50nBdoNC6ErCQ9L8qXMsUq3gbAERfhKrfntPSdN4LXxsbG9pKJV30QYKeuG/jwnY0nIJAN7L0H08DXlv75ngOmOEvP9P0XgE5CxKaEYEbuJQYEE1ZpLQkY2jXxn3gsX6OBttcLeKcgE5l04iMdFNYp4cNg6aBn/mTlVPezG4MA/EtPH7OplRSFZvRjaVTPoujDE/nlu16LczNmwjlzBldMxcn8+c1NjY2j9qEvp1ISQcgzHXRjIHuFT4JGU7rTDw3HMI7PhHgeH34IpapEDAzHQ8JW5NroKI/9x6UoajakluBzdahbW4l8OlnryTVaVgtNfAhW+WAsrKPLIiukF0bwF7DtowEaDNpzZJA9T0VmQcDqofKe1hb39DArP4StOghAzI7JDBneE8KtAFSdT0YjOowiudZo3nY6nQvZ3n+olTBt6bF5HvZYvze2U/9Z/P3G4P48bjzMwkSvAmC+sHBc93Xn331HqkXH8ibrcebeeOxbrt5Os+y9bJctOq6DCfjSaAbDcsvCCqw15TBZv4C1jkAnTccQkHO24Q71NtHwKGTmPP6lpYy7IVJVTZRzMhOdBRaapPHv9U8F68JR/JhN3FKHe7va7nQyhuqTFQxWbOpVmp6SqsJjqHst/wI0JzcEgp5FSAtP38q8XhlX6rl3q3f93159Bq0KTltbY6qtZC1p+6ckXgu/28Wts8kWJBYq91emihop1aBc+sC3XaK8lidL0EnprRgxoL3ojm+530XKBd2d3eN/u6Edeg/2PxsUjAJnx3wc035U9S1tsnWNzdld3vbZTDmq2DrxAI/78tQfmOn8sXfPd+AcsdnIr4M87/vMwifaRxlZR4rqitptZnLmikvgeDnS0Q+r8eI+B6lB5+VAEYwBz9RbMMFLcocPh+fuz/o67pElk6JyVrlvcPT0G5ODIg6UU7MZDKrJ+Npnbc6RZblO41m693u6trzh/3hU4ej0Qvry71L9/7qf/e+MCr/vGTkZxYk7AZ+MXrhG+NOUOZbkgbn5vPZR/NG/nDWSO+PRO5uNfPWfD6L4VQU04ny4AkSGiwcr8IivGkdCBCqv9D/Gw5wBH66zeSBLE1jCRLzqaRhrW003xLsrlJnYzSC2SgmH6EN2GUjzg0TGA4GWl6gcqSNimclnQ1TXdJNdZmOMITWNqbVsaKnlB9VT7DyyLZf1Le8NEzl6DcVLEG1lruNtutPTr/w7XSzFi8pPIv8CO9germbAcFrKRjbpmVa2mJ1Q2G8LNmf6AMo34O+Pic8DrQNCigGt8RPa2tr+nrgAbwX/g3D03cCAFwtLTezY1L4zY0tDRIEGp/+cz3ICrjGXmjF++LvFjgtK+h0uxroYdDypRR9V0bt7Ozo61hXwijOqodx94Dn1gzVuUyZlCKy7pkCUYG2m71Skw3P8+u6ooXpQGyd9r4wHMSDr0o9d8I9ysn5Yi5pRtZB18uyXu6j+nTzPmiPanlVlpPprMib7b1Od+W1Rt7+wXRefHNW1K/OD2X70V/5lclPO4PwweNnGiTcpgivPP10dnXybrcqy3uSJLwQx+kHwrD+SKvZOFNV1VpZFrksi6SGKVcxpckuMIGC1J1AoOkttvJuHgWtNn86UzaQFVhaTP/aNjI8DTgN4BIDBuJQM4JV0I9XX0JLRXGOwkmI4gPAVGnjC3rkkGISJUPNJmMHXFoaq5oU53HBe/WDj82LwGjkRi23oOMXlqWx9m/P4rPpW1auVEuk9AZc8hgfAG4PMDy37wDgmXi7c5XJq62c5Xp0XAtTOR8Oq/FZi5ZrkIXmcxmMhrqxOCnJJLT1nFi7kOfke/41+R0CI50cnpMyCOWtL1X8ZsdpTL1CYDw6AxaAYtqQtDfttLb2scdWeC1/aqPfoGTkcWxkHssfNq0HX/1r6oxTl23xf68aVZxE2femDVHmrQugvBcPAFOCsnZ82aGqWs1aGUlg10kBYFdaKus0JtgQnOhuGbBpnAn+rai46yxli2VVj2ez5W7ebL+Z561nwjj9QTGdP9+oRnunf/F3Zz+rAKEH3p+XavwUfx689tpTbenvb0wXywvLsvhIHAWPJmlyT5bGJ/IkWqmmk6QuiqhaLkJqfG0buYGr1PNmKmPj6EgD/cmhbT87IvSP7wgALuINAfXXsA6IW0vNQjj54DUQiCC02CJwmAenu9eFqCV8oEGCWpPgQRCwocC3TnXeq6XGt56L7AfylW9z8j7Z1NYKNeDMZxF2ggKO2G1Tb0flFli3wm9+X9r4k5VMQgOo08F4lyVfknBCswEBeT0fwwct/q1zWWkxumBmbUir6TEn9uCeB2b5DDyGGp3NQRBho7Xb3T/DdWCzwR8gi+H1+dy8N80Q86YSuVTh62p/ntd/Jj6PslJ5jAMpKQP4rDyPbzn78oPn8INwCA5cK9+K1S6HgtzMabH7Tfbou0S+pFNiFGQtZ4RLICJIENBMmm8dDBWesXYwK04ozwB1DdjmEEPyf9vQ4ipvtYu00ezXEl2bTBdvNbLWD8pF/b35YvZG+O7gxhO///smBf4Zfv08BQm9DHX9XHLllaKzPdg/1j+4/mS30/ngymrvodVO655oXqxV81m7mE2T6XQazOfzQElEyq9ydvoEgThScPHHFxbtULoiuhgZ/d6kT494a6oSadLLWbGQ7Z0dLVvIKCgz0Gqw2P2m5H1CgYYLAUipcx+QKcNVmOMyhVszFmyBStPBNTTj0YzCTZl2ZCqdBxlw8s/0/XJS26YmfcbDMtPFyPOz+AAub88y2ABsQu3D17UuWJ8ae76D38g+GPkMge+raE6l6RZIVN3qeAc+bQcEprTwnZEjHoYLePzbd1o8nsJ7MBcoF3zRmRw/bim2M+khECv93nUpfIt1yNwO19HwAYvP6cVWYAI8P10E3z5lESBmMzxgpDiAb3NqGxf1reui+G4Hn2dtfV2t73Z395SuD+BF2aTjGJzBjFnk09mpVAlLgOH5AJDBMTQrPSLaOSA6I6uJZF4gf7d2sFLdlzhkpfWyrOp5US4azc5O1mi9EwTJS6Px9Puj4fz5SZq9OxhI//Of//wtht3/HyRuXQGbQPfF8BvfGCe9tHusjqMzVVnct5xOP3Rqbe2BRiRnl7PZ1rwo2kVRaEZR4x6txqM2xZkTmgXiT9fbwS8SCjoMujGUlLWUMICpaKQbBuGyiAGw4A4o881NV2ID4IKlAUNZj5XSyQEvKS9IfSdjGwOA5wSliJqT6NBeGyXAa9MKI1tgUVO7Iw9XajIouzIoSzeK0NqyCNL4Hq9BkPDptk/H/cnpr6LnA/B/NjobzWck/oT0XAnPGYDy7AONv148Rl8DoNAJlHz6zoWmDPElkS8LfADxxjY2T4RujJmnJBgIcW+QVs9oteIzOpfr16/fBsAyCc26Cf4Pn8VjO2xonxGSmVHKUJLlna62audDPC/AWMxSgPvF+7BWtgGG/qAw/0vYpCMNAGoy60Y78DgNnlqiqbuqgcBa7hrRjwxEMwna2QqwJtbqrNnfMG/JHKyzNFaOTIvp8MskaQza3d6VOG28GkTJs1JFPxyXy4vhaLK9881XZp/+wheslfZz8PVzl0ncfk3q+qX0tWdvdA4m25vzyeTsqfX1+9uN6ANBWT1SB8Gpqiw7y+UyXywWKVbzml6qj55xHMyZyk5wTtvbUX4WNeQnjFWondnQZBIw5Wib6gCuozLFaMmqLXCpLuWAOjnXtZrFgl5rG9L1wpGgU25oiwvs47ahOJr9AIdqN8FGzdtms/TaEHyz3mOzsMj5HgEqSzBnGem/yUI8R8EDcb6MsJQ/0Y6DDxq8xo8bAh/V+9res3bh7UFG033cvZj76dq1PDdfavOvKXckzXZb5eqaQR1xFwwX4ku9K+l8cI3BDZzAzqtSoVEbjmDdGJ8d2YY1cxcttFRpaeaz/J0g5jsQ6GAwbhmjK3EAKY/jemnZ5Lo+PmPxmZYG4Mw+o8cytGWuOJC5bTN5jBKW58FvxM+WBWPQ7E/9P8hqrWWrxs46d0YrYtq79WgyXUZROgmieCdOGu+22r0XJI5ejOrw1TKIrry3G/U/9alP/dRbnH9eHPq5DhJWftTBW1/5Srq/Pmu3F9XxdhY/mKXph8IoeaCqlneXZXl8UcxXl+UiKcsyrqsqhJRChoDxhw37MbKPLljHPVAUWk1zQeCh9DL/MlH9AgHBhska0q1Tn/RUw+gWoZf5WmqduVxIGpjDkvbCYT2GgWISKvFWsRHEL1OkKtVbn994F7y+nVK35p6SoRAkaHWySbUbwomVZdLOW3J4eKALGOYhn4P02rfsNPhBCXe4jG0+wwn8JjTyli9bUM3az2gjco34ORvvaFMhYnI8AG8r79mFZBP8fnd1VW5evarPw4YG6+CzeSxFZ37is+DIXbxfMnCChHefNs2KdSK8E7YPYmxEf/pvbGwdXT/PhPQEMB4DiEkHxoOhPK9vE/s2qpVDriWJurWN76R5lWiLWLNJcCEP8iL4s7U0V9DSZstCbsMb1FrShQYpdeRGlYtuBvFeXZbLcjkvFtUwCKPLcdJ4JUqzlyTMXpAoeGNShXuvvLIz/XkpL348aPzcB4k/k1l8/evx89Od1Wg1uiuV5NEsCh6LouAhETkndUWgaC+KImVTYk2nk6F12ri1v5qN7GgMvLUZWQymYdCT0dGTfZdEhxFz912QYONA18XnkefmdQAr8TlXf0qekVNJB/Hy+gCcNmnM4wg2sNie13/PuAxOiebaeb5tx/vyXAMo4GsrPdnf23N6CCzkE63Nb2/N6QZ0+MSVK1eOTlw+M6xIPgebiM1MEKE7hDvTjRs3dOPws83NTf09M+ldKMmIdJ/MhGCiJ325PAIA+R2em9eghOLf+/t7mskp7uLKDd4Xn5cNTLlB29l4FD0NDJzcHjPxIKTvXBgF2lreK6ur+pl3d3bk6tWrev94TfCKowPhCCswA1t/vXmsz1D8AUJmSInghztZexRcwvw31F6OIFAUmjWRzSjQiVMZJQ4DksFSlAyXSG9lRZWp29s3kLJP6zo8yBrN9/K89XyWNb9eZo1X33xv+8ZnPvPDg58me/LPyxp+0s//YgUJkeD7f+/vxb0PtvJy3l1fhPO7pa4fDMPwA2kS35Ol6V1JEm+GQd2ezybpoH8YQpmGxccebKtlPPoP28i+pz0aj1xL0sbZoQRlUbgKQeXD9POPOBZqKmKDbCwg0eGAkl8qRRuHLVJN9RBwCkfPUmRxcvqx8bRkUdagLURLdCzD8B0YNhBlgGEHqax0OzoRjJPQdy58EPHvz5cMpOJsfMsqTCxF0OBxBAGCBD8nxcelm4DB6/J9v0GtXFpqJuFRfM8vwKnKtxt5vIF3Poux8suCH6Co6SX8RjXSlqVrPB+/y3MYa9HqfF8ysOkJTqZNsQwLcBmGa3dtTVprazLc3lZSmwereT6urb5XRwLzWYwvgXg+giDPbeUd8zDw00DpeiuTQMthWSYCQujruVkdFoV2w0y5akFDXbswBFosy7Ku5mEUHVQi16Mgej2Iwx8GYfRSHDfflO7a9qVLw/GnP/3pnxvs4f8rgPyFChL+Q7CuXv7iF5NBV9phXBzPwvRcmifnm1n+YBIH90aB3LVczNfHo2GrLpdpmsQRnYckMjkuQ2vVLt75SlIKaJrpqdi6Wdni9oXXpSe/6EhC5zyk2Ic6e4sGBjIHdCf63Go0IgZiKTPQDy82oZlfxJ5D4anKKgN3TEL1bHTlCgFL26pxqEIhzzy8fWN64pDfBLY5YYzahuG1aBXyODvdyVJoI4aqdL29dei5FHqqqxr2FjeD96q6DvWjvIUN8H1Od99mRYFKkCBwgEn4sXae36HdGndSE4x431aCmQGPL08IFsa3MFwJbwoISYrpgHFgWDPBRMiCLzJ0XLL44nt0KjyJjPfGc+nBQYan1oZjm/LWAKSFlwG+YEa7UMfJouhpoufRoJBkWoYqX+62IdUMEanqui6KxXQ+LwZlVe00O+23wih9NQqCVyuJ3yjD4MqKLPpPXZzOf17Li7/Q5cZPinToQPJitzMqJxsNqe6PJHwoCusHoqi+py6XJ7I4Xut2mvlw0I+rJRyLZTCfTwMMSm1+ZWqzLvhS/X5kE6e9HgQfCedHoYHEaSBsbK75HmMiYoOAEZ/ZsB5jZNz6svLCTH49OObZkrponR7A60NMc2JCJ+12gI2w6Yu5zQ5xdGse7zsO/N9vNl6ZDUEtr5oR51Gh/AanOPUYgM1ODrUV6DMXfuZZhGrYq4QucJhbsyrILvxn8QHqFtYCu9PEZTyGIPHjbE/jE9ySdxPACFqem8B14YuA5vkfBDSCRK+3otJ4HuPl7Z5VSXZz6swZmzHrPrfyGFyA4HU84ElwoPsAMU5Fd5SgzpCZ14rxBNWOU61zOMdT8wlVQSHdJiThAe4Q4ODlYqJDReVGWct7QRC+nbe6L5Vh8nIdRe+VSbX36KM/O+bkv0upodvi3/UXf95+r66/ED7zzIX2fGdxrCzn97byxmOdLHlkbbV3bnW1t9U/2OtKvWzFgWTMph4cHkp/2FdAsdPuYuXq0kVzr6LmBJomg9BOh5uZwGb1o+0BPjERIe1tMspPacN2soLec9R4KbXRjYdmUuPIPSx8FjaL1gcJD6yp+Kguj/gZFnSM+IWxjM3CNN2Fpx978NHfGyMxWRnAH0999pmGx0UQVqEf6HZWbqOP2xxM1SXQtl0s9LluJ2+tra/p9fPlDNeF3+HkBwze3r55W6fDbN480GiArDl98T7Onz+v/AQwCV8WEKS4bmAgnsSlvqTNjt4DnoPSiD9cQ748r8Ira/ne7XRxggPP7ynflEyHh/vKcdGp9jieOeq60fJLMaMB55yu3he5tks148GgJ2+WjWZzEATRXr/f3y3L8qUgDJ8LqvClvdHixno3377/4785vpNDfH+a++8/mCDBRcPO/3x+kFVh2g2C8oSEwflOq3Gh28rPHuztnsuS8EQjS9cbadoaDfv5ZDpJGCYOp2HhlJBkEwQJtBuRDpaFpus7A6b9x2yV9oemt8XsaJybkj7VKyAWDHTAKjwF3KPvLHY2kSlAF7fmWTq5OJvL6mhjVaqAKtR4pTwKyhlGIBqOYa1d5UEAkGK7PzJdiDfjgS+g5QSBrNXUn5OS8/u4RbG5JuqhWesJ7TMF3jdBYXt7W27cvCmjyVhOnTqln8eTkU6eOmnqWpdh8Fy+1cjGBq/hcxhr0nxBfKBRrKMwYpmnUvuWL2k+YKzXsPgBz7w3NujG+jHlf/hOCkCpn8NCtsD7UMp5p3PUOvUBhP/z3nxng/KCjIcMkNJQA+LRFC3UupkO51VDI0rKwPgeRYHGUxBjTaIkOUjT7FIlwVuDweCNOEtfCiV7r5O2d9+9uDO+IlL8RSktflLw+Q8qSPgPiHDsG9/YycO+rK7mra3G/9veuezYdVxnuG77ek7f2WyRokTacDKggUwCBPAomgbwMBrnUUS/QoZ5BU0NZBgnc00MJIgdRZZtiRLZbHb36XPZl7oE/6q9Kcow4pIo2BRr9YSUWH2pr3r/u2rVWv9aVm9dXTy7X5fFu01T3Cu0uTsO/e2yKo+KslxopXU3jNUILwtrkahNO4mYHwCRiNtQlPfSORb1Hqi3QHCrR2pxdEemN/0UiJz9Fam8nTozoedDvN6LwTkEvqK3RcxfQPfqWCI9R/exRca/x2rX2MwXhiUvu4JTKffkhzk/wHQ9iWBkHR2eojN4GS3pNlux66LPxN07d+Nbdou4iaBbCdw2QEQgOrgtuLy6pGxERO3v379P4obrTDyMt05vvUgpp58Tb3akRYcgzr/8kqzuXxxZyE4/JkTh56IHH414qOeHpv+OHpVxhxRzSaYqUBzVpmbRMMlBivdsT0dXtk091dSgEhhl52sqH5+L26K5T+SBAOXV1TWJVyysi2XelDXadVSujqAkrROZGKFXCMWocBsP9R2U1tvR2o3z4dJU9VMl5G+Kovi1KYv/ubi+/t3ecfO4On7r5t69nwxSytcia/JVdh5vpEi8EItHj9Sn//T3pdn27dOn58dy6O8qGd4VITwwhXnn9NbJO4t2cduN43IYh6N+6Nuu68sB9SE4hUslyQ+SbjKiZyaCh3hoKeWYLP0Rg0AOhBcBzYyRSl1GnwCqd6Azd9zi4u+UezB5YsyeiHgg8IbEPT0evjnLEG93ZAJGYYnNZlABi3RwxEbwEWsjYGIylbhPxWII0OJNjIrKmDcBgUJCVLwtwS0KbjiwZY7Nib24fft0al4cC6ROb92ih47qFKwVd+/coYd3jgPQjmh6oDEGqfCL/X0ac/HkCRXNkQNT09Lc8QDONzAQI7iAz8ePWGiF5r3Im2jJFg/zws0KFX0hgEip7YZMiDfUwTymPNOVNVylKI4T3/SHSLOncv+4Rpg3chcWLVyzEDaIMSKKP0yCBN6IPVBAlF4QBbyPQj+Mbhzh9y030pjL5f7ehffhyWj9Z17Iz7yTvzbSfHJy7+TztVivfvSjf4A4/EXrLV5FFP7wc99okfhqZ4HKg5/JX/7yJ81CiMVudHvr1faWcLv7KtgflSL84OR4/926qs9Qdbpe3+zvum4hqY0kjhoopd7QbmHRNGJ/b0GxBTJ9CV6c3b5FLlf4ZcRDi10IakDg8g3jXqRS42OODcwxhPkhxxuLUp+nbE483BTkE4I8Cchwh7L3pBgpMQjXqzGoSaXmk38jblRipXPcteChw8+PCk88SPia2NrTdnlKgprTwCktfCqoIgNYak0w7Zym4qo50Iodznwti6AejhFIGQfl2N08enpSv02qaYlGxnHLH2si4u4q7hTo2pXqI2KqMwRhrrvAdSLK1NerNc0TYkJd3Cv0aYmmNIgP9LtYbo4CLBwXKcuyqsVyb0lJdRfPL0l0IAyILcImAEcNCtaSYTHqPtDHA93cYCNItgNuGF0ftF4XpnpWN81vi6b+7+vL9bmV4pPlcvGb+mDxrAjN6k55shYPHrx22ZLfhVhkIRIzKFj8//SnP9UnJzf6yZNd2V9/eWCkPCmHcKuu1X2p1QMl1f2yLN6uyupMa7kXvKv73a7uum3txt7IEFRdl1PdB9KyPb2d8OBSY13qqxmdjnE+wPt+dmaeRWK+7sQDgrcadhAxWCbI4Rl/jy0A405h3lnge6GADJl88eGOEfs5jTqmS8fUZjyk2M1Q9J5OQdGNmoqUpj4REA3qd0G7hdhwF3f+sysWvj99LXzfyU8zGvjEGwCqg5i7vlM3skkIkMCGGAmuCfGWnxoUkSjgUDb9PHMOAx5uvOUhStS5DP4cyFCddheUkUpemzEhCoKNb47Po5oRNMghAYg1PFRERnUUseoWx7jr69WLlHMIFrJm8bkwGEJ0YejpkOmMqUalTWeDx5FiNYzu3Av1uDTm46qs/1fVzWfWhgtvh2dN01yrE9M/ePAeJu7epN3Dy+KSlUj8oaoidvHRzy+rnVxWw3hxLAf3Vtsu7xwfH945PNh7OwR/xw3jSbfbnQjpjp0dlmPX10HY0iAdL3jjnY05GEZLCibiGhK9PsmbIHpyUtI1pfu+XPT7lXv3nIuAIwF1l5oKkXBzAPv+2Hk9VobiYdhbLikIOSdmxYd5NneP3gv4mEu/8Xc8kHN24WyZ9sKfsscOCJ2zY0HXfG05P8SUoDT1mJj/fd4ZzIKH7zEXiFHdyNS/EiKB3cSceh5vDGKWa+w1gcAh+qDOHqW4IYo1IfTYTjEcfM25dQAS3ag7G/mJIIlpMqOhgj1UlECkodl0Z0UZkdFnFNm30Sdku90ipcFpY+yu60al6k6baiuluRFKPbPOPXXef2mdfyy0+lwL9VtdFl+Mrlrd/eu3t2dnf4Ndw2ufCMU7ie+CwPQ1kJz38b/+c7nzppXF0dK0+rYfx3tBhLe1EmftsrkrnT8d+u5wu705NEofKCEWo+2b1dWlKYtCLRatWjSt3Oy2ihyxjKGDKRnX0NYf3aPwNo8O3vTgVtFcNr5lccMZ4xp4+yIeAHGhhjKTkzTMf+HKNJd40xt3KqKaE6DmN+ycyThf3865BnOyE/6bdjNweNrckCnKy34X8Xgw96eIyUsIPM75GDEDcup9MiU/zVWgFBCkSttYKj5nr85HpGh7h/4UsR4C4kG9TrCTIcOfr0x3Yt0FdlXoYO5F0y7FYm8ZO3QhB4NyN2KdzXyso53U1G+WOmMNQzDG+LKuvBLabbfb3lq7Hp1dXV2vVienb13tH5xcWBvOnbO/3+36z0Zrv/BKPz1ZnFw17x7fnJ39qpPy9Sjf/g5/9f/kl8p6J/HH6CAP6mePHskP/vGh+Xg91P1ubEcl9kQXTo0pz3C12vWbOwft8t2qLm6jZGBzs94Xwi+M1rVSqlpdXddSBi0NLG1iMRd2GGhijOg9dh4o/MJDhx6WL2dIkqEMsg7R5Wuy4KMWg4g/9B1dZcZOVvEGAG/c+QpyrpycayOQSDXnJszp1rPXxFzbQXkQ6Ja1wwP4dZF4eScxp4pDJPC15gxIfK851jH/PPMu4/jomHIPIABz4RbGzA5WuNuFKMQr0I6OZjjO4P/NxWXYMcDspS7ryZowNmlC/QRyKpCSvrq+njq7xWvWeDMR2w8iWIrwyM3Nzei87+u6WtdVuyqq4rxtmt83TftJN7pPr1frYduPtyjh3gAADYFJREFU122zfHxwsHgW5OJGbs+3//Gr6+7999/3b+pR4k8qxJuUTJUy2W86BglaH310Rw+fbEx5tChVMAvtxJ7z415VN6emNKda6zNv7S0R/C0hwpEb7eFmuzk2Ru+ZwizQmsN5V0qpirosVFEWEqa78YwvSCTQk3TebaBkHbsJ5BggmYqOBCYGGyES5Jg1pRPPTk0xSerrb/y538Vcx4EHB18LMY653gLHFlxXQrQQ1MPVKt7sL44b0zGGnLdt7JsxB0fpOAAXqinzE6JDP89ULg1RxIOKXcQsGvMDDOGkdoConYNfKd38GAr04qhFNnHF1K4PRxWklKMEe7CxFSEV7UXHLPqgvBLstka/23ahHwYkN41K6XFEdpsP213fXwoRntV1/biu68+Ksvy8qZovmrZ5MvTi+abfDpvhelfYZmPOmuHiYs/97c9/7uSjP591/Tf9/fxzjeedxDcgHR49Uh//3XHRN7q4vlRtuV8tF2V7qI0+UsId+8Ed9X13PNjxtCj1rcIUp0L4U+/8vpJyobWui0IXdhi1cyPC9LqtazX0vXLWSjJOgcEsbbVjKwHEHtCjgbwN6DoQRidIqpocmjGG+qLGxkX0xp9uNubzOW4rqN6C8iTQXHlHogSRiGd9XAWidDsWm31NJKbjRvSNiD1VqZT6xW3FVz1JyDQYwcMpqBh9OWIrvZirERv0Uu/MybEqiiOK5xqyfouuVWjhCOevGL+gvIWpuCoIFawPXmlNb3c00S3KEl2abN8Nw2az7fpx3LbtciWU3I6j3UohL0Znn2hjntRN/XjRtI+VlOdKlFdOmk0xXPV36h9Y8eMfo2Xen62fxTf41fuLDmWReHX81D39+tN1LVzfamWXxaI5DN6eqSDuCSHfCc6fKSWPpAiHuDFx1i6C962QvjZKlWM3VNYOsKGQTVlJ7y2uAMhsa3I9onWi3p4oSx6txHZ/t9lGW7mp/WAUjzljM1a+xouB+CCWdUU7GPJ28OhJWQuFBseIG0xBPxxn4k4FHuHR/yLmGsQAKt7w+CBBgAks1TBoSjRD6Xj0HsXnxapZ3FDg83HkIm8narALYUHnrrnJEox096jjetd1IR5tDF2CUMtFJUPbLEK72PNSarfrh55iutaNwbk+SLELQqzRbEsI9dzUzfNFs3iy67rV1dVqZX144rV8Wmt5pYripj09XZ+fi+77UIH56r+er/4VWCRenSFteB89eiQfPnwof/jDS1VcPCjLw01dSNXunF+WQe45Hw68H06cs2/pII+FCifOjsfe2f26KA5CcHvCh6YuTOHcWIfgS60Q1VB66DojtVZFUSjnnRqtlRR/wIMLv4a2nbb2LjYzngx38cBTW0Ry+PYCndhRrYodCY4P2MLHjuE+3kBMdSjzToKKyiYvDIgLFYHBIUpK8oNEaTaOFFQnMX0vxFqo8hS5EshSnW4nsPtA1iYlT0HwVDTHoQxPZ8XJyWn04wjBee9tCAqFMYgj2GEcnXdUdn3jpb4ZrFxpbTbK6JWW5rnz/pkX4VlRqOd11V6YorkuKrmRPnRXz8ahd9Vud37el5eX9pOjI597jOGb/sqzSHxTYgnjkb8rPvxQ/edDoQ9W93Snrgq/c+WwcI0btvvCh4XxZhHCuOi6btmU5V4Ifj94d1AZvXTOHkgp940WyyBkvd1sy0Lrplm07TiOtQ+u8s4XznmtjTJlWcHrU3d9p/oOz5KWuKUoy0oWpQl2dDAMlgadsSXMWWNaNeIAdVNNmaMxBvK1ncTUHW32aPjquOGjo7iPbt1ISkIMAkci7BooyKdk2G53sqyK0DatV0aH9WYbYoVnCGVZ0RVk1w8OIrBc7tuiLAYp5M6Odtv3443SYq20WQsR1nb010HKCxHU5Rj0lVQKDUu2ldHrQpoba91GF9W2PSh2Vbg39Acrd+/evhPi3AvxHo4mfIxI+N39Y0NYJL4luG/zaShAWy6X5vZtp5ed103Q5ot+VZowwo2lVdYvC6WWUok9r+V+ZRSOJfV6vSnLsmjbRbvvRrcfhNsPPiyl0hCMVkldOeurYezK7XZXGmN0AVmRRpV1gUpohWM8Sk+E0HIcBzkOvYp28CiK9dIOg4wW/xrJ6BRDiM1kYkUKdhpKqzBXjtLVq5DBGB2mWxBvLXpYChwJvDTa4dZEF8a1i2Y0urTbbutHOAwLYYuisEKo3nm3G4ah00W1w82DEmrVDd1qt+0v0cPHVOW6LqsbEcTKKXVVifbGlNXm84unbq/Vozq6O6Id64NPhRXvvffGJjR9m9+37+pzWCS+K5Kv+HXIJfwX/6Y/q6qiPvZmOwTTDVYPdqXLTW8625Vaq0YLd7Addre0qQ7rull2m5sDIfTClGZhjGnX63VjtKpMURQU1ggevnpFEAIZVjjoI2tU+yCmyjOnkUUahCfLVold0Et3stgVRGdQWJJDACQ1DqX4Am53pfQS9fJBOBnEiIsLeCsgt0rIYAP9qfogZa+CR0XXIITugww9TiBSyhul1GoY3EYpcSOlupbSXEslN95Uvdwrx3LlbDU+Hx+cL0b5mtjMv+Jyf68+nUXiNVsuOqrQx8+kEB+IDz/8UL4vhPjF6ak8Pf93dX56XxUrXxxVe0WoRLkd1oVyqpSFKktpis3NphCVKeqmMgZtqbxFvTtcf0shVRGENFJ4g+Zf+JMExHsULBiplJbBx+sKXC/CjAaeO1J6qEiQc1kZaiIRiVTBi4Aoq5VCordYL4MbEQZROA5IMUgtR2nkKAeJ5gJWCW2dEg6dSqRXoyzEIMcwXO78YG5v7MHTd9z17d/7m5svwvn5w/D++/8VhPgAVyb4Wd6YoqnX7Nfu//1xWCS+T6v10s+KOpQPPngoP/qXS/X0nV4drq0qm7+SN7vfqWZwypy9Jcu6VdiJFGWt9GCVKSrVj1aN1qm21RJ/KuuVdU4p45XSBVW+SmVf/F4UDicVE0LwwevRDyPM+npUo9IZ3+HfnQuF0X5UwVWj9rbo/LALrjpcurYv/IUdw7KpfL937cfxKAzDLpyeLn3fr8OPz0+9eO/fvZSPvpa0/j1dljfyx2aReCOX9dtN6uu7mPlrfDB1FnhzSp+/HZ18P4tFIt+155kzgSQCLBJJmHgQE8iXAItEvmvPM2cCSQRYJJIw8SAmkC8BFol8155nzgSSCLBIJGHiQUwgXwIsEvmuPc+cCSQRYJFIwsSDmEC+BFgk8l17njkTSCLAIpGEiQcxgXwJsEjku/Y8cyaQRIBFIgkTD2IC+RJgkch37XnmTCCJAItEEiYexATyJcAike/a88yZQBIBFokkTDyICeRLgEUi37XnmTOBJAIsEkmYeBATyJcAi0S+a88zZwJJBFgkkjDxICaQLwEWiXzXnmfOBJIIsEgkYeJBTCBfAiwS+a49z5wJJBFgkUjCxIOYQL4EWCTyXXueORNIIsAikYSJBzGBfAmwSOS79jxzJpBEgEUiCRMPYgL5EmCRyHfteeZMIIkAi0QSJh7EBPIlwCKR79rzzJlAEgEWiSRMPIgJ5EuARSLfteeZM4EkAiwSSZh4EBPIlwCLRL5rzzNnAkkEWCSSMPEgJpAvARaJfNeeZ84EkgiwSCRh4kFMIF8CLBL5rj3PnAkkEWCRSMLEg5hAvgRYJPJde545E0giwCKRhIkHMYF8CbBI5Lv2PHMmkESARSIJEw9iAvkSYJHId+155kwgiQCLRBImHsQE8iXAIpHv2vPMmUASARaJJEw8iAnkS4BFIt+155kzgSQCLBJJmHgQE8iXAItEvmvPM2cCSQRYJJIw8SAmkC8BFol8155nzgSSCLBIJGHiQUwgXwIsEvmuPc+cCSQRYJFIwsSDmEC+BFgk8l17njkTSCLAIpGEiQcxgXwJsEjku/Y8cyaQRIBFIgkTD2IC+RJgkch37XnmTCCJAItEEiYexATyJcAike/a88yZQBIBFokkTDyICeRLgEUi37XnmTOBJAIsEkmYeBATyJcAi0S+a88zZwJJBFgkkjDxICaQLwEWiXzXnmfOBJIIsEgkYeJBTCBfAiwS+a49z5wJJBFgkUjCxIOYQL4EWCTyXXueORNIIsAikYSJBzGBfAmwSOS79jxzJpBEgEUiCRMPYgL5EmCRyHfteeZMIIkAi0QSJh7EBPIlwCKR79rzzJlAEgEWiSRMPIgJ5EuARSLfteeZM4EkAiwSSZh4EBPIlwCLRL5rzzNnAkkEWCSSMPEgJpAvARaJfNeeZ84EkgiwSCRh4kFMIF8CLBL5rj3PnAkkEWCRSMLEg5hAvgRYJPJde545E0giwCKRhIkHMYF8CbBI5Lv2PHMmkESARSIJEw9iAvkSYJHId+155kwgiQCLRBImHsQE8iXAIpHv2vPMmUASARaJJEw8iAnkS4BFIt+155kzgSQCLBJJmHgQE8iXAItEvmvPM2cCSQRYJJIw8SAmkC8BFol8155nzgSSCLBIJGHiQUwgXwIsEvmuPc+cCSQRYJFIwsSDmEC+BFgk8l17njkTSCLAIpGEiQcxgXwJsEjku/Y8cyaQRIBFIgkTD2IC+RJgkch37XnmTCCJAItEEiYexATyJcAike/a88yZQBIBFokkTDyICeRL4P8AwJ3GydAi03IAAAAASUVORK5CYII="/>
        <xdr:cNvSpPr>
          <a:spLocks noChangeAspect="1" noChangeArrowheads="1"/>
        </xdr:cNvSpPr>
      </xdr:nvSpPr>
      <xdr:spPr bwMode="auto">
        <a:xfrm>
          <a:off x="5448300" y="471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457696</xdr:colOff>
      <xdr:row>0</xdr:row>
      <xdr:rowOff>61851</xdr:rowOff>
    </xdr:from>
    <xdr:to>
      <xdr:col>6</xdr:col>
      <xdr:colOff>123703</xdr:colOff>
      <xdr:row>1</xdr:row>
      <xdr:rowOff>743</xdr:rowOff>
    </xdr:to>
    <xdr:pic>
      <xdr:nvPicPr>
        <xdr:cNvPr id="6" name="Imagen 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04" b="31468"/>
        <a:stretch/>
      </xdr:blipFill>
      <xdr:spPr>
        <a:xfrm>
          <a:off x="3476008" y="61851"/>
          <a:ext cx="1719448" cy="93535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1115" name="AutoShape 104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1175" name="AutoShape 105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1189" name="AutoShape 104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1190" name="AutoShape 105" descr="Feliz año nuevo concepto. Galleta de hombre de pan de jengibre con sombrero  de Santa Claus sobre un fondo blanco. Representación 3D | Foto Premium"/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1" name="AutoShape 152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2" name="AutoShape 153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3" name="AutoShape 154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4" name="AutoShape 159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5" name="AutoShape 160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6" name="AutoShape 161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7" name="AutoShape 162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19"/>
    <xdr:sp macro="" textlink="">
      <xdr:nvSpPr>
        <xdr:cNvPr id="1198" name="AutoShape 152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341916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199" name="AutoShape 153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0" name="AutoShape 154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1" name="AutoShape 159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2" name="AutoShape 160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3" name="AutoShape 161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4" name="AutoShape 162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205" name="AutoShape 163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206" name="AutoShape 164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07" name="AutoShape 152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08" name="AutoShape 153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09" name="AutoShape 154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0" name="AutoShape 159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1" name="AutoShape 160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2" name="AutoShape 161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3" name="AutoShape 162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19"/>
    <xdr:sp macro="" textlink="">
      <xdr:nvSpPr>
        <xdr:cNvPr id="1214" name="AutoShape 152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527468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5" name="AutoShape 153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6" name="AutoShape 154" descr="Dibujos Animados Pintados A Mano Gruesos Pintados Navidad Viejo Con  Ilustración De Regalo Png | Elementos graficos Plantilla PSD Descarga  Gratuita - Pikbest"/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7" name="AutoShape 159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8" name="AutoShape 160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9" name="AutoShape 161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20" name="AutoShape 162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21" name="AutoShape 163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22" name="AutoShape 164" descr="Dibujos de Navidad, Fáciles Para Colorear, Imprimir y a Color"/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6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6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6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6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7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7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7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7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9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9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9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29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29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36549</xdr:colOff>
      <xdr:row>101</xdr:row>
      <xdr:rowOff>2215</xdr:rowOff>
    </xdr:from>
    <xdr:ext cx="304800" cy="304084"/>
    <xdr:sp macro="" textlink="">
      <xdr:nvSpPr>
        <xdr:cNvPr id="130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47549" y="233248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1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2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2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2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2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2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2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3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3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3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3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4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4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4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0</xdr:rowOff>
    </xdr:from>
    <xdr:ext cx="304800" cy="304084"/>
    <xdr:sp macro="" textlink="">
      <xdr:nvSpPr>
        <xdr:cNvPr id="134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905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0</xdr:rowOff>
    </xdr:from>
    <xdr:ext cx="304800" cy="304084"/>
    <xdr:sp macro="" textlink="">
      <xdr:nvSpPr>
        <xdr:cNvPr id="134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905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0</xdr:rowOff>
    </xdr:from>
    <xdr:ext cx="304800" cy="304084"/>
    <xdr:sp macro="" textlink="">
      <xdr:nvSpPr>
        <xdr:cNvPr id="134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50339625" y="1905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4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4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4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4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5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5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5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53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4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55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6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7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8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9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60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61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62" name="AutoShape 167" descr="Dibujos de Navidad, Fáciles Para Colorear, Imprimir y a Color"/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J1048576"/>
  <sheetViews>
    <sheetView tabSelected="1" zoomScale="80" zoomScaleNormal="80" workbookViewId="0">
      <pane xSplit="9" ySplit="3" topLeftCell="AR4" activePane="bottomRight" state="frozen"/>
      <selection pane="topRight" activeCell="J1" sqref="J1"/>
      <selection pane="bottomLeft" activeCell="A4" sqref="A4"/>
      <selection pane="bottomRight" activeCell="AS18" sqref="AS18"/>
    </sheetView>
  </sheetViews>
  <sheetFormatPr baseColWidth="10" defaultColWidth="10.85546875" defaultRowHeight="15"/>
  <cols>
    <col min="1" max="1" width="9" style="2" customWidth="1"/>
    <col min="2" max="2" width="36.5703125" style="1" customWidth="1"/>
    <col min="3" max="3" width="10.85546875" style="1" customWidth="1"/>
    <col min="4" max="4" width="13" style="3" customWidth="1"/>
    <col min="5" max="5" width="8.85546875" style="1" customWidth="1"/>
    <col min="6" max="6" width="8.85546875" style="217" customWidth="1"/>
    <col min="7" max="7" width="6" style="1" customWidth="1"/>
    <col min="8" max="8" width="57.140625" style="3" customWidth="1"/>
    <col min="9" max="9" width="16" style="1" customWidth="1"/>
    <col min="10" max="10" width="5.28515625" style="1" customWidth="1"/>
    <col min="11" max="11" width="5.85546875" style="1" customWidth="1"/>
    <col min="12" max="12" width="13" style="1" customWidth="1"/>
    <col min="13" max="13" width="6.42578125" style="1" customWidth="1"/>
    <col min="14" max="15" width="7.28515625" style="1" customWidth="1"/>
    <col min="16" max="16" width="8.42578125" style="1" customWidth="1"/>
    <col min="17" max="17" width="6.42578125" style="1" customWidth="1"/>
    <col min="18" max="18" width="9.140625" style="1" customWidth="1"/>
    <col min="19" max="19" width="7.28515625" style="1" customWidth="1"/>
    <col min="20" max="20" width="6.42578125" style="1" customWidth="1"/>
    <col min="21" max="21" width="28.85546875" style="1" customWidth="1"/>
    <col min="22" max="25" width="6.42578125" style="1" customWidth="1"/>
    <col min="26" max="26" width="7.7109375" style="1" customWidth="1"/>
    <col min="27" max="27" width="8" style="1" customWidth="1"/>
    <col min="28" max="28" width="7" style="1" customWidth="1"/>
    <col min="29" max="29" width="6.42578125" style="1" customWidth="1"/>
    <col min="30" max="31" width="11.42578125" style="1" customWidth="1"/>
    <col min="32" max="32" width="17.140625" style="1" customWidth="1"/>
    <col min="33" max="33" width="11.42578125" style="1" customWidth="1"/>
    <col min="34" max="34" width="17.28515625" style="1" customWidth="1"/>
    <col min="35" max="35" width="11.42578125" style="1" customWidth="1"/>
    <col min="36" max="37" width="8.42578125" style="101" customWidth="1"/>
    <col min="38" max="38" width="10.140625" style="1" customWidth="1"/>
    <col min="39" max="39" width="10.85546875" style="1" customWidth="1"/>
    <col min="40" max="42" width="5.42578125" style="1" customWidth="1"/>
    <col min="43" max="43" width="8.140625" style="1" customWidth="1"/>
    <col min="44" max="44" width="10.140625" style="1" customWidth="1"/>
    <col min="45" max="45" width="14.7109375" style="1" customWidth="1"/>
    <col min="46" max="46" width="17.5703125" style="1" customWidth="1"/>
    <col min="47" max="47" width="18" style="1" customWidth="1"/>
    <col min="48" max="48" width="15.28515625" style="1" customWidth="1"/>
    <col min="49" max="49" width="18.7109375" style="1" customWidth="1"/>
    <col min="50" max="50" width="13.85546875" style="1" customWidth="1"/>
    <col min="51" max="51" width="21.42578125" style="102" customWidth="1"/>
    <col min="52" max="52" width="10.7109375" style="1" customWidth="1"/>
    <col min="53" max="53" width="17" style="102" customWidth="1"/>
    <col min="54" max="54" width="26.140625" style="1" customWidth="1"/>
    <col min="55" max="55" width="7.85546875" style="1" customWidth="1"/>
    <col min="56" max="56" width="21.28515625" style="1" customWidth="1"/>
    <col min="57" max="63" width="6.7109375" style="1" customWidth="1"/>
    <col min="64" max="68" width="7.85546875" style="1" customWidth="1"/>
    <col min="69" max="69" width="6.85546875" style="1" customWidth="1"/>
    <col min="70" max="70" width="6.42578125" style="1" customWidth="1"/>
    <col min="71" max="71" width="5.42578125" style="1" customWidth="1"/>
    <col min="72" max="72" width="4.7109375" style="1" customWidth="1"/>
    <col min="73" max="73" width="4.85546875" style="1" customWidth="1"/>
    <col min="74" max="74" width="6.42578125" style="1" customWidth="1"/>
    <col min="75" max="75" width="7.28515625" style="1" customWidth="1"/>
    <col min="76" max="76" width="14.140625" style="1" customWidth="1"/>
    <col min="77" max="77" width="10.85546875" style="1" customWidth="1"/>
    <col min="78" max="78" width="7.28515625" style="1" customWidth="1"/>
    <col min="79" max="79" width="9.42578125" style="1" customWidth="1"/>
    <col min="80" max="80" width="21.5703125" style="1" customWidth="1"/>
    <col min="81" max="81" width="10" style="1" customWidth="1"/>
    <col min="82" max="82" width="8.42578125" style="1" customWidth="1"/>
    <col min="83" max="83" width="7" style="1" customWidth="1"/>
    <col min="84" max="85" width="5.5703125" style="1" customWidth="1"/>
    <col min="86" max="86" width="7.85546875" style="1" customWidth="1"/>
    <col min="87" max="87" width="11.85546875" style="1" customWidth="1"/>
    <col min="88" max="88" width="5.85546875" style="1" customWidth="1"/>
    <col min="89" max="89" width="8.140625" style="1" customWidth="1"/>
    <col min="90" max="90" width="7.85546875" style="1" customWidth="1"/>
    <col min="91" max="91" width="37.7109375" style="1" customWidth="1"/>
    <col min="92" max="92" width="13.140625" style="1" customWidth="1"/>
    <col min="93" max="93" width="9.7109375" style="5" customWidth="1"/>
    <col min="94" max="94" width="45" style="5" customWidth="1"/>
    <col min="95" max="95" width="34.7109375" customWidth="1"/>
    <col min="96" max="96" width="70.5703125" style="1" customWidth="1"/>
    <col min="97" max="97" width="87.42578125" style="117" customWidth="1"/>
    <col min="98" max="98" width="19.7109375" style="1" customWidth="1"/>
    <col min="99" max="99" width="33" style="11" bestFit="1" customWidth="1"/>
    <col min="100" max="100" width="13.5703125" style="9" customWidth="1"/>
    <col min="101" max="103" width="10.85546875" style="9" customWidth="1"/>
    <col min="104" max="104" width="14.42578125" style="139" customWidth="1"/>
    <col min="105" max="113" width="10.85546875" style="139"/>
    <col min="114" max="220" width="10.85546875" style="9"/>
    <col min="221" max="221" width="10.85546875" style="12"/>
    <col min="222" max="236" width="10.85546875" style="1"/>
    <col min="237" max="237" width="10.85546875" style="11"/>
    <col min="238" max="282" width="10.85546875" style="99"/>
    <col min="283" max="16384" width="10.85546875" style="1"/>
  </cols>
  <sheetData>
    <row r="1" spans="1:282" s="162" customFormat="1" ht="78.75" customHeight="1">
      <c r="A1" s="161"/>
      <c r="B1" s="161"/>
      <c r="C1" s="161"/>
      <c r="D1" s="161"/>
      <c r="E1" s="161" t="s">
        <v>374</v>
      </c>
      <c r="F1" s="168"/>
      <c r="H1" s="163"/>
      <c r="M1" s="164"/>
      <c r="R1" s="162" t="s">
        <v>309</v>
      </c>
      <c r="AF1" s="164"/>
      <c r="AG1" s="164"/>
      <c r="AH1" s="164"/>
      <c r="AI1" s="164"/>
      <c r="AN1" s="165"/>
      <c r="AO1" s="165"/>
      <c r="BA1" s="273"/>
      <c r="CN1" s="162" t="s">
        <v>195</v>
      </c>
      <c r="CP1" s="162" t="s">
        <v>368</v>
      </c>
      <c r="CR1" s="162" t="s">
        <v>309</v>
      </c>
      <c r="CS1" s="166"/>
      <c r="CZ1" s="167"/>
    </row>
    <row r="2" spans="1:282" s="214" customFormat="1" ht="51" customHeight="1">
      <c r="A2" s="199"/>
      <c r="B2" s="200"/>
      <c r="C2" s="200"/>
      <c r="D2" s="201"/>
      <c r="E2" s="200"/>
      <c r="F2" s="200"/>
      <c r="G2" s="200"/>
      <c r="H2" s="202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81" t="s">
        <v>144</v>
      </c>
      <c r="AA2" s="282"/>
      <c r="AB2" s="282"/>
      <c r="AC2" s="200"/>
      <c r="AD2" s="200"/>
      <c r="AE2" s="199" t="s">
        <v>73</v>
      </c>
      <c r="AF2" s="200"/>
      <c r="AG2" s="200"/>
      <c r="AH2" s="199" t="s">
        <v>74</v>
      </c>
      <c r="AI2" s="200"/>
      <c r="AJ2" s="203" t="s">
        <v>134</v>
      </c>
      <c r="AK2" s="200"/>
      <c r="AL2" s="204" t="s">
        <v>145</v>
      </c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199" t="s">
        <v>136</v>
      </c>
      <c r="AX2" s="200"/>
      <c r="AY2" s="200"/>
      <c r="AZ2" s="200"/>
      <c r="BA2" s="274"/>
      <c r="BB2" s="200"/>
      <c r="BC2" s="199" t="s">
        <v>88</v>
      </c>
      <c r="BD2" s="200"/>
      <c r="BE2" s="200"/>
      <c r="BF2" s="200"/>
      <c r="BG2" s="200"/>
      <c r="BH2" s="200"/>
      <c r="BI2" s="200"/>
      <c r="BJ2" s="200"/>
      <c r="BK2" s="200"/>
      <c r="BL2" s="199" t="s">
        <v>117</v>
      </c>
      <c r="BM2" s="200"/>
      <c r="BN2" s="200"/>
      <c r="BO2" s="200"/>
      <c r="BP2" s="200"/>
      <c r="BQ2" s="200"/>
      <c r="BR2" s="200"/>
      <c r="BS2" s="200"/>
      <c r="BT2" s="200"/>
      <c r="BU2" s="200"/>
      <c r="BV2" s="200"/>
      <c r="BW2" s="200"/>
      <c r="BX2" s="205"/>
      <c r="BY2" s="206"/>
      <c r="BZ2" s="206"/>
      <c r="CA2" s="206"/>
      <c r="CB2" s="199" t="s">
        <v>113</v>
      </c>
      <c r="CC2" s="200"/>
      <c r="CD2" s="200"/>
      <c r="CE2" s="200"/>
      <c r="CF2" s="200"/>
      <c r="CG2" s="200"/>
      <c r="CH2" s="199" t="s">
        <v>119</v>
      </c>
      <c r="CI2" s="200"/>
      <c r="CJ2" s="200"/>
      <c r="CK2" s="205"/>
      <c r="CL2" s="200"/>
      <c r="CM2" s="200"/>
      <c r="CN2" s="200"/>
      <c r="CO2" s="207"/>
      <c r="CP2" s="208" t="s">
        <v>114</v>
      </c>
      <c r="CQ2" s="209"/>
      <c r="CR2" s="210"/>
      <c r="CS2" s="211"/>
      <c r="CT2" s="209"/>
      <c r="CU2" s="211" t="s">
        <v>186</v>
      </c>
      <c r="CV2" s="283" t="s">
        <v>185</v>
      </c>
      <c r="CW2" s="283"/>
      <c r="CX2" s="211" t="s">
        <v>147</v>
      </c>
      <c r="CY2" s="211"/>
      <c r="CZ2" s="209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  <c r="GB2" s="212"/>
      <c r="GC2" s="212"/>
      <c r="GD2" s="212"/>
      <c r="GE2" s="212"/>
      <c r="GF2" s="212"/>
      <c r="GG2" s="212"/>
      <c r="GH2" s="212"/>
      <c r="GI2" s="212"/>
      <c r="GJ2" s="212"/>
      <c r="GK2" s="212"/>
      <c r="GL2" s="212"/>
      <c r="GM2" s="212"/>
      <c r="GN2" s="212"/>
      <c r="GO2" s="212"/>
      <c r="GP2" s="212"/>
      <c r="GQ2" s="212"/>
      <c r="GR2" s="212"/>
      <c r="GS2" s="212"/>
      <c r="GT2" s="212"/>
      <c r="GU2" s="212"/>
      <c r="GV2" s="212"/>
      <c r="GW2" s="212"/>
      <c r="GX2" s="212"/>
      <c r="GY2" s="212"/>
      <c r="GZ2" s="212"/>
      <c r="HA2" s="212"/>
      <c r="HB2" s="212"/>
      <c r="HC2" s="212"/>
      <c r="HD2" s="212"/>
      <c r="HE2" s="212"/>
      <c r="HF2" s="212"/>
      <c r="HG2" s="212"/>
      <c r="HH2" s="212"/>
      <c r="HI2" s="212"/>
      <c r="HJ2" s="212"/>
      <c r="HK2" s="212"/>
      <c r="HL2" s="212"/>
      <c r="HM2" s="213"/>
      <c r="IC2" s="215"/>
      <c r="ID2" s="212"/>
      <c r="IE2" s="212"/>
      <c r="IF2" s="212"/>
      <c r="IG2" s="212"/>
      <c r="IH2" s="212"/>
      <c r="II2" s="212"/>
      <c r="IJ2" s="212"/>
      <c r="IK2" s="212"/>
      <c r="IL2" s="212"/>
      <c r="IM2" s="212"/>
      <c r="IN2" s="212"/>
      <c r="IO2" s="212"/>
      <c r="IP2" s="212"/>
      <c r="IQ2" s="212"/>
      <c r="IR2" s="212"/>
      <c r="IS2" s="212"/>
      <c r="IT2" s="212"/>
      <c r="IU2" s="212"/>
      <c r="IV2" s="212"/>
      <c r="IW2" s="212"/>
      <c r="IX2" s="212"/>
      <c r="IY2" s="212"/>
      <c r="IZ2" s="212"/>
      <c r="JA2" s="212"/>
      <c r="JB2" s="212"/>
      <c r="JC2" s="212"/>
      <c r="JD2" s="212"/>
      <c r="JE2" s="212"/>
      <c r="JF2" s="212"/>
      <c r="JG2" s="212"/>
      <c r="JH2" s="212"/>
      <c r="JI2" s="212"/>
      <c r="JJ2" s="212"/>
      <c r="JK2" s="212"/>
      <c r="JL2" s="212"/>
      <c r="JM2" s="212"/>
      <c r="JN2" s="212"/>
      <c r="JO2" s="212"/>
      <c r="JP2" s="212"/>
      <c r="JQ2" s="212"/>
      <c r="JR2" s="212"/>
      <c r="JS2" s="212"/>
      <c r="JT2" s="212"/>
      <c r="JU2" s="212"/>
      <c r="JV2" s="212"/>
    </row>
    <row r="3" spans="1:282" s="197" customFormat="1" ht="198" customHeight="1">
      <c r="A3" s="175" t="s">
        <v>366</v>
      </c>
      <c r="B3" s="176" t="s">
        <v>308</v>
      </c>
      <c r="C3" s="177" t="s">
        <v>157</v>
      </c>
      <c r="D3" s="178" t="s">
        <v>336</v>
      </c>
      <c r="E3" s="179" t="s">
        <v>0</v>
      </c>
      <c r="F3" s="179" t="s">
        <v>356</v>
      </c>
      <c r="G3" s="179" t="s">
        <v>158</v>
      </c>
      <c r="H3" s="177" t="s">
        <v>1</v>
      </c>
      <c r="I3" s="180" t="s">
        <v>2</v>
      </c>
      <c r="J3" s="177" t="s">
        <v>3</v>
      </c>
      <c r="K3" s="175" t="s">
        <v>138</v>
      </c>
      <c r="L3" s="175" t="s">
        <v>137</v>
      </c>
      <c r="M3" s="175" t="s">
        <v>139</v>
      </c>
      <c r="N3" s="181" t="s">
        <v>4</v>
      </c>
      <c r="O3" s="181" t="s">
        <v>314</v>
      </c>
      <c r="P3" s="181" t="s">
        <v>315</v>
      </c>
      <c r="Q3" s="181" t="s">
        <v>103</v>
      </c>
      <c r="R3" s="181" t="s">
        <v>5</v>
      </c>
      <c r="S3" s="182" t="s">
        <v>6</v>
      </c>
      <c r="T3" s="182" t="s">
        <v>143</v>
      </c>
      <c r="U3" s="177" t="s">
        <v>135</v>
      </c>
      <c r="V3" s="182" t="s">
        <v>159</v>
      </c>
      <c r="W3" s="182" t="s">
        <v>160</v>
      </c>
      <c r="X3" s="182" t="s">
        <v>161</v>
      </c>
      <c r="Y3" s="182" t="s">
        <v>162</v>
      </c>
      <c r="Z3" s="182" t="s">
        <v>163</v>
      </c>
      <c r="AA3" s="181" t="s">
        <v>104</v>
      </c>
      <c r="AB3" s="181" t="s">
        <v>140</v>
      </c>
      <c r="AC3" s="181" t="s">
        <v>176</v>
      </c>
      <c r="AD3" s="181" t="s">
        <v>7</v>
      </c>
      <c r="AE3" s="181" t="s">
        <v>177</v>
      </c>
      <c r="AF3" s="181" t="s">
        <v>178</v>
      </c>
      <c r="AG3" s="181" t="s">
        <v>179</v>
      </c>
      <c r="AH3" s="181" t="s">
        <v>180</v>
      </c>
      <c r="AI3" s="181" t="s">
        <v>181</v>
      </c>
      <c r="AJ3" s="181" t="s">
        <v>182</v>
      </c>
      <c r="AK3" s="181" t="s">
        <v>183</v>
      </c>
      <c r="AL3" s="181" t="s">
        <v>95</v>
      </c>
      <c r="AM3" s="181" t="s">
        <v>94</v>
      </c>
      <c r="AN3" s="181" t="s">
        <v>8</v>
      </c>
      <c r="AO3" s="181" t="s">
        <v>367</v>
      </c>
      <c r="AP3" s="181" t="s">
        <v>9</v>
      </c>
      <c r="AQ3" s="181" t="s">
        <v>184</v>
      </c>
      <c r="AR3" s="175" t="s">
        <v>10</v>
      </c>
      <c r="AS3" s="181" t="s">
        <v>11</v>
      </c>
      <c r="AT3" s="182" t="s">
        <v>190</v>
      </c>
      <c r="AU3" s="182" t="s">
        <v>191</v>
      </c>
      <c r="AV3" s="182" t="s">
        <v>192</v>
      </c>
      <c r="AW3" s="182" t="s">
        <v>193</v>
      </c>
      <c r="AX3" s="182" t="s">
        <v>133</v>
      </c>
      <c r="AY3" s="183" t="s">
        <v>12</v>
      </c>
      <c r="AZ3" s="184" t="s">
        <v>175</v>
      </c>
      <c r="BA3" s="275" t="s">
        <v>120</v>
      </c>
      <c r="BB3" s="184" t="s">
        <v>13</v>
      </c>
      <c r="BC3" s="184" t="s">
        <v>164</v>
      </c>
      <c r="BD3" s="184" t="s">
        <v>14</v>
      </c>
      <c r="BE3" s="184" t="s">
        <v>15</v>
      </c>
      <c r="BF3" s="184" t="s">
        <v>16</v>
      </c>
      <c r="BG3" s="182" t="s">
        <v>165</v>
      </c>
      <c r="BH3" s="182" t="s">
        <v>166</v>
      </c>
      <c r="BI3" s="182" t="s">
        <v>167</v>
      </c>
      <c r="BJ3" s="182" t="s">
        <v>168</v>
      </c>
      <c r="BK3" s="182" t="s">
        <v>85</v>
      </c>
      <c r="BL3" s="182" t="s">
        <v>86</v>
      </c>
      <c r="BM3" s="182" t="s">
        <v>87</v>
      </c>
      <c r="BN3" s="243" t="s">
        <v>97</v>
      </c>
      <c r="BO3" s="182" t="s">
        <v>118</v>
      </c>
      <c r="BP3" s="182" t="s">
        <v>98</v>
      </c>
      <c r="BQ3" s="182" t="s">
        <v>99</v>
      </c>
      <c r="BR3" s="182" t="s">
        <v>100</v>
      </c>
      <c r="BS3" s="184" t="s">
        <v>17</v>
      </c>
      <c r="BT3" s="181" t="s">
        <v>169</v>
      </c>
      <c r="BU3" s="181" t="s">
        <v>170</v>
      </c>
      <c r="BV3" s="181" t="s">
        <v>171</v>
      </c>
      <c r="BW3" s="181" t="s">
        <v>172</v>
      </c>
      <c r="BX3" s="181" t="s">
        <v>333</v>
      </c>
      <c r="BY3" s="181" t="s">
        <v>334</v>
      </c>
      <c r="BZ3" s="181" t="s">
        <v>173</v>
      </c>
      <c r="CA3" s="181" t="s">
        <v>335</v>
      </c>
      <c r="CB3" s="181" t="s">
        <v>174</v>
      </c>
      <c r="CC3" s="185" t="s">
        <v>19</v>
      </c>
      <c r="CD3" s="182" t="s">
        <v>20</v>
      </c>
      <c r="CE3" s="182" t="s">
        <v>332</v>
      </c>
      <c r="CF3" s="186" t="s">
        <v>21</v>
      </c>
      <c r="CG3" s="182" t="s">
        <v>22</v>
      </c>
      <c r="CH3" s="182" t="s">
        <v>23</v>
      </c>
      <c r="CI3" s="182" t="s">
        <v>142</v>
      </c>
      <c r="CJ3" s="181" t="s">
        <v>24</v>
      </c>
      <c r="CK3" s="181" t="s">
        <v>25</v>
      </c>
      <c r="CL3" s="181" t="s">
        <v>26</v>
      </c>
      <c r="CM3" s="187" t="s">
        <v>27</v>
      </c>
      <c r="CN3" s="182" t="s">
        <v>28</v>
      </c>
      <c r="CO3" s="182" t="s">
        <v>29</v>
      </c>
      <c r="CP3" s="188" t="s">
        <v>101</v>
      </c>
      <c r="CQ3" s="189" t="s">
        <v>102</v>
      </c>
      <c r="CR3" s="188" t="s">
        <v>30</v>
      </c>
      <c r="CS3" s="190" t="s">
        <v>310</v>
      </c>
      <c r="CT3" s="191" t="s">
        <v>331</v>
      </c>
      <c r="CU3" s="189" t="s">
        <v>150</v>
      </c>
      <c r="CV3" s="192" t="s">
        <v>149</v>
      </c>
      <c r="CW3" s="192" t="s">
        <v>148</v>
      </c>
      <c r="CX3" s="189" t="s">
        <v>115</v>
      </c>
      <c r="CY3" s="189" t="s">
        <v>116</v>
      </c>
      <c r="CZ3" s="193" t="s">
        <v>337</v>
      </c>
      <c r="DA3" s="194"/>
      <c r="DB3" s="194"/>
      <c r="DC3" s="194"/>
      <c r="DD3" s="194"/>
      <c r="DE3" s="194"/>
      <c r="DF3" s="194"/>
      <c r="DG3" s="194"/>
      <c r="DH3" s="194"/>
      <c r="DI3" s="194"/>
      <c r="DJ3" s="194"/>
      <c r="DK3" s="195"/>
      <c r="DL3" s="195"/>
      <c r="DM3" s="195"/>
      <c r="DN3" s="195"/>
      <c r="DO3" s="195"/>
      <c r="DP3" s="195"/>
      <c r="DQ3" s="195"/>
      <c r="DR3" s="195"/>
      <c r="DS3" s="195"/>
      <c r="DT3" s="195"/>
      <c r="DU3" s="195"/>
      <c r="DV3" s="195"/>
      <c r="DW3" s="195"/>
      <c r="DX3" s="195"/>
      <c r="DY3" s="195"/>
      <c r="DZ3" s="195"/>
      <c r="EA3" s="195"/>
      <c r="EB3" s="195"/>
      <c r="EC3" s="195"/>
      <c r="ED3" s="195"/>
      <c r="EE3" s="195"/>
      <c r="EF3" s="195"/>
      <c r="EG3" s="195"/>
      <c r="EH3" s="195"/>
      <c r="EI3" s="195"/>
      <c r="EJ3" s="195"/>
      <c r="EK3" s="195"/>
      <c r="EL3" s="195"/>
      <c r="EM3" s="195"/>
      <c r="EN3" s="195"/>
      <c r="EO3" s="195"/>
      <c r="EP3" s="195"/>
      <c r="EQ3" s="195"/>
      <c r="ER3" s="195"/>
      <c r="ES3" s="195"/>
      <c r="ET3" s="195"/>
      <c r="EU3" s="195"/>
      <c r="EV3" s="195"/>
      <c r="EW3" s="195"/>
      <c r="EX3" s="195"/>
      <c r="EY3" s="195"/>
      <c r="EZ3" s="195"/>
      <c r="FA3" s="195"/>
      <c r="FB3" s="195"/>
      <c r="FC3" s="195"/>
      <c r="FD3" s="195"/>
      <c r="FE3" s="195"/>
      <c r="FF3" s="195"/>
      <c r="FG3" s="195"/>
      <c r="FH3" s="195"/>
      <c r="FI3" s="195"/>
      <c r="FJ3" s="195"/>
      <c r="FK3" s="195"/>
      <c r="FL3" s="195"/>
      <c r="FM3" s="195"/>
      <c r="FN3" s="195"/>
      <c r="FO3" s="195"/>
      <c r="FP3" s="195"/>
      <c r="FQ3" s="195"/>
      <c r="FR3" s="195"/>
      <c r="FS3" s="195"/>
      <c r="FT3" s="195"/>
      <c r="FU3" s="195"/>
      <c r="FV3" s="195"/>
      <c r="FW3" s="195"/>
      <c r="FX3" s="195"/>
      <c r="FY3" s="195"/>
      <c r="FZ3" s="195"/>
      <c r="GA3" s="195"/>
      <c r="GB3" s="195"/>
      <c r="GC3" s="195"/>
      <c r="GD3" s="195"/>
      <c r="GE3" s="195"/>
      <c r="GF3" s="195"/>
      <c r="GG3" s="195"/>
      <c r="GH3" s="195"/>
      <c r="GI3" s="195"/>
      <c r="GJ3" s="195"/>
      <c r="GK3" s="195"/>
      <c r="GL3" s="195"/>
      <c r="GM3" s="195"/>
      <c r="GN3" s="195"/>
      <c r="GO3" s="195"/>
      <c r="GP3" s="195"/>
      <c r="GQ3" s="195"/>
      <c r="GR3" s="195"/>
      <c r="GS3" s="195"/>
      <c r="GT3" s="195"/>
      <c r="GU3" s="195"/>
      <c r="GV3" s="195"/>
      <c r="GW3" s="195"/>
      <c r="GX3" s="195"/>
      <c r="GY3" s="195"/>
      <c r="GZ3" s="195"/>
      <c r="HA3" s="195"/>
      <c r="HB3" s="195"/>
      <c r="HC3" s="195"/>
      <c r="HD3" s="195"/>
      <c r="HE3" s="195"/>
      <c r="HF3" s="195"/>
      <c r="HG3" s="195"/>
      <c r="HH3" s="195"/>
      <c r="HI3" s="195"/>
      <c r="HJ3" s="195"/>
      <c r="HK3" s="195"/>
      <c r="HL3" s="195"/>
      <c r="HM3" s="195"/>
      <c r="HN3" s="195"/>
      <c r="HO3" s="195"/>
      <c r="HP3" s="195"/>
      <c r="HQ3" s="196"/>
      <c r="IC3" s="198"/>
      <c r="ID3" s="195"/>
      <c r="IE3" s="195"/>
      <c r="IF3" s="195"/>
      <c r="IG3" s="195"/>
      <c r="IH3" s="195"/>
      <c r="II3" s="195"/>
      <c r="IJ3" s="195"/>
      <c r="IK3" s="195"/>
      <c r="IL3" s="195"/>
      <c r="IM3" s="195"/>
      <c r="IN3" s="195"/>
      <c r="IO3" s="195"/>
      <c r="IP3" s="195"/>
      <c r="IQ3" s="195"/>
      <c r="IR3" s="195"/>
      <c r="IS3" s="195"/>
      <c r="IT3" s="195"/>
      <c r="IU3" s="195"/>
      <c r="IV3" s="195"/>
      <c r="IW3" s="195"/>
      <c r="IX3" s="195"/>
      <c r="IY3" s="195"/>
      <c r="IZ3" s="195"/>
      <c r="JA3" s="195"/>
      <c r="JB3" s="195"/>
      <c r="JC3" s="195"/>
      <c r="JD3" s="195"/>
      <c r="JE3" s="195"/>
      <c r="JF3" s="195"/>
      <c r="JG3" s="195"/>
      <c r="JH3" s="195"/>
      <c r="JI3" s="195"/>
      <c r="JJ3" s="195"/>
      <c r="JK3" s="195"/>
      <c r="JL3" s="195"/>
      <c r="JM3" s="195"/>
      <c r="JN3" s="195"/>
      <c r="JO3" s="195"/>
      <c r="JP3" s="195"/>
      <c r="JQ3" s="195"/>
      <c r="JR3" s="195"/>
      <c r="JS3" s="195"/>
      <c r="JT3" s="195"/>
      <c r="JU3" s="195"/>
      <c r="JV3" s="195"/>
    </row>
    <row r="4" spans="1:282" s="146" customFormat="1" ht="14.25" customHeight="1">
      <c r="A4" s="169">
        <v>1</v>
      </c>
      <c r="B4" s="122" t="s">
        <v>152</v>
      </c>
      <c r="C4" s="122" t="s">
        <v>53</v>
      </c>
      <c r="D4" s="170">
        <v>45901</v>
      </c>
      <c r="E4" s="171">
        <v>0.41388888888888892</v>
      </c>
      <c r="F4" s="216" t="s">
        <v>31</v>
      </c>
      <c r="G4" s="146" t="s">
        <v>31</v>
      </c>
      <c r="H4" s="146" t="s">
        <v>378</v>
      </c>
      <c r="I4" s="146">
        <v>11111111</v>
      </c>
      <c r="J4" s="146">
        <v>0</v>
      </c>
      <c r="K4" s="146" t="s">
        <v>31</v>
      </c>
      <c r="L4" s="146" t="s">
        <v>370</v>
      </c>
      <c r="M4" s="146" t="s">
        <v>31</v>
      </c>
      <c r="N4" s="146">
        <v>27</v>
      </c>
      <c r="O4" s="146" t="s">
        <v>31</v>
      </c>
      <c r="P4" s="146" t="s">
        <v>31</v>
      </c>
      <c r="Q4" s="146" t="s">
        <v>31</v>
      </c>
      <c r="R4" s="146" t="s">
        <v>376</v>
      </c>
      <c r="S4" s="146">
        <v>2</v>
      </c>
      <c r="T4" s="146" t="s">
        <v>31</v>
      </c>
      <c r="U4" s="146" t="s">
        <v>372</v>
      </c>
      <c r="V4" s="146" t="s">
        <v>31</v>
      </c>
      <c r="W4" s="146" t="s">
        <v>31</v>
      </c>
      <c r="X4" s="146" t="s">
        <v>31</v>
      </c>
      <c r="Y4" s="146" t="s">
        <v>31</v>
      </c>
      <c r="Z4" s="146" t="s">
        <v>32</v>
      </c>
      <c r="AA4" s="146">
        <v>419</v>
      </c>
      <c r="AB4" s="146" t="s">
        <v>31</v>
      </c>
      <c r="AC4" s="146" t="s">
        <v>31</v>
      </c>
      <c r="AE4" s="146" t="s">
        <v>32</v>
      </c>
      <c r="AF4" s="146" t="s">
        <v>33</v>
      </c>
      <c r="AG4" s="146" t="s">
        <v>31</v>
      </c>
      <c r="AH4" s="146" t="s">
        <v>76</v>
      </c>
      <c r="AI4" s="146" t="s">
        <v>31</v>
      </c>
      <c r="AJ4" s="146" t="s">
        <v>369</v>
      </c>
      <c r="AK4" s="146" t="s">
        <v>31</v>
      </c>
      <c r="AL4" s="146">
        <v>38</v>
      </c>
      <c r="AM4" s="146">
        <v>2</v>
      </c>
      <c r="AN4" s="146" t="s">
        <v>32</v>
      </c>
      <c r="AO4" s="146" t="s">
        <v>31</v>
      </c>
      <c r="AP4" s="146" t="s">
        <v>31</v>
      </c>
      <c r="AQ4" s="146" t="s">
        <v>31</v>
      </c>
      <c r="AR4" s="146">
        <v>0</v>
      </c>
      <c r="AS4" s="122" t="s">
        <v>93</v>
      </c>
      <c r="AT4" s="146" t="s">
        <v>93</v>
      </c>
      <c r="AU4" s="146" t="s">
        <v>31</v>
      </c>
      <c r="AV4" s="146">
        <v>0</v>
      </c>
      <c r="AW4" s="146" t="s">
        <v>31</v>
      </c>
      <c r="AX4" s="122" t="s">
        <v>90</v>
      </c>
      <c r="AY4" s="122" t="s">
        <v>69</v>
      </c>
      <c r="AZ4" s="146" t="s">
        <v>32</v>
      </c>
      <c r="BA4" s="122" t="s">
        <v>121</v>
      </c>
      <c r="BB4" s="146" t="s">
        <v>35</v>
      </c>
      <c r="BC4" s="146" t="s">
        <v>31</v>
      </c>
      <c r="BD4" s="122" t="s">
        <v>39</v>
      </c>
      <c r="BE4" s="146" t="s">
        <v>31</v>
      </c>
      <c r="BF4" s="146" t="s">
        <v>32</v>
      </c>
      <c r="BG4" s="146" t="s">
        <v>31</v>
      </c>
      <c r="BH4" s="146" t="s">
        <v>31</v>
      </c>
      <c r="BI4" s="146" t="s">
        <v>31</v>
      </c>
      <c r="BJ4" s="146" t="s">
        <v>31</v>
      </c>
      <c r="BK4" s="146" t="s">
        <v>31</v>
      </c>
      <c r="BL4" s="146" t="s">
        <v>31</v>
      </c>
      <c r="BM4" s="146" t="s">
        <v>31</v>
      </c>
      <c r="BN4" s="146" t="s">
        <v>32</v>
      </c>
      <c r="BO4" s="146" t="s">
        <v>31</v>
      </c>
      <c r="BP4" s="146" t="s">
        <v>31</v>
      </c>
      <c r="BQ4" s="146" t="s">
        <v>31</v>
      </c>
      <c r="BR4" s="146" t="s">
        <v>31</v>
      </c>
      <c r="BS4" s="146" t="s">
        <v>31</v>
      </c>
      <c r="BT4" s="146" t="s">
        <v>31</v>
      </c>
      <c r="BU4" s="146" t="s">
        <v>31</v>
      </c>
      <c r="BV4" s="146" t="s">
        <v>31</v>
      </c>
      <c r="BW4" s="146" t="s">
        <v>31</v>
      </c>
      <c r="BX4" s="146" t="s">
        <v>31</v>
      </c>
      <c r="BY4" s="146" t="s">
        <v>31</v>
      </c>
      <c r="BZ4" s="146" t="s">
        <v>31</v>
      </c>
      <c r="CB4" s="146" t="s">
        <v>36</v>
      </c>
      <c r="CC4" s="146">
        <v>3450</v>
      </c>
      <c r="CD4" s="146">
        <v>50</v>
      </c>
      <c r="CE4" s="146" t="s">
        <v>31</v>
      </c>
      <c r="CF4" s="146">
        <v>8</v>
      </c>
      <c r="CG4" s="146">
        <v>9</v>
      </c>
      <c r="CH4" s="146">
        <v>4</v>
      </c>
      <c r="CI4" s="146" t="s">
        <v>32</v>
      </c>
      <c r="CJ4" s="146" t="s">
        <v>31</v>
      </c>
      <c r="CK4" s="146" t="s">
        <v>32</v>
      </c>
      <c r="CL4" s="146" t="s">
        <v>32</v>
      </c>
      <c r="CM4" s="122" t="s">
        <v>63</v>
      </c>
      <c r="CN4" s="146" t="s">
        <v>37</v>
      </c>
      <c r="CO4" s="146" t="s">
        <v>32</v>
      </c>
      <c r="CP4" s="146" t="s">
        <v>377</v>
      </c>
      <c r="CR4" s="172" t="s">
        <v>373</v>
      </c>
      <c r="CT4" s="146" t="s">
        <v>31</v>
      </c>
      <c r="CV4" s="146" t="s">
        <v>31</v>
      </c>
      <c r="CW4" s="146" t="s">
        <v>32</v>
      </c>
      <c r="CX4" s="146">
        <v>7787343</v>
      </c>
      <c r="CZ4" s="151"/>
      <c r="DA4" s="174"/>
      <c r="DB4" s="174"/>
      <c r="DC4" s="174"/>
      <c r="DD4" s="174"/>
      <c r="DE4" s="174"/>
      <c r="DF4" s="174"/>
      <c r="DG4" s="174"/>
      <c r="DH4" s="174"/>
      <c r="DI4" s="174"/>
      <c r="DJ4" s="174"/>
      <c r="DK4" s="174"/>
      <c r="DL4" s="174"/>
      <c r="DM4" s="174"/>
      <c r="DN4" s="174"/>
      <c r="DO4" s="174"/>
      <c r="DP4" s="174"/>
      <c r="DQ4" s="174"/>
      <c r="DR4" s="174"/>
      <c r="DS4" s="174"/>
      <c r="DT4" s="174"/>
      <c r="DU4" s="174"/>
      <c r="DV4" s="174"/>
      <c r="DW4" s="174"/>
      <c r="DX4" s="174"/>
      <c r="DY4" s="174"/>
      <c r="DZ4" s="174"/>
      <c r="EA4" s="174"/>
      <c r="EB4" s="174"/>
      <c r="EC4" s="174"/>
      <c r="ED4" s="174"/>
      <c r="EE4" s="174"/>
      <c r="EF4" s="174"/>
      <c r="EG4" s="174"/>
      <c r="EH4" s="174"/>
      <c r="EI4" s="174"/>
      <c r="EJ4" s="174"/>
      <c r="EK4" s="174"/>
      <c r="EL4" s="174"/>
      <c r="EM4" s="174"/>
      <c r="EN4" s="174"/>
      <c r="EO4" s="174"/>
      <c r="EP4" s="174"/>
      <c r="EQ4" s="174"/>
      <c r="ER4" s="174"/>
      <c r="ES4" s="174"/>
      <c r="ET4" s="174"/>
      <c r="EU4" s="174"/>
      <c r="EV4" s="174"/>
      <c r="EW4" s="174"/>
      <c r="EX4" s="174"/>
      <c r="EY4" s="174"/>
      <c r="EZ4" s="174"/>
      <c r="FA4" s="174"/>
      <c r="FB4" s="174"/>
      <c r="FC4" s="174"/>
      <c r="FD4" s="174"/>
      <c r="FE4" s="174"/>
      <c r="FF4" s="174"/>
      <c r="FG4" s="174"/>
      <c r="FH4" s="174"/>
      <c r="FI4" s="174"/>
      <c r="FJ4" s="174"/>
      <c r="FK4" s="174"/>
      <c r="FL4" s="174"/>
      <c r="FM4" s="174"/>
      <c r="FN4" s="174"/>
      <c r="FO4" s="174"/>
      <c r="FP4" s="174"/>
      <c r="FQ4" s="174"/>
      <c r="FR4" s="174"/>
      <c r="FS4" s="174"/>
      <c r="FT4" s="174"/>
      <c r="FU4" s="174"/>
      <c r="FV4" s="174"/>
      <c r="FW4" s="174"/>
      <c r="FX4" s="174"/>
      <c r="FY4" s="174"/>
      <c r="FZ4" s="174"/>
      <c r="GA4" s="174"/>
      <c r="GB4" s="174"/>
      <c r="GC4" s="174"/>
      <c r="GD4" s="174"/>
      <c r="GE4" s="174"/>
      <c r="GF4" s="174"/>
      <c r="GG4" s="174"/>
      <c r="GH4" s="174"/>
      <c r="GI4" s="174"/>
      <c r="GJ4" s="174"/>
      <c r="GK4" s="174"/>
      <c r="GL4" s="174"/>
      <c r="GM4" s="174"/>
      <c r="GN4" s="174"/>
      <c r="GO4" s="174"/>
      <c r="GP4" s="174"/>
      <c r="GQ4" s="174"/>
      <c r="GR4" s="174"/>
      <c r="GS4" s="174"/>
      <c r="GT4" s="174"/>
      <c r="GU4" s="174"/>
      <c r="GV4" s="174"/>
      <c r="GW4" s="174"/>
      <c r="GX4" s="174"/>
      <c r="GY4" s="174"/>
      <c r="GZ4" s="174"/>
      <c r="HA4" s="174"/>
      <c r="HB4" s="174"/>
      <c r="HC4" s="174"/>
      <c r="HD4" s="174"/>
      <c r="HE4" s="174"/>
      <c r="HF4" s="174"/>
      <c r="HG4" s="174"/>
      <c r="HH4" s="174"/>
      <c r="HI4" s="174"/>
      <c r="HJ4" s="174"/>
      <c r="HK4" s="174"/>
      <c r="HL4" s="174"/>
      <c r="HM4" s="174"/>
      <c r="HN4" s="174"/>
      <c r="HO4" s="174"/>
      <c r="HP4" s="174"/>
      <c r="HQ4" s="174"/>
      <c r="HR4" s="174"/>
      <c r="HS4" s="174"/>
      <c r="HT4" s="174"/>
      <c r="HU4" s="174"/>
      <c r="HV4" s="174"/>
      <c r="HW4" s="174"/>
      <c r="HX4" s="174"/>
      <c r="HY4" s="174"/>
      <c r="HZ4" s="174"/>
      <c r="IA4" s="174"/>
      <c r="IB4" s="174"/>
      <c r="IC4" s="174"/>
      <c r="ID4" s="174"/>
      <c r="IE4" s="174"/>
      <c r="IF4" s="174"/>
      <c r="IG4" s="174"/>
      <c r="IH4" s="174"/>
      <c r="II4" s="174"/>
      <c r="IJ4" s="174"/>
      <c r="IK4" s="174"/>
      <c r="IL4" s="174"/>
      <c r="IM4" s="174"/>
      <c r="IN4" s="174"/>
      <c r="IO4" s="174"/>
      <c r="IP4" s="174"/>
      <c r="IQ4" s="174"/>
      <c r="IR4" s="174"/>
      <c r="IS4" s="174"/>
      <c r="IT4" s="174"/>
      <c r="IU4" s="174"/>
      <c r="IV4" s="174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</row>
    <row r="5" spans="1:282" s="146" customFormat="1">
      <c r="A5" s="169"/>
      <c r="B5" s="122" t="s">
        <v>153</v>
      </c>
      <c r="C5" s="122" t="s">
        <v>44</v>
      </c>
      <c r="D5" s="170"/>
      <c r="E5" s="171"/>
      <c r="F5" s="216"/>
      <c r="AF5" s="146" t="s">
        <v>55</v>
      </c>
      <c r="AH5" s="146" t="s">
        <v>75</v>
      </c>
      <c r="AS5" s="122" t="s">
        <v>42</v>
      </c>
      <c r="AW5" s="146" t="s">
        <v>32</v>
      </c>
      <c r="AX5" s="122" t="s">
        <v>89</v>
      </c>
      <c r="AY5" s="122" t="s">
        <v>70</v>
      </c>
      <c r="BA5" s="122" t="s">
        <v>122</v>
      </c>
      <c r="BB5" s="146" t="s">
        <v>81</v>
      </c>
      <c r="BC5" s="146" t="s">
        <v>31</v>
      </c>
      <c r="BD5" s="122" t="s">
        <v>51</v>
      </c>
      <c r="BE5" s="146" t="s">
        <v>31</v>
      </c>
      <c r="BF5" s="146" t="s">
        <v>32</v>
      </c>
      <c r="BG5" s="146" t="s">
        <v>31</v>
      </c>
      <c r="BH5" s="146" t="s">
        <v>31</v>
      </c>
      <c r="BI5" s="146" t="s">
        <v>31</v>
      </c>
      <c r="BJ5" s="146" t="s">
        <v>31</v>
      </c>
      <c r="BK5" s="146" t="s">
        <v>31</v>
      </c>
      <c r="BL5" s="146" t="s">
        <v>31</v>
      </c>
      <c r="BM5" s="146" t="s">
        <v>31</v>
      </c>
      <c r="BN5" s="146" t="s">
        <v>32</v>
      </c>
      <c r="BO5" s="146" t="s">
        <v>31</v>
      </c>
      <c r="BP5" s="146" t="s">
        <v>31</v>
      </c>
      <c r="BQ5" s="146" t="s">
        <v>31</v>
      </c>
      <c r="BR5" s="146" t="s">
        <v>31</v>
      </c>
      <c r="BS5" s="146" t="s">
        <v>31</v>
      </c>
      <c r="BT5" s="146" t="s">
        <v>31</v>
      </c>
      <c r="BU5" s="146" t="s">
        <v>31</v>
      </c>
      <c r="BV5" s="146" t="s">
        <v>31</v>
      </c>
      <c r="BW5" s="146" t="s">
        <v>31</v>
      </c>
      <c r="BX5" s="146" t="s">
        <v>31</v>
      </c>
      <c r="BY5" s="146" t="s">
        <v>31</v>
      </c>
      <c r="BZ5" s="146" t="s">
        <v>31</v>
      </c>
      <c r="CB5" s="146" t="s">
        <v>43</v>
      </c>
      <c r="CC5" s="146">
        <v>3350</v>
      </c>
      <c r="CD5" s="146">
        <v>50</v>
      </c>
      <c r="CE5" s="146" t="s">
        <v>31</v>
      </c>
      <c r="CF5" s="146">
        <v>8</v>
      </c>
      <c r="CG5" s="146">
        <v>9</v>
      </c>
      <c r="CH5" s="146">
        <v>4</v>
      </c>
      <c r="CI5" s="146" t="s">
        <v>32</v>
      </c>
      <c r="CJ5" s="146" t="s">
        <v>31</v>
      </c>
      <c r="CL5" s="146" t="s">
        <v>31</v>
      </c>
      <c r="CM5" s="122" t="s">
        <v>47</v>
      </c>
      <c r="CN5" s="146" t="s">
        <v>41</v>
      </c>
      <c r="CO5" s="146" t="s">
        <v>31</v>
      </c>
      <c r="CR5" s="172"/>
      <c r="CZ5" s="173"/>
      <c r="DA5" s="174"/>
      <c r="DB5" s="174"/>
      <c r="DC5" s="174"/>
      <c r="DD5" s="174"/>
      <c r="DE5" s="174"/>
      <c r="DF5" s="174"/>
      <c r="DG5" s="174"/>
      <c r="DH5" s="174"/>
      <c r="DI5" s="174"/>
      <c r="DJ5" s="174"/>
      <c r="DK5" s="174"/>
      <c r="DL5" s="174"/>
      <c r="DM5" s="174"/>
      <c r="DN5" s="174"/>
      <c r="DO5" s="174"/>
      <c r="DP5" s="174"/>
      <c r="DQ5" s="174"/>
      <c r="DR5" s="174"/>
      <c r="DS5" s="174"/>
      <c r="DT5" s="174"/>
      <c r="DU5" s="174"/>
      <c r="DV5" s="174"/>
      <c r="DW5" s="174"/>
      <c r="DX5" s="174"/>
      <c r="DY5" s="174"/>
      <c r="DZ5" s="174"/>
      <c r="EA5" s="174"/>
      <c r="EB5" s="174"/>
      <c r="EC5" s="174"/>
      <c r="ED5" s="174"/>
      <c r="EE5" s="174"/>
      <c r="EF5" s="174"/>
      <c r="EG5" s="174"/>
      <c r="EH5" s="174"/>
      <c r="EI5" s="174"/>
      <c r="EJ5" s="174"/>
      <c r="EK5" s="174"/>
      <c r="EL5" s="174"/>
      <c r="EM5" s="174"/>
      <c r="EN5" s="174"/>
      <c r="EO5" s="174"/>
      <c r="EP5" s="174"/>
      <c r="EQ5" s="174"/>
      <c r="ER5" s="174"/>
      <c r="ES5" s="174"/>
      <c r="ET5" s="174"/>
      <c r="EU5" s="174"/>
      <c r="EV5" s="174"/>
      <c r="EW5" s="174"/>
      <c r="EX5" s="174"/>
      <c r="EY5" s="174"/>
      <c r="EZ5" s="174"/>
      <c r="FA5" s="174"/>
      <c r="FB5" s="174"/>
      <c r="FC5" s="174"/>
      <c r="FD5" s="174"/>
      <c r="FE5" s="174"/>
      <c r="FF5" s="174"/>
      <c r="FG5" s="174"/>
      <c r="FH5" s="174"/>
      <c r="FI5" s="174"/>
      <c r="FJ5" s="174"/>
      <c r="FK5" s="174"/>
      <c r="FL5" s="174"/>
      <c r="FM5" s="174"/>
      <c r="FN5" s="174"/>
      <c r="FO5" s="174"/>
      <c r="FP5" s="174"/>
      <c r="FQ5" s="174"/>
      <c r="FR5" s="174"/>
      <c r="FS5" s="174"/>
      <c r="FT5" s="174"/>
      <c r="FU5" s="174"/>
      <c r="FV5" s="174"/>
      <c r="FW5" s="174"/>
      <c r="FX5" s="174"/>
      <c r="FY5" s="174"/>
      <c r="FZ5" s="174"/>
      <c r="GA5" s="174"/>
      <c r="GB5" s="174"/>
      <c r="GC5" s="174"/>
      <c r="GD5" s="174"/>
      <c r="GE5" s="174"/>
      <c r="GF5" s="174"/>
      <c r="GG5" s="174"/>
      <c r="GH5" s="174"/>
      <c r="GI5" s="174"/>
      <c r="GJ5" s="174"/>
      <c r="GK5" s="174"/>
      <c r="GL5" s="174"/>
      <c r="GM5" s="174"/>
      <c r="GN5" s="174"/>
      <c r="GO5" s="174"/>
      <c r="GP5" s="174"/>
      <c r="GQ5" s="174"/>
      <c r="GR5" s="174"/>
      <c r="GS5" s="174"/>
      <c r="GT5" s="174"/>
      <c r="GU5" s="174"/>
      <c r="GV5" s="174"/>
      <c r="GW5" s="174"/>
      <c r="GX5" s="174"/>
      <c r="GY5" s="174"/>
      <c r="GZ5" s="174"/>
      <c r="HA5" s="174"/>
      <c r="HB5" s="174"/>
      <c r="HC5" s="174"/>
      <c r="HD5" s="174"/>
      <c r="HE5" s="174"/>
      <c r="HF5" s="174"/>
      <c r="HG5" s="174"/>
      <c r="HH5" s="174"/>
      <c r="HI5" s="174"/>
      <c r="HJ5" s="174"/>
      <c r="HK5" s="174"/>
      <c r="HL5" s="174"/>
      <c r="HM5" s="174"/>
      <c r="HN5" s="174"/>
      <c r="HO5" s="174"/>
      <c r="HP5" s="174"/>
      <c r="HQ5" s="174"/>
      <c r="HR5" s="174"/>
      <c r="HS5" s="174"/>
      <c r="HT5" s="174"/>
      <c r="HU5" s="174"/>
      <c r="HV5" s="174"/>
      <c r="HW5" s="174"/>
      <c r="HX5" s="174"/>
      <c r="HY5" s="174"/>
      <c r="HZ5" s="174"/>
      <c r="IA5" s="174"/>
      <c r="IB5" s="174"/>
      <c r="IC5" s="174"/>
      <c r="ID5" s="174"/>
      <c r="IE5" s="174"/>
      <c r="IF5" s="174"/>
      <c r="IG5" s="174"/>
      <c r="IH5" s="174"/>
      <c r="II5" s="174"/>
      <c r="IJ5" s="174"/>
      <c r="IK5" s="174"/>
      <c r="IL5" s="174"/>
      <c r="IM5" s="174"/>
      <c r="IN5" s="174"/>
      <c r="IO5" s="174"/>
      <c r="IP5" s="174"/>
      <c r="IQ5" s="174"/>
      <c r="IR5" s="174"/>
      <c r="IS5" s="174"/>
      <c r="IT5" s="174"/>
      <c r="IU5" s="174"/>
      <c r="IV5" s="174"/>
      <c r="IW5" s="174"/>
      <c r="IX5" s="174"/>
      <c r="IY5" s="174"/>
      <c r="IZ5" s="174"/>
      <c r="JA5" s="174"/>
      <c r="JB5" s="174"/>
      <c r="JC5" s="174"/>
      <c r="JD5" s="174"/>
      <c r="JE5" s="174"/>
      <c r="JF5" s="174"/>
      <c r="JG5" s="174"/>
      <c r="JH5" s="174"/>
      <c r="JI5" s="174"/>
      <c r="JJ5" s="174"/>
      <c r="JK5" s="174"/>
      <c r="JL5" s="174"/>
      <c r="JM5" s="174"/>
      <c r="JN5" s="174"/>
      <c r="JO5" s="174"/>
      <c r="JP5" s="174"/>
      <c r="JQ5" s="174"/>
      <c r="JR5" s="174"/>
      <c r="JS5" s="174"/>
      <c r="JT5" s="174"/>
      <c r="JU5" s="174"/>
      <c r="JV5" s="174"/>
    </row>
    <row r="6" spans="1:282" s="146" customFormat="1">
      <c r="A6" s="169"/>
      <c r="B6" s="122" t="s">
        <v>154</v>
      </c>
      <c r="D6" s="170"/>
      <c r="E6" s="171"/>
      <c r="F6" s="216"/>
      <c r="AS6" s="122" t="s">
        <v>40</v>
      </c>
      <c r="AX6" s="122" t="s">
        <v>91</v>
      </c>
      <c r="AY6" s="122" t="s">
        <v>71</v>
      </c>
      <c r="BA6" s="122" t="s">
        <v>123</v>
      </c>
      <c r="BB6" s="146" t="s">
        <v>82</v>
      </c>
      <c r="BD6" s="122" t="s">
        <v>62</v>
      </c>
      <c r="CB6" s="146" t="s">
        <v>66</v>
      </c>
      <c r="CM6" s="122" t="s">
        <v>45</v>
      </c>
      <c r="CN6" s="146" t="s">
        <v>49</v>
      </c>
      <c r="CR6" s="172"/>
      <c r="CZ6" s="151"/>
      <c r="DA6" s="174"/>
      <c r="DB6" s="174"/>
      <c r="DC6" s="174"/>
      <c r="DD6" s="174"/>
      <c r="DE6" s="174"/>
      <c r="DF6" s="174"/>
      <c r="DG6" s="174"/>
      <c r="DH6" s="174"/>
      <c r="DI6" s="174"/>
      <c r="DJ6" s="174"/>
      <c r="DK6" s="174"/>
      <c r="DL6" s="174"/>
      <c r="DM6" s="174"/>
      <c r="DN6" s="174"/>
      <c r="DO6" s="174"/>
      <c r="DP6" s="174"/>
      <c r="DQ6" s="174"/>
      <c r="DR6" s="174"/>
      <c r="DS6" s="174"/>
      <c r="DT6" s="174"/>
      <c r="DU6" s="174"/>
      <c r="DV6" s="174"/>
      <c r="DW6" s="174"/>
      <c r="DX6" s="174"/>
      <c r="DY6" s="174"/>
      <c r="DZ6" s="174"/>
      <c r="EA6" s="174"/>
      <c r="EB6" s="174"/>
      <c r="EC6" s="174"/>
      <c r="ED6" s="174"/>
      <c r="EE6" s="174"/>
      <c r="EF6" s="174"/>
      <c r="EG6" s="174"/>
      <c r="EH6" s="174"/>
      <c r="EI6" s="174"/>
      <c r="EJ6" s="174"/>
      <c r="EK6" s="174"/>
      <c r="EL6" s="174"/>
      <c r="EM6" s="174"/>
      <c r="EN6" s="174"/>
      <c r="EO6" s="174"/>
      <c r="EP6" s="174"/>
      <c r="EQ6" s="174"/>
      <c r="ER6" s="174"/>
      <c r="ES6" s="174"/>
      <c r="ET6" s="174"/>
      <c r="EU6" s="174"/>
      <c r="EV6" s="174"/>
      <c r="EW6" s="174"/>
      <c r="EX6" s="174"/>
      <c r="EY6" s="174"/>
      <c r="EZ6" s="174"/>
      <c r="FA6" s="174"/>
      <c r="FB6" s="174"/>
      <c r="FC6" s="174"/>
      <c r="FD6" s="174"/>
      <c r="FE6" s="174"/>
      <c r="FF6" s="174"/>
      <c r="FG6" s="174"/>
      <c r="FH6" s="174"/>
      <c r="FI6" s="174"/>
      <c r="FJ6" s="174"/>
      <c r="FK6" s="174"/>
      <c r="FL6" s="174"/>
      <c r="FM6" s="174"/>
      <c r="FN6" s="174"/>
      <c r="FO6" s="174"/>
      <c r="FP6" s="174"/>
      <c r="FQ6" s="174"/>
      <c r="FR6" s="174"/>
      <c r="FS6" s="174"/>
      <c r="FT6" s="174"/>
      <c r="FU6" s="174"/>
      <c r="FV6" s="174"/>
      <c r="FW6" s="174"/>
      <c r="FX6" s="174"/>
      <c r="FY6" s="174"/>
      <c r="FZ6" s="174"/>
      <c r="GA6" s="174"/>
      <c r="GB6" s="174"/>
      <c r="GC6" s="174"/>
      <c r="GD6" s="174"/>
      <c r="GE6" s="174"/>
      <c r="GF6" s="174"/>
      <c r="GG6" s="174"/>
      <c r="GH6" s="174"/>
      <c r="GI6" s="174"/>
      <c r="GJ6" s="174"/>
      <c r="GK6" s="174"/>
      <c r="GL6" s="174"/>
      <c r="GM6" s="174"/>
      <c r="GN6" s="174"/>
      <c r="GO6" s="174"/>
      <c r="GP6" s="174"/>
      <c r="GQ6" s="174"/>
      <c r="GR6" s="174"/>
      <c r="GS6" s="174"/>
      <c r="GT6" s="174"/>
      <c r="GU6" s="174"/>
      <c r="GV6" s="174"/>
      <c r="GW6" s="174"/>
      <c r="GX6" s="174"/>
      <c r="GY6" s="174"/>
      <c r="GZ6" s="174"/>
      <c r="HA6" s="174"/>
      <c r="HB6" s="174"/>
      <c r="HC6" s="174"/>
      <c r="HD6" s="174"/>
      <c r="HE6" s="174"/>
      <c r="HF6" s="174"/>
      <c r="HG6" s="174"/>
      <c r="HH6" s="174"/>
      <c r="HI6" s="174"/>
      <c r="HJ6" s="174"/>
      <c r="HK6" s="174"/>
      <c r="HL6" s="174"/>
      <c r="HM6" s="174"/>
      <c r="HN6" s="174"/>
      <c r="HO6" s="174"/>
      <c r="HP6" s="174"/>
      <c r="HQ6" s="174"/>
      <c r="HR6" s="174"/>
      <c r="HS6" s="174"/>
      <c r="HT6" s="174"/>
      <c r="HU6" s="174"/>
      <c r="HV6" s="174"/>
      <c r="HW6" s="174"/>
      <c r="HX6" s="174"/>
      <c r="HY6" s="174"/>
      <c r="HZ6" s="174"/>
      <c r="IA6" s="174"/>
      <c r="IB6" s="174"/>
      <c r="IC6" s="174"/>
      <c r="ID6" s="174"/>
      <c r="IE6" s="174"/>
      <c r="IF6" s="174"/>
      <c r="IG6" s="174"/>
      <c r="IH6" s="174"/>
      <c r="II6" s="174"/>
      <c r="IJ6" s="174"/>
      <c r="IK6" s="174"/>
      <c r="IL6" s="174"/>
      <c r="IM6" s="174"/>
      <c r="IN6" s="174"/>
      <c r="IO6" s="174"/>
      <c r="IP6" s="174"/>
      <c r="IQ6" s="174"/>
      <c r="IR6" s="174"/>
      <c r="IS6" s="174"/>
      <c r="IT6" s="174"/>
      <c r="IU6" s="174"/>
      <c r="IV6" s="174"/>
      <c r="IW6" s="174"/>
      <c r="IX6" s="174"/>
      <c r="IY6" s="174"/>
      <c r="IZ6" s="174"/>
      <c r="JA6" s="174"/>
      <c r="JB6" s="174"/>
      <c r="JC6" s="174"/>
      <c r="JD6" s="174"/>
      <c r="JE6" s="174"/>
      <c r="JF6" s="174"/>
      <c r="JG6" s="174"/>
      <c r="JH6" s="174"/>
      <c r="JI6" s="174"/>
      <c r="JJ6" s="174"/>
      <c r="JK6" s="174"/>
      <c r="JL6" s="174"/>
      <c r="JM6" s="174"/>
      <c r="JN6" s="174"/>
      <c r="JO6" s="174"/>
      <c r="JP6" s="174"/>
      <c r="JQ6" s="174"/>
      <c r="JR6" s="174"/>
      <c r="JS6" s="174"/>
      <c r="JT6" s="174"/>
      <c r="JU6" s="174"/>
      <c r="JV6" s="174"/>
    </row>
    <row r="7" spans="1:282" s="146" customFormat="1">
      <c r="A7" s="169"/>
      <c r="B7" s="122" t="s">
        <v>155</v>
      </c>
      <c r="D7" s="170"/>
      <c r="E7" s="171"/>
      <c r="F7" s="216"/>
      <c r="AS7" s="122" t="s">
        <v>34</v>
      </c>
      <c r="AX7" s="122" t="s">
        <v>61</v>
      </c>
      <c r="AY7" s="122" t="s">
        <v>72</v>
      </c>
      <c r="BA7" s="122" t="s">
        <v>124</v>
      </c>
      <c r="BB7" s="146" t="s">
        <v>50</v>
      </c>
      <c r="BD7" s="122" t="s">
        <v>77</v>
      </c>
      <c r="CM7" s="122" t="s">
        <v>48</v>
      </c>
      <c r="CN7" s="146" t="s">
        <v>65</v>
      </c>
      <c r="CR7" s="172"/>
      <c r="CZ7" s="173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74"/>
      <c r="EB7" s="174"/>
      <c r="EC7" s="174"/>
      <c r="ED7" s="174"/>
      <c r="EE7" s="174"/>
      <c r="EF7" s="174"/>
      <c r="EG7" s="174"/>
      <c r="EH7" s="174"/>
      <c r="EI7" s="174"/>
      <c r="EJ7" s="174"/>
      <c r="EK7" s="174"/>
      <c r="EL7" s="174"/>
      <c r="EM7" s="174"/>
      <c r="EN7" s="174"/>
      <c r="EO7" s="174"/>
      <c r="EP7" s="174"/>
      <c r="EQ7" s="174"/>
      <c r="ER7" s="174"/>
      <c r="ES7" s="174"/>
      <c r="ET7" s="174"/>
      <c r="EU7" s="174"/>
      <c r="EV7" s="174"/>
      <c r="EW7" s="174"/>
      <c r="EX7" s="174"/>
      <c r="EY7" s="174"/>
      <c r="EZ7" s="174"/>
      <c r="FA7" s="174"/>
      <c r="FB7" s="174"/>
      <c r="FC7" s="174"/>
      <c r="FD7" s="174"/>
      <c r="FE7" s="174"/>
      <c r="FF7" s="174"/>
      <c r="FG7" s="174"/>
      <c r="FH7" s="174"/>
      <c r="FI7" s="174"/>
      <c r="FJ7" s="174"/>
      <c r="FK7" s="174"/>
      <c r="FL7" s="174"/>
      <c r="FM7" s="174"/>
      <c r="FN7" s="174"/>
      <c r="FO7" s="174"/>
      <c r="FP7" s="174"/>
      <c r="FQ7" s="174"/>
      <c r="FR7" s="174"/>
      <c r="FS7" s="174"/>
      <c r="FT7" s="174"/>
      <c r="FU7" s="174"/>
      <c r="FV7" s="174"/>
      <c r="FW7" s="174"/>
      <c r="FX7" s="174"/>
      <c r="FY7" s="174"/>
      <c r="FZ7" s="174"/>
      <c r="GA7" s="174"/>
      <c r="GB7" s="174"/>
      <c r="GC7" s="174"/>
      <c r="GD7" s="174"/>
      <c r="GE7" s="174"/>
      <c r="GF7" s="174"/>
      <c r="GG7" s="174"/>
      <c r="GH7" s="174"/>
      <c r="GI7" s="174"/>
      <c r="GJ7" s="174"/>
      <c r="GK7" s="174"/>
      <c r="GL7" s="174"/>
      <c r="GM7" s="174"/>
      <c r="GN7" s="174"/>
      <c r="GO7" s="174"/>
      <c r="GP7" s="174"/>
      <c r="GQ7" s="174"/>
      <c r="GR7" s="174"/>
      <c r="GS7" s="174"/>
      <c r="GT7" s="174"/>
      <c r="GU7" s="174"/>
      <c r="GV7" s="174"/>
      <c r="GW7" s="174"/>
      <c r="GX7" s="174"/>
      <c r="GY7" s="174"/>
      <c r="GZ7" s="174"/>
      <c r="HA7" s="174"/>
      <c r="HB7" s="174"/>
      <c r="HC7" s="174"/>
      <c r="HD7" s="174"/>
      <c r="HE7" s="174"/>
      <c r="HF7" s="174"/>
      <c r="HG7" s="174"/>
      <c r="HH7" s="174"/>
      <c r="HI7" s="174"/>
      <c r="HJ7" s="174"/>
      <c r="HK7" s="174"/>
      <c r="HL7" s="174"/>
      <c r="HM7" s="174"/>
      <c r="HN7" s="174"/>
      <c r="HO7" s="174"/>
      <c r="HP7" s="174"/>
      <c r="HQ7" s="174"/>
      <c r="HR7" s="174"/>
      <c r="HS7" s="174"/>
      <c r="HT7" s="174"/>
      <c r="HU7" s="174"/>
      <c r="HV7" s="174"/>
      <c r="HW7" s="174"/>
      <c r="HX7" s="174"/>
      <c r="HY7" s="174"/>
      <c r="HZ7" s="174"/>
      <c r="IA7" s="174"/>
      <c r="IB7" s="174"/>
      <c r="IC7" s="174"/>
      <c r="ID7" s="174"/>
      <c r="IE7" s="174"/>
      <c r="IF7" s="174"/>
      <c r="IG7" s="174"/>
      <c r="IH7" s="174"/>
      <c r="II7" s="174"/>
      <c r="IJ7" s="174"/>
      <c r="IK7" s="174"/>
      <c r="IL7" s="174"/>
      <c r="IM7" s="174"/>
      <c r="IN7" s="174"/>
      <c r="IO7" s="174"/>
      <c r="IP7" s="174"/>
      <c r="IQ7" s="174"/>
      <c r="IR7" s="174"/>
      <c r="IS7" s="174"/>
      <c r="IT7" s="174"/>
      <c r="IU7" s="174"/>
      <c r="IV7" s="174"/>
      <c r="IW7" s="174"/>
      <c r="IX7" s="174"/>
      <c r="IY7" s="174"/>
      <c r="IZ7" s="174"/>
      <c r="JA7" s="174"/>
      <c r="JB7" s="174"/>
      <c r="JC7" s="174"/>
      <c r="JD7" s="174"/>
      <c r="JE7" s="174"/>
      <c r="JF7" s="174"/>
      <c r="JG7" s="174"/>
      <c r="JH7" s="174"/>
      <c r="JI7" s="174"/>
      <c r="JJ7" s="174"/>
      <c r="JK7" s="174"/>
      <c r="JL7" s="174"/>
      <c r="JM7" s="174"/>
      <c r="JN7" s="174"/>
      <c r="JO7" s="174"/>
      <c r="JP7" s="174"/>
      <c r="JQ7" s="174"/>
      <c r="JR7" s="174"/>
      <c r="JS7" s="174"/>
      <c r="JT7" s="174"/>
      <c r="JU7" s="174"/>
      <c r="JV7" s="174"/>
    </row>
    <row r="8" spans="1:282" s="146" customFormat="1">
      <c r="A8" s="169"/>
      <c r="B8" s="122" t="s">
        <v>156</v>
      </c>
      <c r="D8" s="170"/>
      <c r="E8" s="171"/>
      <c r="F8" s="216"/>
      <c r="BA8" s="122" t="s">
        <v>125</v>
      </c>
      <c r="BB8" s="146" t="s">
        <v>59</v>
      </c>
      <c r="BD8" s="122" t="s">
        <v>78</v>
      </c>
      <c r="CM8" s="122" t="s">
        <v>64</v>
      </c>
      <c r="CN8" s="146" t="s">
        <v>61</v>
      </c>
      <c r="CR8" s="172"/>
      <c r="CZ8" s="173"/>
      <c r="DA8" s="174"/>
      <c r="DB8" s="174"/>
      <c r="DC8" s="174"/>
      <c r="DD8" s="174"/>
      <c r="DE8" s="174"/>
      <c r="DF8" s="174"/>
      <c r="DG8" s="174"/>
      <c r="DH8" s="174"/>
      <c r="DI8" s="174"/>
      <c r="DJ8" s="174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74"/>
      <c r="EB8" s="174"/>
      <c r="EC8" s="174"/>
      <c r="ED8" s="174"/>
      <c r="EE8" s="174"/>
      <c r="EF8" s="174"/>
      <c r="EG8" s="174"/>
      <c r="EH8" s="174"/>
      <c r="EI8" s="174"/>
      <c r="EJ8" s="174"/>
      <c r="EK8" s="174"/>
      <c r="EL8" s="174"/>
      <c r="EM8" s="174"/>
      <c r="EN8" s="174"/>
      <c r="EO8" s="174"/>
      <c r="EP8" s="174"/>
      <c r="EQ8" s="174"/>
      <c r="ER8" s="174"/>
      <c r="ES8" s="174"/>
      <c r="ET8" s="174"/>
      <c r="EU8" s="174"/>
      <c r="EV8" s="174"/>
      <c r="EW8" s="174"/>
      <c r="EX8" s="174"/>
      <c r="EY8" s="174"/>
      <c r="EZ8" s="174"/>
      <c r="FA8" s="174"/>
      <c r="FB8" s="174"/>
      <c r="FC8" s="174"/>
      <c r="FD8" s="174"/>
      <c r="FE8" s="174"/>
      <c r="FF8" s="174"/>
      <c r="FG8" s="174"/>
      <c r="FH8" s="174"/>
      <c r="FI8" s="174"/>
      <c r="FJ8" s="174"/>
      <c r="FK8" s="174"/>
      <c r="FL8" s="174"/>
      <c r="FM8" s="174"/>
      <c r="FN8" s="174"/>
      <c r="FO8" s="174"/>
      <c r="FP8" s="174"/>
      <c r="FQ8" s="174"/>
      <c r="FR8" s="174"/>
      <c r="FS8" s="174"/>
      <c r="FT8" s="174"/>
      <c r="FU8" s="174"/>
      <c r="FV8" s="174"/>
      <c r="FW8" s="174"/>
      <c r="FX8" s="174"/>
      <c r="FY8" s="174"/>
      <c r="FZ8" s="174"/>
      <c r="GA8" s="174"/>
      <c r="GB8" s="174"/>
      <c r="GC8" s="174"/>
      <c r="GD8" s="174"/>
      <c r="GE8" s="174"/>
      <c r="GF8" s="174"/>
      <c r="GG8" s="174"/>
      <c r="GH8" s="174"/>
      <c r="GI8" s="174"/>
      <c r="GJ8" s="174"/>
      <c r="GK8" s="174"/>
      <c r="GL8" s="174"/>
      <c r="GM8" s="174"/>
      <c r="GN8" s="174"/>
      <c r="GO8" s="174"/>
      <c r="GP8" s="174"/>
      <c r="GQ8" s="174"/>
      <c r="GR8" s="174"/>
      <c r="GS8" s="174"/>
      <c r="GT8" s="174"/>
      <c r="GU8" s="174"/>
      <c r="GV8" s="174"/>
      <c r="GW8" s="174"/>
      <c r="GX8" s="174"/>
      <c r="GY8" s="174"/>
      <c r="GZ8" s="174"/>
      <c r="HA8" s="174"/>
      <c r="HB8" s="174"/>
      <c r="HC8" s="174"/>
      <c r="HD8" s="174"/>
      <c r="HE8" s="174"/>
      <c r="HF8" s="174"/>
      <c r="HG8" s="174"/>
      <c r="HH8" s="174"/>
      <c r="HI8" s="174"/>
      <c r="HJ8" s="174"/>
      <c r="HK8" s="174"/>
      <c r="HL8" s="174"/>
      <c r="HM8" s="174"/>
      <c r="HN8" s="174"/>
      <c r="HO8" s="174"/>
      <c r="HP8" s="174"/>
      <c r="HQ8" s="174"/>
      <c r="HR8" s="174"/>
      <c r="HS8" s="174"/>
      <c r="HT8" s="174"/>
      <c r="HU8" s="174"/>
      <c r="HV8" s="174"/>
      <c r="HW8" s="174"/>
      <c r="HX8" s="174"/>
      <c r="HY8" s="174"/>
      <c r="HZ8" s="174"/>
      <c r="IA8" s="174"/>
      <c r="IB8" s="174"/>
      <c r="IC8" s="174"/>
      <c r="ID8" s="174"/>
      <c r="IE8" s="174"/>
      <c r="IF8" s="174"/>
      <c r="IG8" s="174"/>
      <c r="IH8" s="174"/>
      <c r="II8" s="174"/>
      <c r="IJ8" s="174"/>
      <c r="IK8" s="174"/>
      <c r="IL8" s="174"/>
      <c r="IM8" s="174"/>
      <c r="IN8" s="174"/>
      <c r="IO8" s="174"/>
      <c r="IP8" s="174"/>
      <c r="IQ8" s="174"/>
      <c r="IR8" s="174"/>
      <c r="IS8" s="174"/>
      <c r="IT8" s="174"/>
      <c r="IU8" s="174"/>
      <c r="IV8" s="174"/>
      <c r="IW8" s="174"/>
      <c r="IX8" s="174"/>
      <c r="IY8" s="174"/>
      <c r="IZ8" s="174"/>
      <c r="JA8" s="174"/>
      <c r="JB8" s="174"/>
      <c r="JC8" s="174"/>
      <c r="JD8" s="174"/>
      <c r="JE8" s="174"/>
      <c r="JF8" s="174"/>
      <c r="JG8" s="174"/>
      <c r="JH8" s="174"/>
      <c r="JI8" s="174"/>
      <c r="JJ8" s="174"/>
      <c r="JK8" s="174"/>
      <c r="JL8" s="174"/>
      <c r="JM8" s="174"/>
      <c r="JN8" s="174"/>
      <c r="JO8" s="174"/>
      <c r="JP8" s="174"/>
      <c r="JQ8" s="174"/>
      <c r="JR8" s="174"/>
      <c r="JS8" s="174"/>
      <c r="JT8" s="174"/>
      <c r="JU8" s="174"/>
      <c r="JV8" s="174"/>
    </row>
    <row r="9" spans="1:282" s="146" customFormat="1">
      <c r="A9" s="169"/>
      <c r="D9" s="170"/>
      <c r="E9" s="171"/>
      <c r="F9" s="216"/>
      <c r="BA9" s="122" t="s">
        <v>126</v>
      </c>
      <c r="BB9" s="146" t="s">
        <v>60</v>
      </c>
      <c r="BD9" s="122" t="s">
        <v>79</v>
      </c>
      <c r="CM9" s="122" t="s">
        <v>67</v>
      </c>
      <c r="CN9" s="146" t="s">
        <v>68</v>
      </c>
      <c r="CR9" s="172"/>
      <c r="CZ9" s="173"/>
      <c r="DA9" s="174"/>
      <c r="DB9" s="174"/>
      <c r="DC9" s="174"/>
      <c r="DD9" s="174"/>
      <c r="DE9" s="174"/>
      <c r="DF9" s="174"/>
      <c r="DG9" s="174"/>
      <c r="DH9" s="174"/>
      <c r="DI9" s="174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74"/>
      <c r="DZ9" s="174"/>
      <c r="EA9" s="174"/>
      <c r="EB9" s="174"/>
      <c r="EC9" s="174"/>
      <c r="ED9" s="174"/>
      <c r="EE9" s="174"/>
      <c r="EF9" s="174"/>
      <c r="EG9" s="174"/>
      <c r="EH9" s="174"/>
      <c r="EI9" s="174"/>
      <c r="EJ9" s="174"/>
      <c r="EK9" s="174"/>
      <c r="EL9" s="174"/>
      <c r="EM9" s="174"/>
      <c r="EN9" s="174"/>
      <c r="EO9" s="174"/>
      <c r="EP9" s="174"/>
      <c r="EQ9" s="174"/>
      <c r="ER9" s="174"/>
      <c r="ES9" s="174"/>
      <c r="ET9" s="174"/>
      <c r="EU9" s="174"/>
      <c r="EV9" s="174"/>
      <c r="EW9" s="174"/>
      <c r="EX9" s="174"/>
      <c r="EY9" s="174"/>
      <c r="EZ9" s="174"/>
      <c r="FA9" s="174"/>
      <c r="FB9" s="174"/>
      <c r="FC9" s="174"/>
      <c r="FD9" s="174"/>
      <c r="FE9" s="174"/>
      <c r="FF9" s="174"/>
      <c r="FG9" s="174"/>
      <c r="FH9" s="174"/>
      <c r="FI9" s="174"/>
      <c r="FJ9" s="174"/>
      <c r="FK9" s="174"/>
      <c r="FL9" s="174"/>
      <c r="FM9" s="174"/>
      <c r="FN9" s="174"/>
      <c r="FO9" s="174"/>
      <c r="FP9" s="174"/>
      <c r="FQ9" s="174"/>
      <c r="FR9" s="174"/>
      <c r="FS9" s="174"/>
      <c r="FT9" s="174"/>
      <c r="FU9" s="174"/>
      <c r="FV9" s="174"/>
      <c r="FW9" s="174"/>
      <c r="FX9" s="174"/>
      <c r="FY9" s="174"/>
      <c r="FZ9" s="174"/>
      <c r="GA9" s="174"/>
      <c r="GB9" s="174"/>
      <c r="GC9" s="174"/>
      <c r="GD9" s="174"/>
      <c r="GE9" s="174"/>
      <c r="GF9" s="174"/>
      <c r="GG9" s="174"/>
      <c r="GH9" s="174"/>
      <c r="GI9" s="174"/>
      <c r="GJ9" s="174"/>
      <c r="GK9" s="174"/>
      <c r="GL9" s="174"/>
      <c r="GM9" s="174"/>
      <c r="GN9" s="174"/>
      <c r="GO9" s="174"/>
      <c r="GP9" s="174"/>
      <c r="GQ9" s="174"/>
      <c r="GR9" s="174"/>
      <c r="GS9" s="174"/>
      <c r="GT9" s="174"/>
      <c r="GU9" s="174"/>
      <c r="GV9" s="174"/>
      <c r="GW9" s="174"/>
      <c r="GX9" s="174"/>
      <c r="GY9" s="174"/>
      <c r="GZ9" s="174"/>
      <c r="HA9" s="174"/>
      <c r="HB9" s="174"/>
      <c r="HC9" s="174"/>
      <c r="HD9" s="174"/>
      <c r="HE9" s="174"/>
      <c r="HF9" s="174"/>
      <c r="HG9" s="174"/>
      <c r="HH9" s="174"/>
      <c r="HI9" s="174"/>
      <c r="HJ9" s="174"/>
      <c r="HK9" s="174"/>
      <c r="HL9" s="174"/>
      <c r="HM9" s="174"/>
      <c r="HN9" s="174"/>
      <c r="HO9" s="174"/>
      <c r="HP9" s="174"/>
      <c r="HQ9" s="174"/>
      <c r="HR9" s="174"/>
      <c r="HS9" s="174"/>
      <c r="HT9" s="174"/>
      <c r="HU9" s="174"/>
      <c r="HV9" s="174"/>
      <c r="HW9" s="174"/>
      <c r="HX9" s="174"/>
      <c r="HY9" s="174"/>
      <c r="HZ9" s="174"/>
      <c r="IA9" s="174"/>
      <c r="IB9" s="174"/>
      <c r="IC9" s="174"/>
      <c r="ID9" s="174"/>
      <c r="IE9" s="174"/>
      <c r="IF9" s="174"/>
      <c r="IG9" s="174"/>
      <c r="IH9" s="174"/>
      <c r="II9" s="174"/>
      <c r="IJ9" s="174"/>
      <c r="IK9" s="174"/>
      <c r="IL9" s="174"/>
      <c r="IM9" s="174"/>
      <c r="IN9" s="174"/>
      <c r="IO9" s="174"/>
      <c r="IP9" s="174"/>
      <c r="IQ9" s="174"/>
      <c r="IR9" s="174"/>
      <c r="IS9" s="174"/>
      <c r="IT9" s="174"/>
      <c r="IU9" s="174"/>
      <c r="IV9" s="174"/>
      <c r="IW9" s="174"/>
      <c r="IX9" s="174"/>
      <c r="IY9" s="174"/>
      <c r="IZ9" s="174"/>
      <c r="JA9" s="174"/>
      <c r="JB9" s="174"/>
      <c r="JC9" s="174"/>
      <c r="JD9" s="174"/>
      <c r="JE9" s="174"/>
      <c r="JF9" s="174"/>
      <c r="JG9" s="174"/>
      <c r="JH9" s="174"/>
      <c r="JI9" s="174"/>
      <c r="JJ9" s="174"/>
      <c r="JK9" s="174"/>
      <c r="JL9" s="174"/>
      <c r="JM9" s="174"/>
      <c r="JN9" s="174"/>
      <c r="JO9" s="174"/>
      <c r="JP9" s="174"/>
      <c r="JQ9" s="174"/>
      <c r="JR9" s="174"/>
      <c r="JS9" s="174"/>
      <c r="JT9" s="174"/>
      <c r="JU9" s="174"/>
      <c r="JV9" s="174"/>
    </row>
    <row r="10" spans="1:282" s="146" customFormat="1">
      <c r="A10" s="169"/>
      <c r="D10" s="170"/>
      <c r="E10" s="171"/>
      <c r="F10" s="216"/>
      <c r="BA10" s="122" t="s">
        <v>127</v>
      </c>
      <c r="BB10" s="146" t="s">
        <v>83</v>
      </c>
      <c r="BD10" s="122" t="s">
        <v>80</v>
      </c>
      <c r="CR10" s="172"/>
      <c r="CZ10" s="173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  <c r="EB10" s="174"/>
      <c r="EC10" s="174"/>
      <c r="ED10" s="174"/>
      <c r="EE10" s="174"/>
      <c r="EF10" s="174"/>
      <c r="EG10" s="174"/>
      <c r="EH10" s="174"/>
      <c r="EI10" s="174"/>
      <c r="EJ10" s="174"/>
      <c r="EK10" s="174"/>
      <c r="EL10" s="174"/>
      <c r="EM10" s="174"/>
      <c r="EN10" s="174"/>
      <c r="EO10" s="174"/>
      <c r="EP10" s="174"/>
      <c r="EQ10" s="174"/>
      <c r="ER10" s="174"/>
      <c r="ES10" s="174"/>
      <c r="ET10" s="174"/>
      <c r="EU10" s="174"/>
      <c r="EV10" s="174"/>
      <c r="EW10" s="174"/>
      <c r="EX10" s="174"/>
      <c r="EY10" s="174"/>
      <c r="EZ10" s="174"/>
      <c r="FA10" s="174"/>
      <c r="FB10" s="174"/>
      <c r="FC10" s="174"/>
      <c r="FD10" s="174"/>
      <c r="FE10" s="174"/>
      <c r="FF10" s="174"/>
      <c r="FG10" s="174"/>
      <c r="FH10" s="174"/>
      <c r="FI10" s="174"/>
      <c r="FJ10" s="174"/>
      <c r="FK10" s="174"/>
      <c r="FL10" s="174"/>
      <c r="FM10" s="174"/>
      <c r="FN10" s="174"/>
      <c r="FO10" s="174"/>
      <c r="FP10" s="174"/>
      <c r="FQ10" s="174"/>
      <c r="FR10" s="174"/>
      <c r="FS10" s="174"/>
      <c r="FT10" s="174"/>
      <c r="FU10" s="174"/>
      <c r="FV10" s="174"/>
      <c r="FW10" s="174"/>
      <c r="FX10" s="174"/>
      <c r="FY10" s="174"/>
      <c r="FZ10" s="174"/>
      <c r="GA10" s="174"/>
      <c r="GB10" s="174"/>
      <c r="GC10" s="174"/>
      <c r="GD10" s="174"/>
      <c r="GE10" s="174"/>
      <c r="GF10" s="174"/>
      <c r="GG10" s="174"/>
      <c r="GH10" s="174"/>
      <c r="GI10" s="174"/>
      <c r="GJ10" s="174"/>
      <c r="GK10" s="174"/>
      <c r="GL10" s="174"/>
      <c r="GM10" s="174"/>
      <c r="GN10" s="174"/>
      <c r="GO10" s="174"/>
      <c r="GP10" s="174"/>
      <c r="GQ10" s="174"/>
      <c r="GR10" s="174"/>
      <c r="GS10" s="174"/>
      <c r="GT10" s="174"/>
      <c r="GU10" s="174"/>
      <c r="GV10" s="174"/>
      <c r="GW10" s="174"/>
      <c r="GX10" s="174"/>
      <c r="GY10" s="174"/>
      <c r="GZ10" s="174"/>
      <c r="HA10" s="174"/>
      <c r="HB10" s="174"/>
      <c r="HC10" s="174"/>
      <c r="HD10" s="174"/>
      <c r="HE10" s="174"/>
      <c r="HF10" s="174"/>
      <c r="HG10" s="174"/>
      <c r="HH10" s="174"/>
      <c r="HI10" s="174"/>
      <c r="HJ10" s="174"/>
      <c r="HK10" s="174"/>
      <c r="HL10" s="174"/>
      <c r="HM10" s="174"/>
      <c r="HN10" s="174"/>
      <c r="HO10" s="174"/>
      <c r="HP10" s="174"/>
      <c r="HQ10" s="174"/>
      <c r="HR10" s="174"/>
      <c r="HS10" s="174"/>
      <c r="HT10" s="174"/>
      <c r="HU10" s="174"/>
      <c r="HV10" s="174"/>
      <c r="HW10" s="174"/>
      <c r="HX10" s="174"/>
      <c r="HY10" s="174"/>
      <c r="HZ10" s="174"/>
      <c r="IA10" s="174"/>
      <c r="IB10" s="174"/>
      <c r="IC10" s="174"/>
      <c r="ID10" s="174"/>
      <c r="IE10" s="174"/>
      <c r="IF10" s="174"/>
      <c r="IG10" s="174"/>
      <c r="IH10" s="174"/>
      <c r="II10" s="174"/>
      <c r="IJ10" s="174"/>
      <c r="IK10" s="174"/>
      <c r="IL10" s="174"/>
      <c r="IM10" s="174"/>
      <c r="IN10" s="174"/>
      <c r="IO10" s="174"/>
      <c r="IP10" s="174"/>
      <c r="IQ10" s="174"/>
      <c r="IR10" s="174"/>
      <c r="IS10" s="174"/>
      <c r="IT10" s="174"/>
      <c r="IU10" s="174"/>
      <c r="IV10" s="174"/>
      <c r="IW10" s="174"/>
      <c r="IX10" s="174"/>
      <c r="IY10" s="174"/>
      <c r="IZ10" s="174"/>
      <c r="JA10" s="174"/>
      <c r="JB10" s="174"/>
      <c r="JC10" s="174"/>
      <c r="JD10" s="174"/>
      <c r="JE10" s="174"/>
      <c r="JF10" s="174"/>
      <c r="JG10" s="174"/>
      <c r="JH10" s="174"/>
      <c r="JI10" s="174"/>
      <c r="JJ10" s="174"/>
      <c r="JK10" s="174"/>
      <c r="JL10" s="174"/>
      <c r="JM10" s="174"/>
      <c r="JN10" s="174"/>
      <c r="JO10" s="174"/>
      <c r="JP10" s="174"/>
      <c r="JQ10" s="174"/>
      <c r="JR10" s="174"/>
      <c r="JS10" s="174"/>
      <c r="JT10" s="174"/>
      <c r="JU10" s="174"/>
      <c r="JV10" s="174"/>
    </row>
    <row r="11" spans="1:282" s="146" customFormat="1">
      <c r="A11" s="169"/>
      <c r="D11" s="170"/>
      <c r="E11" s="171"/>
      <c r="F11" s="216"/>
      <c r="BA11" s="122" t="s">
        <v>128</v>
      </c>
      <c r="BB11" s="146" t="s">
        <v>52</v>
      </c>
      <c r="BD11" s="122" t="s">
        <v>46</v>
      </c>
      <c r="CR11" s="172"/>
      <c r="CZ11" s="173"/>
      <c r="DA11" s="174"/>
      <c r="DB11" s="174"/>
      <c r="DC11" s="174"/>
      <c r="DD11" s="174"/>
      <c r="DE11" s="174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74"/>
      <c r="DZ11" s="174"/>
      <c r="EA11" s="174"/>
      <c r="EB11" s="174"/>
      <c r="EC11" s="174"/>
      <c r="ED11" s="174"/>
      <c r="EE11" s="174"/>
      <c r="EF11" s="174"/>
      <c r="EG11" s="174"/>
      <c r="EH11" s="174"/>
      <c r="EI11" s="174"/>
      <c r="EJ11" s="174"/>
      <c r="EK11" s="174"/>
      <c r="EL11" s="174"/>
      <c r="EM11" s="174"/>
      <c r="EN11" s="174"/>
      <c r="EO11" s="174"/>
      <c r="EP11" s="174"/>
      <c r="EQ11" s="174"/>
      <c r="ER11" s="174"/>
      <c r="ES11" s="174"/>
      <c r="ET11" s="174"/>
      <c r="EU11" s="174"/>
      <c r="EV11" s="174"/>
      <c r="EW11" s="174"/>
      <c r="EX11" s="174"/>
      <c r="EY11" s="174"/>
      <c r="EZ11" s="174"/>
      <c r="FA11" s="174"/>
      <c r="FB11" s="174"/>
      <c r="FC11" s="174"/>
      <c r="FD11" s="174"/>
      <c r="FE11" s="174"/>
      <c r="FF11" s="174"/>
      <c r="FG11" s="174"/>
      <c r="FH11" s="174"/>
      <c r="FI11" s="174"/>
      <c r="FJ11" s="174"/>
      <c r="FK11" s="174"/>
      <c r="FL11" s="174"/>
      <c r="FM11" s="174"/>
      <c r="FN11" s="174"/>
      <c r="FO11" s="174"/>
      <c r="FP11" s="174"/>
      <c r="FQ11" s="174"/>
      <c r="FR11" s="174"/>
      <c r="FS11" s="174"/>
      <c r="FT11" s="174"/>
      <c r="FU11" s="174"/>
      <c r="FV11" s="174"/>
      <c r="FW11" s="174"/>
      <c r="FX11" s="174"/>
      <c r="FY11" s="174"/>
      <c r="FZ11" s="174"/>
      <c r="GA11" s="174"/>
      <c r="GB11" s="174"/>
      <c r="GC11" s="174"/>
      <c r="GD11" s="174"/>
      <c r="GE11" s="174"/>
      <c r="GF11" s="174"/>
      <c r="GG11" s="174"/>
      <c r="GH11" s="174"/>
      <c r="GI11" s="174"/>
      <c r="GJ11" s="174"/>
      <c r="GK11" s="174"/>
      <c r="GL11" s="174"/>
      <c r="GM11" s="174"/>
      <c r="GN11" s="174"/>
      <c r="GO11" s="174"/>
      <c r="GP11" s="174"/>
      <c r="GQ11" s="174"/>
      <c r="GR11" s="174"/>
      <c r="GS11" s="174"/>
      <c r="GT11" s="174"/>
      <c r="GU11" s="174"/>
      <c r="GV11" s="174"/>
      <c r="GW11" s="174"/>
      <c r="GX11" s="174"/>
      <c r="GY11" s="174"/>
      <c r="GZ11" s="174"/>
      <c r="HA11" s="174"/>
      <c r="HB11" s="174"/>
      <c r="HC11" s="174"/>
      <c r="HD11" s="174"/>
      <c r="HE11" s="174"/>
      <c r="HF11" s="174"/>
      <c r="HG11" s="174"/>
      <c r="HH11" s="174"/>
      <c r="HI11" s="174"/>
      <c r="HJ11" s="174"/>
      <c r="HK11" s="174"/>
      <c r="HL11" s="174"/>
      <c r="HM11" s="174"/>
      <c r="HN11" s="174"/>
      <c r="HO11" s="174"/>
      <c r="HP11" s="174"/>
      <c r="HQ11" s="174"/>
      <c r="HR11" s="174"/>
      <c r="HS11" s="174"/>
      <c r="HT11" s="174"/>
      <c r="HU11" s="174"/>
      <c r="HV11" s="174"/>
      <c r="HW11" s="174"/>
      <c r="HX11" s="174"/>
      <c r="HY11" s="174"/>
      <c r="HZ11" s="174"/>
      <c r="IA11" s="174"/>
      <c r="IB11" s="174"/>
      <c r="IC11" s="174"/>
      <c r="ID11" s="174"/>
      <c r="IE11" s="174"/>
      <c r="IF11" s="174"/>
      <c r="IG11" s="174"/>
      <c r="IH11" s="174"/>
      <c r="II11" s="174"/>
      <c r="IJ11" s="174"/>
      <c r="IK11" s="174"/>
      <c r="IL11" s="174"/>
      <c r="IM11" s="174"/>
      <c r="IN11" s="174"/>
      <c r="IO11" s="174"/>
      <c r="IP11" s="174"/>
      <c r="IQ11" s="174"/>
      <c r="IR11" s="174"/>
      <c r="IS11" s="174"/>
      <c r="IT11" s="174"/>
      <c r="IU11" s="174"/>
      <c r="IV11" s="174"/>
      <c r="IW11" s="174"/>
      <c r="IX11" s="174"/>
      <c r="IY11" s="174"/>
      <c r="IZ11" s="174"/>
      <c r="JA11" s="174"/>
      <c r="JB11" s="174"/>
      <c r="JC11" s="174"/>
      <c r="JD11" s="174"/>
      <c r="JE11" s="174"/>
      <c r="JF11" s="174"/>
      <c r="JG11" s="174"/>
      <c r="JH11" s="174"/>
      <c r="JI11" s="174"/>
      <c r="JJ11" s="174"/>
      <c r="JK11" s="174"/>
      <c r="JL11" s="174"/>
      <c r="JM11" s="174"/>
      <c r="JN11" s="174"/>
      <c r="JO11" s="174"/>
      <c r="JP11" s="174"/>
      <c r="JQ11" s="174"/>
      <c r="JR11" s="174"/>
      <c r="JS11" s="174"/>
      <c r="JT11" s="174"/>
      <c r="JU11" s="174"/>
      <c r="JV11" s="174"/>
    </row>
    <row r="12" spans="1:282" s="146" customFormat="1">
      <c r="A12" s="169"/>
      <c r="D12" s="170"/>
      <c r="E12" s="171"/>
      <c r="F12" s="216"/>
      <c r="AT12" s="221"/>
      <c r="AU12" s="221"/>
      <c r="BA12" s="122" t="s">
        <v>129</v>
      </c>
      <c r="BB12" s="146" t="s">
        <v>61</v>
      </c>
      <c r="BD12" s="122" t="s">
        <v>84</v>
      </c>
      <c r="CR12" s="172"/>
      <c r="CZ12" s="173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  <c r="EB12" s="174"/>
      <c r="EC12" s="174"/>
      <c r="ED12" s="174"/>
      <c r="EE12" s="174"/>
      <c r="EF12" s="174"/>
      <c r="EG12" s="174"/>
      <c r="EH12" s="174"/>
      <c r="EI12" s="174"/>
      <c r="EJ12" s="174"/>
      <c r="EK12" s="174"/>
      <c r="EL12" s="174"/>
      <c r="EM12" s="174"/>
      <c r="EN12" s="174"/>
      <c r="EO12" s="174"/>
      <c r="EP12" s="174"/>
      <c r="EQ12" s="174"/>
      <c r="ER12" s="174"/>
      <c r="ES12" s="174"/>
      <c r="ET12" s="174"/>
      <c r="EU12" s="174"/>
      <c r="EV12" s="174"/>
      <c r="EW12" s="174"/>
      <c r="EX12" s="174"/>
      <c r="EY12" s="174"/>
      <c r="EZ12" s="174"/>
      <c r="FA12" s="174"/>
      <c r="FB12" s="174"/>
      <c r="FC12" s="174"/>
      <c r="FD12" s="174"/>
      <c r="FE12" s="174"/>
      <c r="FF12" s="174"/>
      <c r="FG12" s="174"/>
      <c r="FH12" s="174"/>
      <c r="FI12" s="174"/>
      <c r="FJ12" s="174"/>
      <c r="FK12" s="174"/>
      <c r="FL12" s="174"/>
      <c r="FM12" s="174"/>
      <c r="FN12" s="174"/>
      <c r="FO12" s="174"/>
      <c r="FP12" s="174"/>
      <c r="FQ12" s="174"/>
      <c r="FR12" s="174"/>
      <c r="FS12" s="174"/>
      <c r="FT12" s="174"/>
      <c r="FU12" s="174"/>
      <c r="FV12" s="174"/>
      <c r="FW12" s="174"/>
      <c r="FX12" s="174"/>
      <c r="FY12" s="174"/>
      <c r="FZ12" s="174"/>
      <c r="GA12" s="174"/>
      <c r="GB12" s="174"/>
      <c r="GC12" s="174"/>
      <c r="GD12" s="174"/>
      <c r="GE12" s="174"/>
      <c r="GF12" s="174"/>
      <c r="GG12" s="174"/>
      <c r="GH12" s="174"/>
      <c r="GI12" s="174"/>
      <c r="GJ12" s="174"/>
      <c r="GK12" s="174"/>
      <c r="GL12" s="174"/>
      <c r="GM12" s="174"/>
      <c r="GN12" s="174"/>
      <c r="GO12" s="174"/>
      <c r="GP12" s="174"/>
      <c r="GQ12" s="174"/>
      <c r="GR12" s="174"/>
      <c r="GS12" s="174"/>
      <c r="GT12" s="174"/>
      <c r="GU12" s="174"/>
      <c r="GV12" s="174"/>
      <c r="GW12" s="174"/>
      <c r="GX12" s="174"/>
      <c r="GY12" s="174"/>
      <c r="GZ12" s="174"/>
      <c r="HA12" s="174"/>
      <c r="HB12" s="174"/>
      <c r="HC12" s="174"/>
      <c r="HD12" s="174"/>
      <c r="HE12" s="174"/>
      <c r="HF12" s="174"/>
      <c r="HG12" s="174"/>
      <c r="HH12" s="174"/>
      <c r="HI12" s="174"/>
      <c r="HJ12" s="174"/>
      <c r="HK12" s="174"/>
      <c r="HL12" s="174"/>
      <c r="HM12" s="174"/>
      <c r="HN12" s="174"/>
      <c r="HO12" s="174"/>
      <c r="HP12" s="174"/>
      <c r="HQ12" s="174"/>
      <c r="HR12" s="174"/>
      <c r="HS12" s="174"/>
      <c r="HT12" s="174"/>
      <c r="HU12" s="174"/>
      <c r="HV12" s="174"/>
      <c r="HW12" s="174"/>
      <c r="HX12" s="174"/>
      <c r="HY12" s="174"/>
      <c r="HZ12" s="174"/>
      <c r="IA12" s="174"/>
      <c r="IB12" s="174"/>
      <c r="IC12" s="174"/>
      <c r="ID12" s="174"/>
      <c r="IE12" s="174"/>
      <c r="IF12" s="174"/>
      <c r="IG12" s="174"/>
      <c r="IH12" s="174"/>
      <c r="II12" s="174"/>
      <c r="IJ12" s="174"/>
      <c r="IK12" s="174"/>
      <c r="IL12" s="174"/>
      <c r="IM12" s="174"/>
      <c r="IN12" s="174"/>
      <c r="IO12" s="174"/>
      <c r="IP12" s="174"/>
      <c r="IQ12" s="174"/>
      <c r="IR12" s="174"/>
      <c r="IS12" s="174"/>
      <c r="IT12" s="174"/>
      <c r="IU12" s="174"/>
      <c r="IV12" s="174"/>
      <c r="IW12" s="174"/>
      <c r="IX12" s="174"/>
      <c r="IY12" s="174"/>
      <c r="IZ12" s="174"/>
      <c r="JA12" s="174"/>
      <c r="JB12" s="174"/>
      <c r="JC12" s="174"/>
      <c r="JD12" s="174"/>
      <c r="JE12" s="174"/>
      <c r="JF12" s="174"/>
      <c r="JG12" s="174"/>
      <c r="JH12" s="174"/>
      <c r="JI12" s="174"/>
      <c r="JJ12" s="174"/>
      <c r="JK12" s="174"/>
      <c r="JL12" s="174"/>
      <c r="JM12" s="174"/>
      <c r="JN12" s="174"/>
      <c r="JO12" s="174"/>
      <c r="JP12" s="174"/>
      <c r="JQ12" s="174"/>
      <c r="JR12" s="174"/>
      <c r="JS12" s="174"/>
      <c r="JT12" s="174"/>
      <c r="JU12" s="174"/>
      <c r="JV12" s="174"/>
    </row>
    <row r="13" spans="1:282" s="146" customFormat="1">
      <c r="A13" s="169"/>
      <c r="D13" s="170"/>
      <c r="E13" s="171"/>
      <c r="F13" s="216"/>
      <c r="BA13" s="122" t="s">
        <v>130</v>
      </c>
      <c r="CR13" s="172"/>
      <c r="CZ13" s="173"/>
      <c r="DA13" s="174"/>
      <c r="DB13" s="174"/>
      <c r="DC13" s="174"/>
      <c r="DD13" s="174"/>
      <c r="DE13" s="174"/>
      <c r="DF13" s="174"/>
      <c r="DG13" s="174"/>
      <c r="DH13" s="174"/>
      <c r="DI13" s="174"/>
      <c r="DJ13" s="174"/>
      <c r="DK13" s="174"/>
      <c r="DL13" s="174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74"/>
      <c r="DZ13" s="174"/>
      <c r="EA13" s="174"/>
      <c r="EB13" s="174"/>
      <c r="EC13" s="174"/>
      <c r="ED13" s="174"/>
      <c r="EE13" s="174"/>
      <c r="EF13" s="174"/>
      <c r="EG13" s="174"/>
      <c r="EH13" s="174"/>
      <c r="EI13" s="174"/>
      <c r="EJ13" s="174"/>
      <c r="EK13" s="174"/>
      <c r="EL13" s="174"/>
      <c r="EM13" s="174"/>
      <c r="EN13" s="174"/>
      <c r="EO13" s="174"/>
      <c r="EP13" s="174"/>
      <c r="EQ13" s="174"/>
      <c r="ER13" s="174"/>
      <c r="ES13" s="174"/>
      <c r="ET13" s="174"/>
      <c r="EU13" s="174"/>
      <c r="EV13" s="174"/>
      <c r="EW13" s="174"/>
      <c r="EX13" s="174"/>
      <c r="EY13" s="174"/>
      <c r="EZ13" s="174"/>
      <c r="FA13" s="174"/>
      <c r="FB13" s="174"/>
      <c r="FC13" s="174"/>
      <c r="FD13" s="174"/>
      <c r="FE13" s="174"/>
      <c r="FF13" s="174"/>
      <c r="FG13" s="174"/>
      <c r="FH13" s="174"/>
      <c r="FI13" s="174"/>
      <c r="FJ13" s="174"/>
      <c r="FK13" s="174"/>
      <c r="FL13" s="174"/>
      <c r="FM13" s="174"/>
      <c r="FN13" s="174"/>
      <c r="FO13" s="174"/>
      <c r="FP13" s="174"/>
      <c r="FQ13" s="174"/>
      <c r="FR13" s="174"/>
      <c r="FS13" s="174"/>
      <c r="FT13" s="174"/>
      <c r="FU13" s="174"/>
      <c r="FV13" s="174"/>
      <c r="FW13" s="174"/>
      <c r="FX13" s="174"/>
      <c r="FY13" s="174"/>
      <c r="FZ13" s="174"/>
      <c r="GA13" s="174"/>
      <c r="GB13" s="174"/>
      <c r="GC13" s="174"/>
      <c r="GD13" s="174"/>
      <c r="GE13" s="174"/>
      <c r="GF13" s="174"/>
      <c r="GG13" s="174"/>
      <c r="GH13" s="174"/>
      <c r="GI13" s="174"/>
      <c r="GJ13" s="174"/>
      <c r="GK13" s="174"/>
      <c r="GL13" s="174"/>
      <c r="GM13" s="174"/>
      <c r="GN13" s="174"/>
      <c r="GO13" s="174"/>
      <c r="GP13" s="174"/>
      <c r="GQ13" s="174"/>
      <c r="GR13" s="174"/>
      <c r="GS13" s="174"/>
      <c r="GT13" s="174"/>
      <c r="GU13" s="174"/>
      <c r="GV13" s="174"/>
      <c r="GW13" s="174"/>
      <c r="GX13" s="174"/>
      <c r="GY13" s="174"/>
      <c r="GZ13" s="174"/>
      <c r="HA13" s="174"/>
      <c r="HB13" s="174"/>
      <c r="HC13" s="174"/>
      <c r="HD13" s="174"/>
      <c r="HE13" s="174"/>
      <c r="HF13" s="174"/>
      <c r="HG13" s="174"/>
      <c r="HH13" s="174"/>
      <c r="HI13" s="174"/>
      <c r="HJ13" s="174"/>
      <c r="HK13" s="174"/>
      <c r="HL13" s="174"/>
      <c r="HM13" s="174"/>
      <c r="HN13" s="174"/>
      <c r="HO13" s="174"/>
      <c r="HP13" s="174"/>
      <c r="HQ13" s="174"/>
      <c r="HR13" s="174"/>
      <c r="HS13" s="174"/>
      <c r="HT13" s="174"/>
      <c r="HU13" s="174"/>
      <c r="HV13" s="174"/>
      <c r="HW13" s="174"/>
      <c r="HX13" s="174"/>
      <c r="HY13" s="174"/>
      <c r="HZ13" s="174"/>
      <c r="IA13" s="174"/>
      <c r="IB13" s="174"/>
      <c r="IC13" s="174"/>
      <c r="ID13" s="174"/>
      <c r="IE13" s="174"/>
      <c r="IF13" s="174"/>
      <c r="IG13" s="174"/>
      <c r="IH13" s="174"/>
      <c r="II13" s="174"/>
      <c r="IJ13" s="174"/>
      <c r="IK13" s="174"/>
      <c r="IL13" s="174"/>
      <c r="IM13" s="174"/>
      <c r="IN13" s="174"/>
      <c r="IO13" s="174"/>
      <c r="IP13" s="174"/>
      <c r="IQ13" s="174"/>
      <c r="IR13" s="174"/>
      <c r="IS13" s="174"/>
      <c r="IT13" s="174"/>
      <c r="IU13" s="174"/>
      <c r="IV13" s="174"/>
      <c r="IW13" s="174"/>
      <c r="IX13" s="174"/>
      <c r="IY13" s="174"/>
      <c r="IZ13" s="174"/>
      <c r="JA13" s="174"/>
      <c r="JB13" s="174"/>
      <c r="JC13" s="174"/>
      <c r="JD13" s="174"/>
      <c r="JE13" s="174"/>
      <c r="JF13" s="174"/>
      <c r="JG13" s="174"/>
      <c r="JH13" s="174"/>
      <c r="JI13" s="174"/>
      <c r="JJ13" s="174"/>
      <c r="JK13" s="174"/>
      <c r="JL13" s="174"/>
      <c r="JM13" s="174"/>
      <c r="JN13" s="174"/>
      <c r="JO13" s="174"/>
      <c r="JP13" s="174"/>
      <c r="JQ13" s="174"/>
      <c r="JR13" s="174"/>
      <c r="JS13" s="174"/>
      <c r="JT13" s="174"/>
      <c r="JU13" s="174"/>
      <c r="JV13" s="174"/>
    </row>
    <row r="14" spans="1:282" s="146" customFormat="1">
      <c r="A14" s="169"/>
      <c r="D14" s="170"/>
      <c r="E14" s="171"/>
      <c r="F14" s="216"/>
      <c r="BA14" s="122" t="s">
        <v>131</v>
      </c>
      <c r="CR14" s="172"/>
      <c r="CZ14" s="173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  <c r="EB14" s="174"/>
      <c r="EC14" s="174"/>
      <c r="ED14" s="174"/>
      <c r="EE14" s="174"/>
      <c r="EF14" s="174"/>
      <c r="EG14" s="174"/>
      <c r="EH14" s="174"/>
      <c r="EI14" s="174"/>
      <c r="EJ14" s="174"/>
      <c r="EK14" s="174"/>
      <c r="EL14" s="174"/>
      <c r="EM14" s="174"/>
      <c r="EN14" s="174"/>
      <c r="EO14" s="174"/>
      <c r="EP14" s="174"/>
      <c r="EQ14" s="174"/>
      <c r="ER14" s="174"/>
      <c r="ES14" s="174"/>
      <c r="ET14" s="174"/>
      <c r="EU14" s="174"/>
      <c r="EV14" s="174"/>
      <c r="EW14" s="174"/>
      <c r="EX14" s="174"/>
      <c r="EY14" s="174"/>
      <c r="EZ14" s="174"/>
      <c r="FA14" s="174"/>
      <c r="FB14" s="174"/>
      <c r="FC14" s="174"/>
      <c r="FD14" s="174"/>
      <c r="FE14" s="174"/>
      <c r="FF14" s="174"/>
      <c r="FG14" s="174"/>
      <c r="FH14" s="174"/>
      <c r="FI14" s="174"/>
      <c r="FJ14" s="174"/>
      <c r="FK14" s="174"/>
      <c r="FL14" s="174"/>
      <c r="FM14" s="174"/>
      <c r="FN14" s="174"/>
      <c r="FO14" s="174"/>
      <c r="FP14" s="174"/>
      <c r="FQ14" s="174"/>
      <c r="FR14" s="174"/>
      <c r="FS14" s="174"/>
      <c r="FT14" s="174"/>
      <c r="FU14" s="174"/>
      <c r="FV14" s="174"/>
      <c r="FW14" s="174"/>
      <c r="FX14" s="174"/>
      <c r="FY14" s="174"/>
      <c r="FZ14" s="174"/>
      <c r="GA14" s="174"/>
      <c r="GB14" s="174"/>
      <c r="GC14" s="174"/>
      <c r="GD14" s="174"/>
      <c r="GE14" s="174"/>
      <c r="GF14" s="174"/>
      <c r="GG14" s="174"/>
      <c r="GH14" s="174"/>
      <c r="GI14" s="174"/>
      <c r="GJ14" s="174"/>
      <c r="GK14" s="174"/>
      <c r="GL14" s="174"/>
      <c r="GM14" s="174"/>
      <c r="GN14" s="174"/>
      <c r="GO14" s="174"/>
      <c r="GP14" s="174"/>
      <c r="GQ14" s="174"/>
      <c r="GR14" s="174"/>
      <c r="GS14" s="174"/>
      <c r="GT14" s="174"/>
      <c r="GU14" s="174"/>
      <c r="GV14" s="174"/>
      <c r="GW14" s="174"/>
      <c r="GX14" s="174"/>
      <c r="GY14" s="174"/>
      <c r="GZ14" s="174"/>
      <c r="HA14" s="174"/>
      <c r="HB14" s="174"/>
      <c r="HC14" s="174"/>
      <c r="HD14" s="174"/>
      <c r="HE14" s="174"/>
      <c r="HF14" s="174"/>
      <c r="HG14" s="174"/>
      <c r="HH14" s="174"/>
      <c r="HI14" s="174"/>
      <c r="HJ14" s="174"/>
      <c r="HK14" s="174"/>
      <c r="HL14" s="174"/>
      <c r="HM14" s="174"/>
      <c r="HN14" s="174"/>
      <c r="HO14" s="174"/>
      <c r="HP14" s="174"/>
      <c r="HQ14" s="174"/>
      <c r="HR14" s="174"/>
      <c r="HS14" s="174"/>
      <c r="HT14" s="174"/>
      <c r="HU14" s="174"/>
      <c r="HV14" s="174"/>
      <c r="HW14" s="174"/>
      <c r="HX14" s="174"/>
      <c r="HY14" s="174"/>
      <c r="HZ14" s="174"/>
      <c r="IA14" s="174"/>
      <c r="IB14" s="174"/>
      <c r="IC14" s="174"/>
      <c r="ID14" s="174"/>
      <c r="IE14" s="174"/>
      <c r="IF14" s="174"/>
      <c r="IG14" s="174"/>
      <c r="IH14" s="174"/>
      <c r="II14" s="174"/>
      <c r="IJ14" s="174"/>
      <c r="IK14" s="174"/>
      <c r="IL14" s="174"/>
      <c r="IM14" s="174"/>
      <c r="IN14" s="174"/>
      <c r="IO14" s="174"/>
      <c r="IP14" s="174"/>
      <c r="IQ14" s="174"/>
      <c r="IR14" s="174"/>
      <c r="IS14" s="174"/>
      <c r="IT14" s="174"/>
      <c r="IU14" s="174"/>
      <c r="IV14" s="174"/>
      <c r="IW14" s="174"/>
      <c r="IX14" s="174"/>
      <c r="IY14" s="174"/>
      <c r="IZ14" s="174"/>
      <c r="JA14" s="174"/>
      <c r="JB14" s="174"/>
      <c r="JC14" s="174"/>
      <c r="JD14" s="174"/>
      <c r="JE14" s="174"/>
      <c r="JF14" s="174"/>
      <c r="JG14" s="174"/>
      <c r="JH14" s="174"/>
      <c r="JI14" s="174"/>
      <c r="JJ14" s="174"/>
      <c r="JK14" s="174"/>
      <c r="JL14" s="174"/>
      <c r="JM14" s="174"/>
      <c r="JN14" s="174"/>
      <c r="JO14" s="174"/>
      <c r="JP14" s="174"/>
      <c r="JQ14" s="174"/>
      <c r="JR14" s="174"/>
      <c r="JS14" s="174"/>
      <c r="JT14" s="174"/>
      <c r="JU14" s="174"/>
      <c r="JV14" s="174"/>
    </row>
    <row r="15" spans="1:282" s="146" customFormat="1">
      <c r="A15" s="169"/>
      <c r="D15" s="170"/>
      <c r="E15" s="171"/>
      <c r="F15" s="216"/>
      <c r="BA15" s="122" t="s">
        <v>132</v>
      </c>
      <c r="CR15" s="172"/>
      <c r="CZ15" s="173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  <c r="EB15" s="174"/>
      <c r="EC15" s="174"/>
      <c r="ED15" s="174"/>
      <c r="EE15" s="174"/>
      <c r="EF15" s="174"/>
      <c r="EG15" s="174"/>
      <c r="EH15" s="174"/>
      <c r="EI15" s="174"/>
      <c r="EJ15" s="174"/>
      <c r="EK15" s="174"/>
      <c r="EL15" s="174"/>
      <c r="EM15" s="174"/>
      <c r="EN15" s="174"/>
      <c r="EO15" s="174"/>
      <c r="EP15" s="174"/>
      <c r="EQ15" s="174"/>
      <c r="ER15" s="174"/>
      <c r="ES15" s="174"/>
      <c r="ET15" s="174"/>
      <c r="EU15" s="174"/>
      <c r="EV15" s="174"/>
      <c r="EW15" s="174"/>
      <c r="EX15" s="174"/>
      <c r="EY15" s="174"/>
      <c r="EZ15" s="174"/>
      <c r="FA15" s="174"/>
      <c r="FB15" s="174"/>
      <c r="FC15" s="174"/>
      <c r="FD15" s="174"/>
      <c r="FE15" s="174"/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  <c r="GH15" s="174"/>
      <c r="GI15" s="174"/>
      <c r="GJ15" s="174"/>
      <c r="GK15" s="174"/>
      <c r="GL15" s="174"/>
      <c r="GM15" s="174"/>
      <c r="GN15" s="174"/>
      <c r="GO15" s="174"/>
      <c r="GP15" s="174"/>
      <c r="GQ15" s="174"/>
      <c r="GR15" s="174"/>
      <c r="GS15" s="174"/>
      <c r="GT15" s="174"/>
      <c r="GU15" s="174"/>
      <c r="GV15" s="174"/>
      <c r="GW15" s="174"/>
      <c r="GX15" s="174"/>
      <c r="GY15" s="174"/>
      <c r="GZ15" s="174"/>
      <c r="HA15" s="174"/>
      <c r="HB15" s="174"/>
      <c r="HC15" s="174"/>
      <c r="HD15" s="174"/>
      <c r="HE15" s="174"/>
      <c r="HF15" s="174"/>
      <c r="HG15" s="174"/>
      <c r="HH15" s="174"/>
      <c r="HI15" s="174"/>
      <c r="HJ15" s="174"/>
      <c r="HK15" s="174"/>
      <c r="HL15" s="174"/>
      <c r="HM15" s="174"/>
      <c r="HN15" s="174"/>
      <c r="HO15" s="174"/>
      <c r="HP15" s="174"/>
      <c r="HQ15" s="174"/>
      <c r="HR15" s="174"/>
      <c r="HS15" s="174"/>
      <c r="HT15" s="174"/>
      <c r="HU15" s="174"/>
      <c r="HV15" s="174"/>
      <c r="HW15" s="174"/>
      <c r="HX15" s="174"/>
      <c r="HY15" s="174"/>
      <c r="HZ15" s="174"/>
      <c r="IA15" s="174"/>
      <c r="IB15" s="174"/>
      <c r="IC15" s="174"/>
      <c r="ID15" s="174"/>
      <c r="IE15" s="174"/>
      <c r="IF15" s="174"/>
      <c r="IG15" s="174"/>
      <c r="IH15" s="174"/>
      <c r="II15" s="174"/>
      <c r="IJ15" s="174"/>
      <c r="IK15" s="174"/>
      <c r="IL15" s="174"/>
      <c r="IM15" s="174"/>
      <c r="IN15" s="174"/>
      <c r="IO15" s="174"/>
      <c r="IP15" s="174"/>
      <c r="IQ15" s="174"/>
      <c r="IR15" s="174"/>
      <c r="IS15" s="174"/>
      <c r="IT15" s="174"/>
      <c r="IU15" s="174"/>
      <c r="IV15" s="174"/>
      <c r="IW15" s="174"/>
      <c r="IX15" s="174"/>
      <c r="IY15" s="174"/>
      <c r="IZ15" s="174"/>
      <c r="JA15" s="174"/>
      <c r="JB15" s="174"/>
      <c r="JC15" s="174"/>
      <c r="JD15" s="174"/>
      <c r="JE15" s="174"/>
      <c r="JF15" s="174"/>
      <c r="JG15" s="174"/>
      <c r="JH15" s="174"/>
      <c r="JI15" s="174"/>
      <c r="JJ15" s="174"/>
      <c r="JK15" s="174"/>
      <c r="JL15" s="174"/>
      <c r="JM15" s="174"/>
      <c r="JN15" s="174"/>
      <c r="JO15" s="174"/>
      <c r="JP15" s="174"/>
      <c r="JQ15" s="174"/>
      <c r="JR15" s="174"/>
      <c r="JS15" s="174"/>
      <c r="JT15" s="174"/>
      <c r="JU15" s="174"/>
      <c r="JV15" s="174"/>
    </row>
    <row r="16" spans="1:282" s="146" customFormat="1" ht="19.5" customHeight="1">
      <c r="A16" s="169"/>
      <c r="D16" s="170"/>
      <c r="E16" s="171"/>
      <c r="F16" s="216"/>
      <c r="BA16" s="276"/>
      <c r="CR16" s="172"/>
      <c r="CZ16" s="173"/>
      <c r="DA16" s="174"/>
      <c r="DB16" s="174"/>
      <c r="DC16" s="174"/>
      <c r="DD16" s="174"/>
      <c r="DE16" s="174"/>
      <c r="DF16" s="174"/>
      <c r="DG16" s="174"/>
      <c r="DH16" s="174"/>
      <c r="DI16" s="174"/>
      <c r="DJ16" s="174"/>
      <c r="DK16" s="174"/>
      <c r="DL16" s="174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74"/>
      <c r="DZ16" s="174"/>
      <c r="EA16" s="174"/>
      <c r="EB16" s="174"/>
      <c r="EC16" s="174"/>
      <c r="ED16" s="174"/>
      <c r="EE16" s="174"/>
      <c r="EF16" s="174"/>
      <c r="EG16" s="174"/>
      <c r="EH16" s="174"/>
      <c r="EI16" s="174"/>
      <c r="EJ16" s="174"/>
      <c r="EK16" s="174"/>
      <c r="EL16" s="174"/>
      <c r="EM16" s="174"/>
      <c r="EN16" s="174"/>
      <c r="EO16" s="174"/>
      <c r="EP16" s="174"/>
      <c r="EQ16" s="174"/>
      <c r="ER16" s="174"/>
      <c r="ES16" s="174"/>
      <c r="ET16" s="174"/>
      <c r="EU16" s="174"/>
      <c r="EV16" s="174"/>
      <c r="EW16" s="174"/>
      <c r="EX16" s="174"/>
      <c r="EY16" s="174"/>
      <c r="EZ16" s="174"/>
      <c r="FA16" s="174"/>
      <c r="FB16" s="174"/>
      <c r="FC16" s="174"/>
      <c r="FD16" s="174"/>
      <c r="FE16" s="174"/>
      <c r="FF16" s="174"/>
      <c r="FG16" s="174"/>
      <c r="FH16" s="174"/>
      <c r="FI16" s="174"/>
      <c r="FJ16" s="174"/>
      <c r="FK16" s="174"/>
      <c r="FL16" s="174"/>
      <c r="FM16" s="174"/>
      <c r="FN16" s="174"/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H16" s="174"/>
      <c r="GI16" s="174"/>
      <c r="GJ16" s="174"/>
      <c r="GK16" s="174"/>
      <c r="GL16" s="174"/>
      <c r="GM16" s="174"/>
      <c r="GN16" s="174"/>
      <c r="GO16" s="174"/>
      <c r="GP16" s="174"/>
      <c r="GQ16" s="174"/>
      <c r="GR16" s="174"/>
      <c r="GS16" s="174"/>
      <c r="GT16" s="174"/>
      <c r="GU16" s="174"/>
      <c r="GV16" s="174"/>
      <c r="GW16" s="174"/>
      <c r="GX16" s="174"/>
      <c r="GY16" s="174"/>
      <c r="GZ16" s="174"/>
      <c r="HA16" s="174"/>
      <c r="HB16" s="174"/>
      <c r="HC16" s="174"/>
      <c r="HD16" s="174"/>
      <c r="HE16" s="174"/>
      <c r="HF16" s="174"/>
      <c r="HG16" s="174"/>
      <c r="HH16" s="174"/>
      <c r="HI16" s="174"/>
      <c r="HJ16" s="174"/>
      <c r="HK16" s="174"/>
      <c r="HL16" s="174"/>
      <c r="HM16" s="174"/>
      <c r="HN16" s="174"/>
      <c r="HO16" s="174"/>
      <c r="HP16" s="174"/>
      <c r="HQ16" s="174"/>
      <c r="HR16" s="174"/>
      <c r="HS16" s="174"/>
      <c r="HT16" s="174"/>
      <c r="HU16" s="174"/>
      <c r="HV16" s="174"/>
      <c r="HW16" s="174"/>
      <c r="HX16" s="174"/>
      <c r="HY16" s="174"/>
      <c r="HZ16" s="174"/>
      <c r="IA16" s="174"/>
      <c r="IB16" s="174"/>
      <c r="IC16" s="174"/>
      <c r="ID16" s="174"/>
      <c r="IE16" s="174"/>
      <c r="IF16" s="174"/>
      <c r="IG16" s="174"/>
      <c r="IH16" s="174"/>
      <c r="II16" s="174"/>
      <c r="IJ16" s="174"/>
      <c r="IK16" s="174"/>
      <c r="IL16" s="174"/>
      <c r="IM16" s="174"/>
      <c r="IN16" s="174"/>
      <c r="IO16" s="174"/>
      <c r="IP16" s="174"/>
      <c r="IQ16" s="174"/>
      <c r="IR16" s="174"/>
      <c r="IS16" s="174"/>
      <c r="IT16" s="174"/>
      <c r="IU16" s="174"/>
      <c r="IV16" s="174"/>
      <c r="IW16" s="174"/>
      <c r="IX16" s="174"/>
      <c r="IY16" s="174"/>
      <c r="IZ16" s="174"/>
      <c r="JA16" s="174"/>
      <c r="JB16" s="174"/>
      <c r="JC16" s="174"/>
      <c r="JD16" s="174"/>
      <c r="JE16" s="174"/>
      <c r="JF16" s="174"/>
      <c r="JG16" s="174"/>
      <c r="JH16" s="174"/>
      <c r="JI16" s="174"/>
      <c r="JJ16" s="174"/>
      <c r="JK16" s="174"/>
      <c r="JL16" s="174"/>
      <c r="JM16" s="174"/>
      <c r="JN16" s="174"/>
      <c r="JO16" s="174"/>
      <c r="JP16" s="174"/>
      <c r="JQ16" s="174"/>
      <c r="JR16" s="174"/>
      <c r="JS16" s="174"/>
      <c r="JT16" s="174"/>
      <c r="JU16" s="174"/>
      <c r="JV16" s="174"/>
    </row>
    <row r="17" spans="1:282" s="146" customFormat="1">
      <c r="A17" s="169"/>
      <c r="D17" s="170"/>
      <c r="E17" s="171"/>
      <c r="F17" s="216"/>
      <c r="BA17" s="276"/>
      <c r="CR17" s="172"/>
      <c r="CZ17" s="173"/>
      <c r="DA17" s="174"/>
      <c r="DB17" s="174"/>
      <c r="DC17" s="174"/>
      <c r="DD17" s="174"/>
      <c r="DE17" s="174"/>
      <c r="DF17" s="174"/>
      <c r="DG17" s="174"/>
      <c r="DH17" s="174"/>
      <c r="DI17" s="174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4"/>
      <c r="EB17" s="174"/>
      <c r="EC17" s="174"/>
      <c r="ED17" s="174"/>
      <c r="EE17" s="174"/>
      <c r="EF17" s="174"/>
      <c r="EG17" s="174"/>
      <c r="EH17" s="174"/>
      <c r="EI17" s="174"/>
      <c r="EJ17" s="174"/>
      <c r="EK17" s="174"/>
      <c r="EL17" s="174"/>
      <c r="EM17" s="174"/>
      <c r="EN17" s="174"/>
      <c r="EO17" s="174"/>
      <c r="EP17" s="174"/>
      <c r="EQ17" s="174"/>
      <c r="ER17" s="174"/>
      <c r="ES17" s="174"/>
      <c r="ET17" s="174"/>
      <c r="EU17" s="174"/>
      <c r="EV17" s="174"/>
      <c r="EW17" s="174"/>
      <c r="EX17" s="174"/>
      <c r="EY17" s="174"/>
      <c r="EZ17" s="174"/>
      <c r="FA17" s="174"/>
      <c r="FB17" s="174"/>
      <c r="FC17" s="174"/>
      <c r="FD17" s="174"/>
      <c r="FE17" s="174"/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  <c r="GH17" s="174"/>
      <c r="GI17" s="174"/>
      <c r="GJ17" s="174"/>
      <c r="GK17" s="174"/>
      <c r="GL17" s="174"/>
      <c r="GM17" s="174"/>
      <c r="GN17" s="174"/>
      <c r="GO17" s="174"/>
      <c r="GP17" s="174"/>
      <c r="GQ17" s="174"/>
      <c r="GR17" s="174"/>
      <c r="GS17" s="174"/>
      <c r="GT17" s="174"/>
      <c r="GU17" s="174"/>
      <c r="GV17" s="174"/>
      <c r="GW17" s="174"/>
      <c r="GX17" s="174"/>
      <c r="GY17" s="174"/>
      <c r="GZ17" s="174"/>
      <c r="HA17" s="174"/>
      <c r="HB17" s="174"/>
      <c r="HC17" s="174"/>
      <c r="HD17" s="174"/>
      <c r="HE17" s="174"/>
      <c r="HF17" s="174"/>
      <c r="HG17" s="174"/>
      <c r="HH17" s="174"/>
      <c r="HI17" s="174"/>
      <c r="HJ17" s="174"/>
      <c r="HK17" s="174"/>
      <c r="HL17" s="174"/>
      <c r="HM17" s="174"/>
      <c r="HN17" s="174"/>
      <c r="HO17" s="174"/>
      <c r="HP17" s="174"/>
      <c r="HQ17" s="174"/>
      <c r="HR17" s="174"/>
      <c r="HS17" s="174"/>
      <c r="HT17" s="174"/>
      <c r="HU17" s="174"/>
      <c r="HV17" s="174"/>
      <c r="HW17" s="174"/>
      <c r="HX17" s="174"/>
      <c r="HY17" s="174"/>
      <c r="HZ17" s="174"/>
      <c r="IA17" s="174"/>
      <c r="IB17" s="174"/>
      <c r="IC17" s="174"/>
      <c r="ID17" s="174"/>
      <c r="IE17" s="174"/>
      <c r="IF17" s="174"/>
      <c r="IG17" s="174"/>
      <c r="IH17" s="174"/>
      <c r="II17" s="174"/>
      <c r="IJ17" s="174"/>
      <c r="IK17" s="174"/>
      <c r="IL17" s="174"/>
      <c r="IM17" s="174"/>
      <c r="IN17" s="174"/>
      <c r="IO17" s="174"/>
      <c r="IP17" s="174"/>
      <c r="IQ17" s="174"/>
      <c r="IR17" s="174"/>
      <c r="IS17" s="174"/>
      <c r="IT17" s="174"/>
      <c r="IU17" s="174"/>
      <c r="IV17" s="174"/>
      <c r="IW17" s="174"/>
      <c r="IX17" s="174"/>
      <c r="IY17" s="174"/>
      <c r="IZ17" s="174"/>
      <c r="JA17" s="174"/>
      <c r="JB17" s="174"/>
      <c r="JC17" s="174"/>
      <c r="JD17" s="174"/>
      <c r="JE17" s="174"/>
      <c r="JF17" s="174"/>
      <c r="JG17" s="174"/>
      <c r="JH17" s="174"/>
      <c r="JI17" s="174"/>
      <c r="JJ17" s="174"/>
      <c r="JK17" s="174"/>
      <c r="JL17" s="174"/>
      <c r="JM17" s="174"/>
      <c r="JN17" s="174"/>
      <c r="JO17" s="174"/>
      <c r="JP17" s="174"/>
      <c r="JQ17" s="174"/>
      <c r="JR17" s="174"/>
      <c r="JS17" s="174"/>
      <c r="JT17" s="174"/>
      <c r="JU17" s="174"/>
      <c r="JV17" s="174"/>
    </row>
    <row r="18" spans="1:282" s="146" customFormat="1">
      <c r="A18" s="169"/>
      <c r="D18" s="170"/>
      <c r="E18" s="171"/>
      <c r="F18" s="216"/>
      <c r="BA18" s="276"/>
      <c r="CR18" s="172"/>
      <c r="CZ18" s="173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  <c r="EB18" s="174"/>
      <c r="EC18" s="174"/>
      <c r="ED18" s="174"/>
      <c r="EE18" s="174"/>
      <c r="EF18" s="174"/>
      <c r="EG18" s="174"/>
      <c r="EH18" s="174"/>
      <c r="EI18" s="174"/>
      <c r="EJ18" s="174"/>
      <c r="EK18" s="174"/>
      <c r="EL18" s="174"/>
      <c r="EM18" s="174"/>
      <c r="EN18" s="174"/>
      <c r="EO18" s="174"/>
      <c r="EP18" s="174"/>
      <c r="EQ18" s="174"/>
      <c r="ER18" s="174"/>
      <c r="ES18" s="174"/>
      <c r="ET18" s="174"/>
      <c r="EU18" s="174"/>
      <c r="EV18" s="174"/>
      <c r="EW18" s="174"/>
      <c r="EX18" s="174"/>
      <c r="EY18" s="174"/>
      <c r="EZ18" s="174"/>
      <c r="FA18" s="174"/>
      <c r="FB18" s="174"/>
      <c r="FC18" s="174"/>
      <c r="FD18" s="174"/>
      <c r="FE18" s="174"/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  <c r="GH18" s="174"/>
      <c r="GI18" s="174"/>
      <c r="GJ18" s="174"/>
      <c r="GK18" s="174"/>
      <c r="GL18" s="174"/>
      <c r="GM18" s="174"/>
      <c r="GN18" s="174"/>
      <c r="GO18" s="174"/>
      <c r="GP18" s="174"/>
      <c r="GQ18" s="174"/>
      <c r="GR18" s="174"/>
      <c r="GS18" s="174"/>
      <c r="GT18" s="174"/>
      <c r="GU18" s="174"/>
      <c r="GV18" s="174"/>
      <c r="GW18" s="174"/>
      <c r="GX18" s="174"/>
      <c r="GY18" s="174"/>
      <c r="GZ18" s="174"/>
      <c r="HA18" s="174"/>
      <c r="HB18" s="174"/>
      <c r="HC18" s="174"/>
      <c r="HD18" s="174"/>
      <c r="HE18" s="174"/>
      <c r="HF18" s="174"/>
      <c r="HG18" s="174"/>
      <c r="HH18" s="174"/>
      <c r="HI18" s="174"/>
      <c r="HJ18" s="174"/>
      <c r="HK18" s="174"/>
      <c r="HL18" s="174"/>
      <c r="HM18" s="174"/>
      <c r="HN18" s="174"/>
      <c r="HO18" s="174"/>
      <c r="HP18" s="174"/>
      <c r="HQ18" s="174"/>
      <c r="HR18" s="174"/>
      <c r="HS18" s="174"/>
      <c r="HT18" s="174"/>
      <c r="HU18" s="174"/>
      <c r="HV18" s="174"/>
      <c r="HW18" s="174"/>
      <c r="HX18" s="174"/>
      <c r="HY18" s="174"/>
      <c r="HZ18" s="174"/>
      <c r="IA18" s="174"/>
      <c r="IB18" s="174"/>
      <c r="IC18" s="174"/>
      <c r="ID18" s="174"/>
      <c r="IE18" s="174"/>
      <c r="IF18" s="174"/>
      <c r="IG18" s="174"/>
      <c r="IH18" s="174"/>
      <c r="II18" s="174"/>
      <c r="IJ18" s="174"/>
      <c r="IK18" s="174"/>
      <c r="IL18" s="174"/>
      <c r="IM18" s="174"/>
      <c r="IN18" s="174"/>
      <c r="IO18" s="174"/>
      <c r="IP18" s="174"/>
      <c r="IQ18" s="174"/>
      <c r="IR18" s="174"/>
      <c r="IS18" s="174"/>
      <c r="IT18" s="174"/>
      <c r="IU18" s="174"/>
      <c r="IV18" s="174"/>
      <c r="IW18" s="174"/>
      <c r="IX18" s="174"/>
      <c r="IY18" s="174"/>
      <c r="IZ18" s="174"/>
      <c r="JA18" s="174"/>
      <c r="JB18" s="174"/>
      <c r="JC18" s="174"/>
      <c r="JD18" s="174"/>
      <c r="JE18" s="174"/>
      <c r="JF18" s="174"/>
      <c r="JG18" s="174"/>
      <c r="JH18" s="174"/>
      <c r="JI18" s="174"/>
      <c r="JJ18" s="174"/>
      <c r="JK18" s="174"/>
      <c r="JL18" s="174"/>
      <c r="JM18" s="174"/>
      <c r="JN18" s="174"/>
      <c r="JO18" s="174"/>
      <c r="JP18" s="174"/>
      <c r="JQ18" s="174"/>
      <c r="JR18" s="174"/>
      <c r="JS18" s="174"/>
      <c r="JT18" s="174"/>
      <c r="JU18" s="174"/>
      <c r="JV18" s="174"/>
    </row>
    <row r="19" spans="1:282" s="146" customFormat="1">
      <c r="A19" s="169"/>
      <c r="D19" s="170"/>
      <c r="E19" s="171"/>
      <c r="F19" s="216"/>
      <c r="BA19" s="276"/>
      <c r="CR19" s="172"/>
      <c r="CZ19" s="173"/>
      <c r="DA19" s="174"/>
      <c r="DB19" s="174"/>
      <c r="DC19" s="174"/>
      <c r="DD19" s="174"/>
      <c r="DE19" s="174"/>
      <c r="DF19" s="174"/>
      <c r="DG19" s="174"/>
      <c r="DH19" s="174"/>
      <c r="DI19" s="174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74"/>
      <c r="EC19" s="174"/>
      <c r="ED19" s="174"/>
      <c r="EE19" s="174"/>
      <c r="EF19" s="174"/>
      <c r="EG19" s="174"/>
      <c r="EH19" s="174"/>
      <c r="EI19" s="174"/>
      <c r="EJ19" s="174"/>
      <c r="EK19" s="174"/>
      <c r="EL19" s="174"/>
      <c r="EM19" s="174"/>
      <c r="EN19" s="174"/>
      <c r="EO19" s="174"/>
      <c r="EP19" s="174"/>
      <c r="EQ19" s="174"/>
      <c r="ER19" s="174"/>
      <c r="ES19" s="174"/>
      <c r="ET19" s="174"/>
      <c r="EU19" s="174"/>
      <c r="EV19" s="174"/>
      <c r="EW19" s="174"/>
      <c r="EX19" s="174"/>
      <c r="EY19" s="174"/>
      <c r="EZ19" s="174"/>
      <c r="FA19" s="174"/>
      <c r="FB19" s="174"/>
      <c r="FC19" s="174"/>
      <c r="FD19" s="174"/>
      <c r="FE19" s="174"/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  <c r="GH19" s="174"/>
      <c r="GI19" s="174"/>
      <c r="GJ19" s="174"/>
      <c r="GK19" s="174"/>
      <c r="GL19" s="174"/>
      <c r="GM19" s="174"/>
      <c r="GN19" s="174"/>
      <c r="GO19" s="174"/>
      <c r="GP19" s="174"/>
      <c r="GQ19" s="174"/>
      <c r="GR19" s="174"/>
      <c r="GS19" s="174"/>
      <c r="GT19" s="174"/>
      <c r="GU19" s="174"/>
      <c r="GV19" s="174"/>
      <c r="GW19" s="174"/>
      <c r="GX19" s="174"/>
      <c r="GY19" s="174"/>
      <c r="GZ19" s="174"/>
      <c r="HA19" s="174"/>
      <c r="HB19" s="174"/>
      <c r="HC19" s="174"/>
      <c r="HD19" s="174"/>
      <c r="HE19" s="174"/>
      <c r="HF19" s="174"/>
      <c r="HG19" s="174"/>
      <c r="HH19" s="174"/>
      <c r="HI19" s="174"/>
      <c r="HJ19" s="174"/>
      <c r="HK19" s="174"/>
      <c r="HL19" s="174"/>
      <c r="HM19" s="174"/>
      <c r="HN19" s="174"/>
      <c r="HO19" s="174"/>
      <c r="HP19" s="174"/>
      <c r="HQ19" s="174"/>
      <c r="HR19" s="174"/>
      <c r="HS19" s="174"/>
      <c r="HT19" s="174"/>
      <c r="HU19" s="174"/>
      <c r="HV19" s="174"/>
      <c r="HW19" s="174"/>
      <c r="HX19" s="174"/>
      <c r="HY19" s="174"/>
      <c r="HZ19" s="174"/>
      <c r="IA19" s="174"/>
      <c r="IB19" s="174"/>
      <c r="IC19" s="174"/>
      <c r="ID19" s="174"/>
      <c r="IE19" s="174"/>
      <c r="IF19" s="174"/>
      <c r="IG19" s="174"/>
      <c r="IH19" s="174"/>
      <c r="II19" s="174"/>
      <c r="IJ19" s="174"/>
      <c r="IK19" s="174"/>
      <c r="IL19" s="174"/>
      <c r="IM19" s="174"/>
      <c r="IN19" s="174"/>
      <c r="IO19" s="174"/>
      <c r="IP19" s="174"/>
      <c r="IQ19" s="174"/>
      <c r="IR19" s="174"/>
      <c r="IS19" s="174"/>
      <c r="IT19" s="174"/>
      <c r="IU19" s="174"/>
      <c r="IV19" s="174"/>
      <c r="IW19" s="174"/>
      <c r="IX19" s="174"/>
      <c r="IY19" s="174"/>
      <c r="IZ19" s="174"/>
      <c r="JA19" s="174"/>
      <c r="JB19" s="174"/>
      <c r="JC19" s="174"/>
      <c r="JD19" s="174"/>
      <c r="JE19" s="174"/>
      <c r="JF19" s="174"/>
      <c r="JG19" s="174"/>
      <c r="JH19" s="174"/>
      <c r="JI19" s="174"/>
      <c r="JJ19" s="174"/>
      <c r="JK19" s="174"/>
      <c r="JL19" s="174"/>
      <c r="JM19" s="174"/>
      <c r="JN19" s="174"/>
      <c r="JO19" s="174"/>
      <c r="JP19" s="174"/>
      <c r="JQ19" s="174"/>
      <c r="JR19" s="174"/>
      <c r="JS19" s="174"/>
      <c r="JT19" s="174"/>
      <c r="JU19" s="174"/>
      <c r="JV19" s="174"/>
    </row>
    <row r="20" spans="1:282" s="173" customFormat="1">
      <c r="A20" s="232"/>
      <c r="D20" s="233"/>
      <c r="E20" s="228"/>
      <c r="F20" s="234"/>
      <c r="BA20" s="277"/>
      <c r="CR20" s="151"/>
      <c r="DA20" s="222"/>
      <c r="DB20" s="222"/>
      <c r="DC20" s="222"/>
      <c r="DD20" s="222"/>
      <c r="DE20" s="222"/>
      <c r="DF20" s="222"/>
      <c r="DG20" s="222"/>
      <c r="DH20" s="222"/>
      <c r="DI20" s="222"/>
      <c r="DJ20" s="222"/>
      <c r="DK20" s="222"/>
      <c r="DL20" s="222"/>
      <c r="DM20" s="222"/>
      <c r="DN20" s="222"/>
      <c r="DO20" s="222"/>
      <c r="DP20" s="222"/>
      <c r="DQ20" s="222"/>
      <c r="DR20" s="222"/>
      <c r="DS20" s="222"/>
      <c r="DT20" s="222"/>
      <c r="DU20" s="222"/>
      <c r="DV20" s="222"/>
      <c r="DW20" s="222"/>
      <c r="DX20" s="222"/>
      <c r="DY20" s="222"/>
      <c r="DZ20" s="222"/>
      <c r="EA20" s="222"/>
      <c r="EB20" s="222"/>
      <c r="EC20" s="222"/>
      <c r="ED20" s="222"/>
      <c r="EE20" s="222"/>
      <c r="EF20" s="222"/>
      <c r="EG20" s="222"/>
      <c r="EH20" s="222"/>
      <c r="EI20" s="222"/>
      <c r="EJ20" s="222"/>
      <c r="EK20" s="222"/>
      <c r="EL20" s="222"/>
      <c r="EM20" s="222"/>
      <c r="EN20" s="222"/>
      <c r="EO20" s="222"/>
      <c r="EP20" s="222"/>
      <c r="EQ20" s="222"/>
      <c r="ER20" s="222"/>
      <c r="ES20" s="222"/>
      <c r="ET20" s="222"/>
      <c r="EU20" s="222"/>
      <c r="EV20" s="222"/>
      <c r="EW20" s="222"/>
      <c r="EX20" s="222"/>
      <c r="EY20" s="222"/>
      <c r="EZ20" s="222"/>
      <c r="FA20" s="222"/>
      <c r="FB20" s="222"/>
      <c r="FC20" s="222"/>
      <c r="FD20" s="222"/>
      <c r="FE20" s="222"/>
      <c r="FF20" s="222"/>
      <c r="FG20" s="222"/>
      <c r="FH20" s="222"/>
      <c r="FI20" s="222"/>
      <c r="FJ20" s="222"/>
      <c r="FK20" s="222"/>
      <c r="FL20" s="222"/>
      <c r="FM20" s="222"/>
      <c r="FN20" s="222"/>
      <c r="FO20" s="222"/>
      <c r="FP20" s="222"/>
      <c r="FQ20" s="222"/>
      <c r="FR20" s="222"/>
      <c r="FS20" s="222"/>
      <c r="FT20" s="222"/>
      <c r="FU20" s="222"/>
      <c r="FV20" s="222"/>
      <c r="FW20" s="222"/>
      <c r="FX20" s="222"/>
      <c r="FY20" s="222"/>
      <c r="FZ20" s="222"/>
      <c r="GA20" s="222"/>
      <c r="GB20" s="222"/>
      <c r="GC20" s="222"/>
      <c r="GD20" s="222"/>
      <c r="GE20" s="222"/>
      <c r="GF20" s="222"/>
      <c r="GG20" s="222"/>
      <c r="GH20" s="222"/>
      <c r="GI20" s="222"/>
      <c r="GJ20" s="222"/>
      <c r="GK20" s="222"/>
      <c r="GL20" s="222"/>
      <c r="GM20" s="222"/>
      <c r="GN20" s="222"/>
      <c r="GO20" s="222"/>
      <c r="GP20" s="222"/>
      <c r="GQ20" s="222"/>
      <c r="GR20" s="222"/>
      <c r="GS20" s="222"/>
      <c r="GT20" s="222"/>
      <c r="GU20" s="222"/>
      <c r="GV20" s="222"/>
      <c r="GW20" s="222"/>
      <c r="GX20" s="222"/>
      <c r="GY20" s="222"/>
      <c r="GZ20" s="222"/>
      <c r="HA20" s="222"/>
      <c r="HB20" s="222"/>
      <c r="HC20" s="222"/>
      <c r="HD20" s="222"/>
      <c r="HE20" s="222"/>
      <c r="HF20" s="222"/>
      <c r="HG20" s="222"/>
      <c r="HH20" s="222"/>
      <c r="HI20" s="222"/>
      <c r="HJ20" s="222"/>
      <c r="HK20" s="222"/>
      <c r="HL20" s="222"/>
      <c r="HM20" s="222"/>
      <c r="HN20" s="222"/>
      <c r="HO20" s="222"/>
      <c r="HP20" s="222"/>
      <c r="HQ20" s="222"/>
      <c r="HR20" s="222"/>
      <c r="HS20" s="222"/>
      <c r="HT20" s="222"/>
      <c r="HU20" s="222"/>
      <c r="HV20" s="222"/>
      <c r="HW20" s="222"/>
      <c r="HX20" s="222"/>
      <c r="HY20" s="222"/>
      <c r="HZ20" s="222"/>
      <c r="IA20" s="222"/>
      <c r="IB20" s="222"/>
      <c r="IC20" s="222"/>
      <c r="ID20" s="222"/>
      <c r="IE20" s="222"/>
      <c r="IF20" s="222"/>
      <c r="IG20" s="222"/>
      <c r="IH20" s="222"/>
      <c r="II20" s="222"/>
      <c r="IJ20" s="222"/>
      <c r="IK20" s="222"/>
      <c r="IL20" s="222"/>
      <c r="IM20" s="222"/>
      <c r="IN20" s="222"/>
      <c r="IO20" s="222"/>
      <c r="IP20" s="222"/>
      <c r="IQ20" s="222"/>
      <c r="IR20" s="222"/>
      <c r="IS20" s="222"/>
      <c r="IT20" s="222"/>
      <c r="IU20" s="222"/>
      <c r="IV20" s="222"/>
      <c r="IW20" s="222"/>
      <c r="IX20" s="222"/>
      <c r="IY20" s="222"/>
      <c r="IZ20" s="222"/>
      <c r="JA20" s="222"/>
      <c r="JB20" s="222"/>
      <c r="JC20" s="222"/>
      <c r="JD20" s="222"/>
      <c r="JE20" s="222"/>
      <c r="JF20" s="222"/>
      <c r="JG20" s="222"/>
      <c r="JH20" s="222"/>
      <c r="JI20" s="222"/>
      <c r="JJ20" s="222"/>
      <c r="JK20" s="222"/>
      <c r="JL20" s="222"/>
      <c r="JM20" s="222"/>
      <c r="JN20" s="222"/>
      <c r="JO20" s="222"/>
      <c r="JP20" s="222"/>
      <c r="JQ20" s="222"/>
      <c r="JR20" s="222"/>
      <c r="JS20" s="222"/>
      <c r="JT20" s="222"/>
      <c r="JU20" s="222"/>
      <c r="JV20" s="222"/>
    </row>
    <row r="21" spans="1:282" s="159" customFormat="1">
      <c r="A21" s="232"/>
      <c r="B21" s="173"/>
      <c r="C21" s="173"/>
      <c r="D21" s="233"/>
      <c r="E21" s="228"/>
      <c r="F21" s="234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46"/>
      <c r="AZ21" s="173"/>
      <c r="BA21" s="277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3"/>
      <c r="BX21" s="173"/>
      <c r="BY21" s="173"/>
      <c r="BZ21" s="173"/>
      <c r="CA21" s="173"/>
      <c r="CB21" s="173"/>
      <c r="CC21" s="173"/>
      <c r="CD21" s="173"/>
      <c r="CE21" s="173"/>
      <c r="CF21" s="173"/>
      <c r="CG21" s="173"/>
      <c r="CH21" s="173"/>
      <c r="CI21" s="173"/>
      <c r="CJ21" s="173"/>
      <c r="CK21" s="173"/>
      <c r="CL21" s="173"/>
      <c r="CM21" s="173"/>
      <c r="CN21" s="173"/>
      <c r="CO21" s="173"/>
      <c r="CP21" s="173"/>
      <c r="CQ21" s="173"/>
      <c r="CR21" s="151"/>
      <c r="CS21" s="173"/>
      <c r="CT21" s="173"/>
      <c r="CU21" s="173"/>
      <c r="CV21" s="173"/>
      <c r="CW21" s="173"/>
      <c r="CX21" s="173"/>
      <c r="CY21" s="173"/>
      <c r="CZ21" s="173"/>
      <c r="DA21" s="222"/>
      <c r="DB21" s="222"/>
      <c r="DC21" s="222"/>
      <c r="DD21" s="222"/>
      <c r="DE21" s="222"/>
      <c r="DF21" s="222"/>
      <c r="DG21" s="222"/>
      <c r="DH21" s="222"/>
      <c r="DI21" s="222"/>
      <c r="DJ21" s="222"/>
      <c r="DK21" s="222"/>
      <c r="DL21" s="222"/>
      <c r="DM21" s="222"/>
      <c r="DN21" s="160"/>
      <c r="DO21" s="160"/>
      <c r="DP21" s="160"/>
      <c r="DQ21" s="160"/>
      <c r="DR21" s="160"/>
      <c r="DS21" s="160"/>
      <c r="DT21" s="160"/>
      <c r="DU21" s="160"/>
      <c r="DV21" s="160"/>
      <c r="DW21" s="160"/>
      <c r="DX21" s="160"/>
      <c r="DY21" s="160"/>
      <c r="DZ21" s="160"/>
      <c r="EA21" s="160"/>
      <c r="EB21" s="160"/>
      <c r="EC21" s="160"/>
      <c r="ED21" s="160"/>
      <c r="EE21" s="160"/>
      <c r="EF21" s="160"/>
      <c r="EG21" s="160"/>
      <c r="EH21" s="160"/>
      <c r="EI21" s="160"/>
      <c r="EJ21" s="160"/>
      <c r="EK21" s="160"/>
      <c r="EL21" s="160"/>
      <c r="EM21" s="160"/>
      <c r="EN21" s="160"/>
      <c r="EO21" s="160"/>
      <c r="EP21" s="160"/>
      <c r="EQ21" s="160"/>
      <c r="ER21" s="160"/>
      <c r="ES21" s="160"/>
      <c r="ET21" s="160"/>
      <c r="EU21" s="160"/>
      <c r="EV21" s="160"/>
      <c r="EW21" s="160"/>
      <c r="EX21" s="160"/>
      <c r="EY21" s="160"/>
      <c r="EZ21" s="160"/>
      <c r="FA21" s="160"/>
      <c r="FB21" s="160"/>
      <c r="FC21" s="160"/>
      <c r="FD21" s="160"/>
      <c r="FE21" s="160"/>
      <c r="FF21" s="160"/>
      <c r="FG21" s="160"/>
      <c r="FH21" s="160"/>
      <c r="FI21" s="160"/>
      <c r="FJ21" s="160"/>
      <c r="FK21" s="160"/>
      <c r="FL21" s="160"/>
      <c r="FM21" s="160"/>
      <c r="FN21" s="160"/>
      <c r="FO21" s="160"/>
      <c r="FP21" s="160"/>
      <c r="FQ21" s="160"/>
      <c r="FR21" s="160"/>
      <c r="FS21" s="160"/>
      <c r="FT21" s="160"/>
      <c r="FU21" s="160"/>
      <c r="FV21" s="160"/>
      <c r="FW21" s="160"/>
      <c r="FX21" s="160"/>
      <c r="FY21" s="160"/>
      <c r="FZ21" s="160"/>
      <c r="GA21" s="160"/>
      <c r="GB21" s="160"/>
      <c r="GC21" s="160"/>
      <c r="GD21" s="160"/>
      <c r="GE21" s="160"/>
      <c r="GF21" s="160"/>
      <c r="GG21" s="160"/>
      <c r="GH21" s="160"/>
      <c r="GI21" s="160"/>
      <c r="GJ21" s="160"/>
      <c r="GK21" s="160"/>
      <c r="GL21" s="160"/>
      <c r="GM21" s="160"/>
      <c r="GN21" s="160"/>
      <c r="GO21" s="160"/>
      <c r="GP21" s="160"/>
      <c r="GQ21" s="160"/>
      <c r="GR21" s="160"/>
      <c r="GS21" s="160"/>
      <c r="GT21" s="160"/>
      <c r="GU21" s="160"/>
      <c r="GV21" s="160"/>
      <c r="GW21" s="160"/>
      <c r="GX21" s="160"/>
      <c r="GY21" s="160"/>
      <c r="GZ21" s="160"/>
      <c r="HA21" s="160"/>
      <c r="HB21" s="160"/>
      <c r="HC21" s="160"/>
      <c r="HD21" s="160"/>
      <c r="HE21" s="160"/>
      <c r="HF21" s="160"/>
      <c r="HG21" s="160"/>
      <c r="HH21" s="160"/>
      <c r="HI21" s="160"/>
      <c r="HJ21" s="160"/>
      <c r="HK21" s="160"/>
      <c r="HL21" s="160"/>
      <c r="HM21" s="160"/>
      <c r="HN21" s="160"/>
      <c r="HO21" s="160"/>
      <c r="HP21" s="160"/>
      <c r="HQ21" s="160"/>
      <c r="HR21" s="160"/>
      <c r="HS21" s="160"/>
      <c r="HT21" s="160"/>
      <c r="HU21" s="160"/>
      <c r="HV21" s="160"/>
      <c r="HW21" s="160"/>
      <c r="HX21" s="160"/>
      <c r="HY21" s="160"/>
      <c r="HZ21" s="160"/>
      <c r="IA21" s="160"/>
      <c r="IB21" s="160"/>
      <c r="IC21" s="160"/>
      <c r="ID21" s="160"/>
      <c r="IE21" s="160"/>
      <c r="IF21" s="160"/>
      <c r="IG21" s="160"/>
      <c r="IH21" s="160"/>
      <c r="II21" s="160"/>
      <c r="IJ21" s="160"/>
      <c r="IK21" s="160"/>
      <c r="IL21" s="160"/>
      <c r="IM21" s="160"/>
      <c r="IN21" s="160"/>
      <c r="IO21" s="160"/>
      <c r="IP21" s="160"/>
      <c r="IQ21" s="160"/>
      <c r="IR21" s="160"/>
      <c r="IS21" s="160"/>
      <c r="IT21" s="160"/>
      <c r="IU21" s="160"/>
      <c r="IV21" s="160"/>
      <c r="IW21" s="160"/>
      <c r="IX21" s="160"/>
      <c r="IY21" s="160"/>
      <c r="IZ21" s="160"/>
      <c r="JA21" s="160"/>
      <c r="JB21" s="160"/>
      <c r="JC21" s="160"/>
      <c r="JD21" s="160"/>
      <c r="JE21" s="160"/>
      <c r="JF21" s="160"/>
      <c r="JG21" s="160"/>
      <c r="JH21" s="160"/>
      <c r="JI21" s="160"/>
      <c r="JJ21" s="160"/>
      <c r="JK21" s="160"/>
      <c r="JL21" s="160"/>
      <c r="JM21" s="160"/>
      <c r="JN21" s="160"/>
      <c r="JO21" s="160"/>
      <c r="JP21" s="160"/>
      <c r="JQ21" s="160"/>
      <c r="JR21" s="160"/>
      <c r="JS21" s="160"/>
      <c r="JT21" s="160"/>
      <c r="JU21" s="160"/>
      <c r="JV21" s="160"/>
    </row>
    <row r="22" spans="1:282" s="146" customFormat="1">
      <c r="A22" s="232"/>
      <c r="D22" s="233"/>
      <c r="E22" s="228"/>
      <c r="F22" s="234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228"/>
      <c r="AU22" s="173"/>
      <c r="AV22" s="173"/>
      <c r="AW22" s="173"/>
      <c r="AX22" s="173"/>
      <c r="AY22" s="173"/>
      <c r="AZ22" s="173"/>
      <c r="BA22" s="277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73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CN22" s="173"/>
      <c r="CO22" s="173"/>
      <c r="CP22" s="173"/>
      <c r="CQ22" s="173"/>
      <c r="CR22" s="151"/>
      <c r="CS22" s="173"/>
      <c r="CT22" s="173"/>
      <c r="CU22" s="173"/>
      <c r="CV22" s="173"/>
      <c r="CW22" s="173"/>
      <c r="CX22" s="173"/>
      <c r="CY22" s="173"/>
      <c r="CZ22" s="173"/>
      <c r="DA22" s="222"/>
      <c r="DB22" s="222"/>
      <c r="DC22" s="222"/>
      <c r="DD22" s="222"/>
      <c r="DE22" s="222"/>
      <c r="DF22" s="222"/>
      <c r="DG22" s="222"/>
      <c r="DH22" s="222"/>
      <c r="DI22" s="222"/>
      <c r="DJ22" s="222"/>
      <c r="DK22" s="222"/>
      <c r="DL22" s="222"/>
      <c r="DM22" s="222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  <c r="EB22" s="174"/>
      <c r="EC22" s="174"/>
      <c r="ED22" s="174"/>
      <c r="EE22" s="174"/>
      <c r="EF22" s="174"/>
      <c r="EG22" s="174"/>
      <c r="EH22" s="174"/>
      <c r="EI22" s="174"/>
      <c r="EJ22" s="174"/>
      <c r="EK22" s="174"/>
      <c r="EL22" s="174"/>
      <c r="EM22" s="174"/>
      <c r="EN22" s="174"/>
      <c r="EO22" s="174"/>
      <c r="EP22" s="174"/>
      <c r="EQ22" s="174"/>
      <c r="ER22" s="174"/>
      <c r="ES22" s="174"/>
      <c r="ET22" s="174"/>
      <c r="EU22" s="174"/>
      <c r="EV22" s="174"/>
      <c r="EW22" s="174"/>
      <c r="EX22" s="174"/>
      <c r="EY22" s="174"/>
      <c r="EZ22" s="174"/>
      <c r="FA22" s="174"/>
      <c r="FB22" s="174"/>
      <c r="FC22" s="174"/>
      <c r="FD22" s="174"/>
      <c r="FE22" s="174"/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  <c r="GH22" s="174"/>
      <c r="GI22" s="174"/>
      <c r="GJ22" s="174"/>
      <c r="GK22" s="174"/>
      <c r="GL22" s="174"/>
      <c r="GM22" s="174"/>
      <c r="GN22" s="174"/>
      <c r="GO22" s="174"/>
      <c r="GP22" s="174"/>
      <c r="GQ22" s="174"/>
      <c r="GR22" s="174"/>
      <c r="GS22" s="174"/>
      <c r="GT22" s="174"/>
      <c r="GU22" s="174"/>
      <c r="GV22" s="174"/>
      <c r="GW22" s="174"/>
      <c r="GX22" s="174"/>
      <c r="GY22" s="174"/>
      <c r="GZ22" s="174"/>
      <c r="HA22" s="174"/>
      <c r="HB22" s="174"/>
      <c r="HC22" s="174"/>
      <c r="HD22" s="174"/>
      <c r="HE22" s="174"/>
      <c r="HF22" s="174"/>
      <c r="HG22" s="174"/>
      <c r="HH22" s="174"/>
      <c r="HI22" s="174"/>
      <c r="HJ22" s="174"/>
      <c r="HK22" s="174"/>
      <c r="HL22" s="174"/>
      <c r="HM22" s="174"/>
      <c r="HN22" s="174"/>
      <c r="HO22" s="174"/>
      <c r="HP22" s="174"/>
      <c r="HQ22" s="174"/>
      <c r="HR22" s="174"/>
      <c r="HS22" s="174"/>
      <c r="HT22" s="174"/>
      <c r="HU22" s="174"/>
      <c r="HV22" s="174"/>
      <c r="HW22" s="174"/>
      <c r="HX22" s="174"/>
      <c r="HY22" s="174"/>
      <c r="HZ22" s="174"/>
      <c r="IA22" s="174"/>
      <c r="IB22" s="174"/>
      <c r="IC22" s="174"/>
      <c r="ID22" s="174"/>
      <c r="IE22" s="174"/>
      <c r="IF22" s="174"/>
      <c r="IG22" s="174"/>
      <c r="IH22" s="174"/>
      <c r="II22" s="174"/>
      <c r="IJ22" s="174"/>
      <c r="IK22" s="174"/>
      <c r="IL22" s="174"/>
      <c r="IM22" s="174"/>
      <c r="IN22" s="174"/>
      <c r="IO22" s="174"/>
      <c r="IP22" s="174"/>
      <c r="IQ22" s="174"/>
      <c r="IR22" s="174"/>
      <c r="IS22" s="174"/>
      <c r="IT22" s="174"/>
      <c r="IU22" s="174"/>
      <c r="IV22" s="174"/>
      <c r="IW22" s="174"/>
      <c r="IX22" s="174"/>
      <c r="IY22" s="174"/>
      <c r="IZ22" s="174"/>
      <c r="JA22" s="174"/>
      <c r="JB22" s="174"/>
      <c r="JC22" s="174"/>
      <c r="JD22" s="174"/>
      <c r="JE22" s="174"/>
      <c r="JF22" s="174"/>
      <c r="JG22" s="174"/>
      <c r="JH22" s="174"/>
      <c r="JI22" s="174"/>
      <c r="JJ22" s="174"/>
      <c r="JK22" s="174"/>
      <c r="JL22" s="174"/>
      <c r="JM22" s="174"/>
      <c r="JN22" s="174"/>
      <c r="JO22" s="174"/>
      <c r="JP22" s="174"/>
      <c r="JQ22" s="174"/>
      <c r="JR22" s="174"/>
      <c r="JS22" s="174"/>
      <c r="JT22" s="174"/>
      <c r="JU22" s="174"/>
      <c r="JV22" s="174"/>
    </row>
    <row r="23" spans="1:282" s="146" customFormat="1">
      <c r="A23" s="232"/>
      <c r="B23" s="173"/>
      <c r="C23" s="173"/>
      <c r="D23" s="233"/>
      <c r="E23" s="228"/>
      <c r="F23" s="234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276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3"/>
      <c r="BX23" s="173"/>
      <c r="BY23" s="173"/>
      <c r="BZ23" s="173"/>
      <c r="CA23" s="173"/>
      <c r="CB23" s="173"/>
      <c r="CC23" s="173"/>
      <c r="CD23" s="173"/>
      <c r="CE23" s="173"/>
      <c r="CF23" s="173"/>
      <c r="CG23" s="173"/>
      <c r="CH23" s="173"/>
      <c r="CI23" s="173"/>
      <c r="CJ23" s="173"/>
      <c r="CK23" s="173"/>
      <c r="CL23" s="173"/>
      <c r="CM23" s="173"/>
      <c r="CN23" s="173"/>
      <c r="CO23" s="173"/>
      <c r="CP23" s="173"/>
      <c r="CQ23" s="173"/>
      <c r="CR23" s="151"/>
      <c r="CS23" s="173"/>
      <c r="CT23" s="173"/>
      <c r="CU23" s="173"/>
      <c r="CV23" s="173"/>
      <c r="CW23" s="173"/>
      <c r="CX23" s="173"/>
      <c r="CY23" s="173"/>
      <c r="CZ23" s="173"/>
      <c r="DA23" s="222"/>
      <c r="DB23" s="222"/>
      <c r="DC23" s="222"/>
      <c r="DD23" s="222"/>
      <c r="DE23" s="222"/>
      <c r="DF23" s="222"/>
      <c r="DG23" s="222"/>
      <c r="DH23" s="222"/>
      <c r="DI23" s="222"/>
      <c r="DJ23" s="222"/>
      <c r="DK23" s="222"/>
      <c r="DL23" s="222"/>
      <c r="DM23" s="222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  <c r="EB23" s="174"/>
      <c r="EC23" s="174"/>
      <c r="ED23" s="174"/>
      <c r="EE23" s="174"/>
      <c r="EF23" s="174"/>
      <c r="EG23" s="174"/>
      <c r="EH23" s="174"/>
      <c r="EI23" s="174"/>
      <c r="EJ23" s="174"/>
      <c r="EK23" s="174"/>
      <c r="EL23" s="174"/>
      <c r="EM23" s="174"/>
      <c r="EN23" s="174"/>
      <c r="EO23" s="174"/>
      <c r="EP23" s="174"/>
      <c r="EQ23" s="174"/>
      <c r="ER23" s="174"/>
      <c r="ES23" s="174"/>
      <c r="ET23" s="174"/>
      <c r="EU23" s="174"/>
      <c r="EV23" s="174"/>
      <c r="EW23" s="174"/>
      <c r="EX23" s="174"/>
      <c r="EY23" s="174"/>
      <c r="EZ23" s="174"/>
      <c r="FA23" s="174"/>
      <c r="FB23" s="174"/>
      <c r="FC23" s="174"/>
      <c r="FD23" s="174"/>
      <c r="FE23" s="174"/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  <c r="GH23" s="174"/>
      <c r="GI23" s="174"/>
      <c r="GJ23" s="174"/>
      <c r="GK23" s="174"/>
      <c r="GL23" s="174"/>
      <c r="GM23" s="174"/>
      <c r="GN23" s="174"/>
      <c r="GO23" s="174"/>
      <c r="GP23" s="174"/>
      <c r="GQ23" s="174"/>
      <c r="GR23" s="174"/>
      <c r="GS23" s="174"/>
      <c r="GT23" s="174"/>
      <c r="GU23" s="174"/>
      <c r="GV23" s="174"/>
      <c r="GW23" s="174"/>
      <c r="GX23" s="174"/>
      <c r="GY23" s="174"/>
      <c r="GZ23" s="174"/>
      <c r="HA23" s="174"/>
      <c r="HB23" s="174"/>
      <c r="HC23" s="174"/>
      <c r="HD23" s="174"/>
      <c r="HE23" s="174"/>
      <c r="HF23" s="174"/>
      <c r="HG23" s="174"/>
      <c r="HH23" s="174"/>
      <c r="HI23" s="174"/>
      <c r="HJ23" s="174"/>
      <c r="HK23" s="174"/>
      <c r="HL23" s="174"/>
      <c r="HM23" s="174"/>
      <c r="HN23" s="174"/>
      <c r="HO23" s="174"/>
      <c r="HP23" s="174"/>
      <c r="HQ23" s="174"/>
      <c r="HR23" s="174"/>
      <c r="HS23" s="174"/>
      <c r="HT23" s="174"/>
      <c r="HU23" s="174"/>
      <c r="HV23" s="174"/>
      <c r="HW23" s="174"/>
      <c r="HX23" s="174"/>
      <c r="HY23" s="174"/>
      <c r="HZ23" s="174"/>
      <c r="IA23" s="174"/>
      <c r="IB23" s="174"/>
      <c r="IC23" s="174"/>
      <c r="ID23" s="174"/>
      <c r="IE23" s="174"/>
      <c r="IF23" s="174"/>
      <c r="IG23" s="174"/>
      <c r="IH23" s="174"/>
      <c r="II23" s="174"/>
      <c r="IJ23" s="174"/>
      <c r="IK23" s="174"/>
      <c r="IL23" s="174"/>
      <c r="IM23" s="174"/>
      <c r="IN23" s="174"/>
      <c r="IO23" s="174"/>
      <c r="IP23" s="174"/>
      <c r="IQ23" s="174"/>
      <c r="IR23" s="174"/>
      <c r="IS23" s="174"/>
      <c r="IT23" s="174"/>
      <c r="IU23" s="174"/>
      <c r="IV23" s="174"/>
      <c r="IW23" s="174"/>
      <c r="IX23" s="174"/>
      <c r="IY23" s="174"/>
      <c r="IZ23" s="174"/>
      <c r="JA23" s="174"/>
      <c r="JB23" s="174"/>
      <c r="JC23" s="174"/>
      <c r="JD23" s="174"/>
      <c r="JE23" s="174"/>
      <c r="JF23" s="174"/>
      <c r="JG23" s="174"/>
      <c r="JH23" s="174"/>
      <c r="JI23" s="174"/>
      <c r="JJ23" s="174"/>
      <c r="JK23" s="174"/>
      <c r="JL23" s="174"/>
      <c r="JM23" s="174"/>
      <c r="JN23" s="174"/>
      <c r="JO23" s="174"/>
      <c r="JP23" s="174"/>
      <c r="JQ23" s="174"/>
      <c r="JR23" s="174"/>
      <c r="JS23" s="174"/>
      <c r="JT23" s="174"/>
      <c r="JU23" s="174"/>
      <c r="JV23" s="174"/>
    </row>
    <row r="24" spans="1:282" s="146" customFormat="1">
      <c r="A24" s="232"/>
      <c r="B24" s="173"/>
      <c r="C24" s="173"/>
      <c r="D24" s="233"/>
      <c r="E24" s="228"/>
      <c r="F24" s="234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277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N24" s="173"/>
      <c r="CO24" s="173"/>
      <c r="CP24" s="173"/>
      <c r="CQ24" s="173"/>
      <c r="CR24" s="151"/>
      <c r="CS24" s="173"/>
      <c r="CT24" s="173"/>
      <c r="CU24" s="173"/>
      <c r="CV24" s="173"/>
      <c r="CW24" s="173"/>
      <c r="CX24" s="173"/>
      <c r="CY24" s="173"/>
      <c r="CZ24" s="173"/>
      <c r="DA24" s="222"/>
      <c r="DB24" s="222"/>
      <c r="DC24" s="222"/>
      <c r="DD24" s="222"/>
      <c r="DE24" s="222"/>
      <c r="DF24" s="222"/>
      <c r="DG24" s="222"/>
      <c r="DH24" s="222"/>
      <c r="DI24" s="222"/>
      <c r="DJ24" s="222"/>
      <c r="DK24" s="222"/>
      <c r="DL24" s="222"/>
      <c r="DM24" s="222"/>
      <c r="DN24" s="174"/>
      <c r="DO24" s="174"/>
      <c r="DP24" s="174"/>
      <c r="DQ24" s="174"/>
      <c r="DR24" s="174"/>
      <c r="DS24" s="174"/>
      <c r="DT24" s="174"/>
      <c r="DU24" s="174"/>
      <c r="DV24" s="174"/>
      <c r="DW24" s="174"/>
      <c r="DX24" s="174"/>
      <c r="DY24" s="174"/>
      <c r="DZ24" s="174"/>
      <c r="EA24" s="174"/>
      <c r="EB24" s="174"/>
      <c r="EC24" s="174"/>
      <c r="ED24" s="174"/>
      <c r="EE24" s="174"/>
      <c r="EF24" s="174"/>
      <c r="EG24" s="174"/>
      <c r="EH24" s="174"/>
      <c r="EI24" s="174"/>
      <c r="EJ24" s="174"/>
      <c r="EK24" s="174"/>
      <c r="EL24" s="174"/>
      <c r="EM24" s="174"/>
      <c r="EN24" s="174"/>
      <c r="EO24" s="174"/>
      <c r="EP24" s="174"/>
      <c r="EQ24" s="174"/>
      <c r="ER24" s="174"/>
      <c r="ES24" s="174"/>
      <c r="ET24" s="174"/>
      <c r="EU24" s="174"/>
      <c r="EV24" s="174"/>
      <c r="EW24" s="174"/>
      <c r="EX24" s="174"/>
      <c r="EY24" s="174"/>
      <c r="EZ24" s="174"/>
      <c r="FA24" s="174"/>
      <c r="FB24" s="174"/>
      <c r="FC24" s="174"/>
      <c r="FD24" s="174"/>
      <c r="FE24" s="174"/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  <c r="GH24" s="174"/>
      <c r="GI24" s="174"/>
      <c r="GJ24" s="174"/>
      <c r="GK24" s="174"/>
      <c r="GL24" s="174"/>
      <c r="GM24" s="174"/>
      <c r="GN24" s="174"/>
      <c r="GO24" s="174"/>
      <c r="GP24" s="174"/>
      <c r="GQ24" s="174"/>
      <c r="GR24" s="174"/>
      <c r="GS24" s="174"/>
      <c r="GT24" s="174"/>
      <c r="GU24" s="174"/>
      <c r="GV24" s="174"/>
      <c r="GW24" s="174"/>
      <c r="GX24" s="174"/>
      <c r="GY24" s="174"/>
      <c r="GZ24" s="174"/>
      <c r="HA24" s="174"/>
      <c r="HB24" s="174"/>
      <c r="HC24" s="174"/>
      <c r="HD24" s="174"/>
      <c r="HE24" s="174"/>
      <c r="HF24" s="174"/>
      <c r="HG24" s="174"/>
      <c r="HH24" s="174"/>
      <c r="HI24" s="174"/>
      <c r="HJ24" s="174"/>
      <c r="HK24" s="174"/>
      <c r="HL24" s="174"/>
      <c r="HM24" s="174"/>
      <c r="HN24" s="174"/>
      <c r="HO24" s="174"/>
      <c r="HP24" s="174"/>
      <c r="HQ24" s="174"/>
      <c r="HR24" s="174"/>
      <c r="HS24" s="174"/>
      <c r="HT24" s="174"/>
      <c r="HU24" s="174"/>
      <c r="HV24" s="174"/>
      <c r="HW24" s="174"/>
      <c r="HX24" s="174"/>
      <c r="HY24" s="174"/>
      <c r="HZ24" s="174"/>
      <c r="IA24" s="174"/>
      <c r="IB24" s="174"/>
      <c r="IC24" s="174"/>
      <c r="ID24" s="174"/>
      <c r="IE24" s="174"/>
      <c r="IF24" s="174"/>
      <c r="IG24" s="174"/>
      <c r="IH24" s="174"/>
      <c r="II24" s="174"/>
      <c r="IJ24" s="174"/>
      <c r="IK24" s="174"/>
      <c r="IL24" s="174"/>
      <c r="IM24" s="174"/>
      <c r="IN24" s="174"/>
      <c r="IO24" s="174"/>
      <c r="IP24" s="174"/>
      <c r="IQ24" s="174"/>
      <c r="IR24" s="174"/>
      <c r="IS24" s="174"/>
      <c r="IT24" s="174"/>
      <c r="IU24" s="174"/>
      <c r="IV24" s="174"/>
      <c r="IW24" s="174"/>
      <c r="IX24" s="174"/>
      <c r="IY24" s="174"/>
      <c r="IZ24" s="174"/>
      <c r="JA24" s="174"/>
      <c r="JB24" s="174"/>
      <c r="JC24" s="174"/>
      <c r="JD24" s="174"/>
      <c r="JE24" s="174"/>
      <c r="JF24" s="174"/>
      <c r="JG24" s="174"/>
      <c r="JH24" s="174"/>
      <c r="JI24" s="174"/>
      <c r="JJ24" s="174"/>
      <c r="JK24" s="174"/>
      <c r="JL24" s="174"/>
      <c r="JM24" s="174"/>
      <c r="JN24" s="174"/>
      <c r="JO24" s="174"/>
      <c r="JP24" s="174"/>
      <c r="JQ24" s="174"/>
      <c r="JR24" s="174"/>
      <c r="JS24" s="174"/>
      <c r="JT24" s="174"/>
      <c r="JU24" s="174"/>
      <c r="JV24" s="174"/>
    </row>
    <row r="25" spans="1:282" s="146" customFormat="1">
      <c r="A25" s="232"/>
      <c r="D25" s="233"/>
      <c r="E25" s="228"/>
      <c r="F25" s="234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277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3"/>
      <c r="BT25" s="173"/>
      <c r="BU25" s="173"/>
      <c r="BV25" s="173"/>
      <c r="BW25" s="173"/>
      <c r="BX25" s="173"/>
      <c r="BY25" s="173"/>
      <c r="BZ25" s="173"/>
      <c r="CA25" s="173"/>
      <c r="CB25" s="173"/>
      <c r="CC25" s="173"/>
      <c r="CD25" s="173"/>
      <c r="CE25" s="173"/>
      <c r="CF25" s="173"/>
      <c r="CG25" s="173"/>
      <c r="CH25" s="173"/>
      <c r="CI25" s="173"/>
      <c r="CJ25" s="173"/>
      <c r="CK25" s="173"/>
      <c r="CL25" s="173"/>
      <c r="CM25" s="173"/>
      <c r="CN25" s="173"/>
      <c r="CO25" s="173"/>
      <c r="CP25" s="173"/>
      <c r="CQ25" s="173"/>
      <c r="CR25" s="151"/>
      <c r="CS25" s="173"/>
      <c r="CT25" s="173"/>
      <c r="CU25" s="173"/>
      <c r="CV25" s="173"/>
      <c r="CW25" s="173"/>
      <c r="CX25" s="173"/>
      <c r="CY25" s="173"/>
      <c r="CZ25" s="173"/>
      <c r="DA25" s="222"/>
      <c r="DB25" s="222"/>
      <c r="DC25" s="222"/>
      <c r="DD25" s="222"/>
      <c r="DE25" s="222"/>
      <c r="DF25" s="222"/>
      <c r="DG25" s="222"/>
      <c r="DH25" s="222"/>
      <c r="DI25" s="222"/>
      <c r="DJ25" s="222"/>
      <c r="DK25" s="222"/>
      <c r="DL25" s="222"/>
      <c r="DM25" s="222"/>
      <c r="DN25" s="174"/>
      <c r="DO25" s="174"/>
      <c r="DP25" s="174"/>
      <c r="DQ25" s="174"/>
      <c r="DR25" s="174"/>
      <c r="DS25" s="174"/>
      <c r="DT25" s="174"/>
      <c r="DU25" s="174"/>
      <c r="DV25" s="174"/>
      <c r="DW25" s="174"/>
      <c r="DX25" s="174"/>
      <c r="DY25" s="174"/>
      <c r="DZ25" s="174"/>
      <c r="EA25" s="174"/>
      <c r="EB25" s="174"/>
      <c r="EC25" s="174"/>
      <c r="ED25" s="174"/>
      <c r="EE25" s="174"/>
      <c r="EF25" s="174"/>
      <c r="EG25" s="174"/>
      <c r="EH25" s="174"/>
      <c r="EI25" s="174"/>
      <c r="EJ25" s="174"/>
      <c r="EK25" s="174"/>
      <c r="EL25" s="174"/>
      <c r="EM25" s="174"/>
      <c r="EN25" s="174"/>
      <c r="EO25" s="174"/>
      <c r="EP25" s="174"/>
      <c r="EQ25" s="174"/>
      <c r="ER25" s="174"/>
      <c r="ES25" s="174"/>
      <c r="ET25" s="174"/>
      <c r="EU25" s="174"/>
      <c r="EV25" s="174"/>
      <c r="EW25" s="174"/>
      <c r="EX25" s="174"/>
      <c r="EY25" s="174"/>
      <c r="EZ25" s="174"/>
      <c r="FA25" s="174"/>
      <c r="FB25" s="174"/>
      <c r="FC25" s="174"/>
      <c r="FD25" s="174"/>
      <c r="FE25" s="174"/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  <c r="GH25" s="174"/>
      <c r="GI25" s="174"/>
      <c r="GJ25" s="174"/>
      <c r="GK25" s="174"/>
      <c r="GL25" s="174"/>
      <c r="GM25" s="174"/>
      <c r="GN25" s="174"/>
      <c r="GO25" s="174"/>
      <c r="GP25" s="174"/>
      <c r="GQ25" s="174"/>
      <c r="GR25" s="174"/>
      <c r="GS25" s="174"/>
      <c r="GT25" s="174"/>
      <c r="GU25" s="174"/>
      <c r="GV25" s="174"/>
      <c r="GW25" s="174"/>
      <c r="GX25" s="174"/>
      <c r="GY25" s="174"/>
      <c r="GZ25" s="174"/>
      <c r="HA25" s="174"/>
      <c r="HB25" s="174"/>
      <c r="HC25" s="174"/>
      <c r="HD25" s="174"/>
      <c r="HE25" s="174"/>
      <c r="HF25" s="174"/>
      <c r="HG25" s="174"/>
      <c r="HH25" s="174"/>
      <c r="HI25" s="174"/>
      <c r="HJ25" s="174"/>
      <c r="HK25" s="174"/>
      <c r="HL25" s="174"/>
      <c r="HM25" s="174"/>
      <c r="HN25" s="174"/>
      <c r="HO25" s="174"/>
      <c r="HP25" s="174"/>
      <c r="HQ25" s="174"/>
      <c r="HR25" s="174"/>
      <c r="HS25" s="174"/>
      <c r="HT25" s="174"/>
      <c r="HU25" s="174"/>
      <c r="HV25" s="174"/>
      <c r="HW25" s="174"/>
      <c r="HX25" s="174"/>
      <c r="HY25" s="174"/>
      <c r="HZ25" s="174"/>
      <c r="IA25" s="174"/>
      <c r="IB25" s="174"/>
      <c r="IC25" s="174"/>
      <c r="ID25" s="174"/>
      <c r="IE25" s="174"/>
      <c r="IF25" s="174"/>
      <c r="IG25" s="174"/>
      <c r="IH25" s="174"/>
      <c r="II25" s="174"/>
      <c r="IJ25" s="174"/>
      <c r="IK25" s="174"/>
      <c r="IL25" s="174"/>
      <c r="IM25" s="174"/>
      <c r="IN25" s="174"/>
      <c r="IO25" s="174"/>
      <c r="IP25" s="174"/>
      <c r="IQ25" s="174"/>
      <c r="IR25" s="174"/>
      <c r="IS25" s="174"/>
      <c r="IT25" s="174"/>
      <c r="IU25" s="174"/>
      <c r="IV25" s="174"/>
      <c r="IW25" s="174"/>
      <c r="IX25" s="174"/>
      <c r="IY25" s="174"/>
      <c r="IZ25" s="174"/>
      <c r="JA25" s="174"/>
      <c r="JB25" s="174"/>
      <c r="JC25" s="174"/>
      <c r="JD25" s="174"/>
      <c r="JE25" s="174"/>
      <c r="JF25" s="174"/>
      <c r="JG25" s="174"/>
      <c r="JH25" s="174"/>
      <c r="JI25" s="174"/>
      <c r="JJ25" s="174"/>
      <c r="JK25" s="174"/>
      <c r="JL25" s="174"/>
      <c r="JM25" s="174"/>
      <c r="JN25" s="174"/>
      <c r="JO25" s="174"/>
      <c r="JP25" s="174"/>
      <c r="JQ25" s="174"/>
      <c r="JR25" s="174"/>
      <c r="JS25" s="174"/>
      <c r="JT25" s="174"/>
      <c r="JU25" s="174"/>
      <c r="JV25" s="174"/>
    </row>
    <row r="26" spans="1:282" s="146" customFormat="1">
      <c r="A26" s="232"/>
      <c r="D26" s="233"/>
      <c r="E26" s="228"/>
      <c r="F26" s="234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277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73"/>
      <c r="BS26" s="173"/>
      <c r="BT26" s="173"/>
      <c r="BU26" s="173"/>
      <c r="BV26" s="173"/>
      <c r="BW26" s="173"/>
      <c r="BX26" s="173"/>
      <c r="BY26" s="173"/>
      <c r="BZ26" s="173"/>
      <c r="CA26" s="173"/>
      <c r="CB26" s="173"/>
      <c r="CC26" s="173"/>
      <c r="CD26" s="173"/>
      <c r="CE26" s="173"/>
      <c r="CF26" s="173"/>
      <c r="CG26" s="173"/>
      <c r="CH26" s="173"/>
      <c r="CI26" s="173"/>
      <c r="CJ26" s="173"/>
      <c r="CK26" s="173"/>
      <c r="CL26" s="173"/>
      <c r="CM26" s="173"/>
      <c r="CN26" s="173"/>
      <c r="CO26" s="173"/>
      <c r="CP26" s="173"/>
      <c r="CQ26" s="173"/>
      <c r="CR26" s="151"/>
      <c r="CS26" s="173"/>
      <c r="CT26" s="173"/>
      <c r="CU26" s="173"/>
      <c r="CV26" s="173"/>
      <c r="CW26" s="173"/>
      <c r="CX26" s="173"/>
      <c r="CY26" s="173"/>
      <c r="CZ26" s="173"/>
      <c r="DA26" s="222"/>
      <c r="DB26" s="222"/>
      <c r="DC26" s="222"/>
      <c r="DD26" s="222"/>
      <c r="DE26" s="222"/>
      <c r="DF26" s="222"/>
      <c r="DG26" s="222"/>
      <c r="DH26" s="222"/>
      <c r="DI26" s="222"/>
      <c r="DJ26" s="222"/>
      <c r="DK26" s="222"/>
      <c r="DL26" s="222"/>
      <c r="DM26" s="222"/>
      <c r="DN26" s="174"/>
      <c r="DO26" s="174"/>
      <c r="DP26" s="174"/>
      <c r="DQ26" s="174"/>
      <c r="DR26" s="174"/>
      <c r="DS26" s="174"/>
      <c r="DT26" s="174"/>
      <c r="DU26" s="174"/>
      <c r="DV26" s="174"/>
      <c r="DW26" s="174"/>
      <c r="DX26" s="174"/>
      <c r="DY26" s="174"/>
      <c r="DZ26" s="174"/>
      <c r="EA26" s="174"/>
      <c r="EB26" s="174"/>
      <c r="EC26" s="174"/>
      <c r="ED26" s="174"/>
      <c r="EE26" s="174"/>
      <c r="EF26" s="174"/>
      <c r="EG26" s="174"/>
      <c r="EH26" s="174"/>
      <c r="EI26" s="174"/>
      <c r="EJ26" s="174"/>
      <c r="EK26" s="174"/>
      <c r="EL26" s="174"/>
      <c r="EM26" s="174"/>
      <c r="EN26" s="174"/>
      <c r="EO26" s="174"/>
      <c r="EP26" s="174"/>
      <c r="EQ26" s="174"/>
      <c r="ER26" s="174"/>
      <c r="ES26" s="174"/>
      <c r="ET26" s="174"/>
      <c r="EU26" s="174"/>
      <c r="EV26" s="174"/>
      <c r="EW26" s="174"/>
      <c r="EX26" s="174"/>
      <c r="EY26" s="174"/>
      <c r="EZ26" s="174"/>
      <c r="FA26" s="174"/>
      <c r="FB26" s="174"/>
      <c r="FC26" s="174"/>
      <c r="FD26" s="174"/>
      <c r="FE26" s="174"/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  <c r="GH26" s="174"/>
      <c r="GI26" s="174"/>
      <c r="GJ26" s="174"/>
      <c r="GK26" s="174"/>
      <c r="GL26" s="174"/>
      <c r="GM26" s="174"/>
      <c r="GN26" s="174"/>
      <c r="GO26" s="174"/>
      <c r="GP26" s="174"/>
      <c r="GQ26" s="174"/>
      <c r="GR26" s="174"/>
      <c r="GS26" s="174"/>
      <c r="GT26" s="174"/>
      <c r="GU26" s="174"/>
      <c r="GV26" s="174"/>
      <c r="GW26" s="174"/>
      <c r="GX26" s="174"/>
      <c r="GY26" s="174"/>
      <c r="GZ26" s="174"/>
      <c r="HA26" s="174"/>
      <c r="HB26" s="174"/>
      <c r="HC26" s="174"/>
      <c r="HD26" s="174"/>
      <c r="HE26" s="174"/>
      <c r="HF26" s="174"/>
      <c r="HG26" s="174"/>
      <c r="HH26" s="174"/>
      <c r="HI26" s="174"/>
      <c r="HJ26" s="174"/>
      <c r="HK26" s="174"/>
      <c r="HL26" s="174"/>
      <c r="HM26" s="174"/>
      <c r="HN26" s="174"/>
      <c r="HO26" s="174"/>
      <c r="HP26" s="174"/>
      <c r="HQ26" s="174"/>
      <c r="HR26" s="174"/>
      <c r="HS26" s="174"/>
      <c r="HT26" s="174"/>
      <c r="HU26" s="174"/>
      <c r="HV26" s="174"/>
      <c r="HW26" s="174"/>
      <c r="HX26" s="174"/>
      <c r="HY26" s="174"/>
      <c r="HZ26" s="174"/>
      <c r="IA26" s="174"/>
      <c r="IB26" s="174"/>
      <c r="IC26" s="174"/>
      <c r="ID26" s="174"/>
      <c r="IE26" s="174"/>
      <c r="IF26" s="174"/>
      <c r="IG26" s="174"/>
      <c r="IH26" s="174"/>
      <c r="II26" s="174"/>
      <c r="IJ26" s="174"/>
      <c r="IK26" s="174"/>
      <c r="IL26" s="174"/>
      <c r="IM26" s="174"/>
      <c r="IN26" s="174"/>
      <c r="IO26" s="174"/>
      <c r="IP26" s="174"/>
      <c r="IQ26" s="174"/>
      <c r="IR26" s="174"/>
      <c r="IS26" s="174"/>
      <c r="IT26" s="174"/>
      <c r="IU26" s="174"/>
      <c r="IV26" s="174"/>
      <c r="IW26" s="174"/>
      <c r="IX26" s="174"/>
      <c r="IY26" s="174"/>
      <c r="IZ26" s="174"/>
      <c r="JA26" s="174"/>
      <c r="JB26" s="174"/>
      <c r="JC26" s="174"/>
      <c r="JD26" s="174"/>
      <c r="JE26" s="174"/>
      <c r="JF26" s="174"/>
      <c r="JG26" s="174"/>
      <c r="JH26" s="174"/>
      <c r="JI26" s="174"/>
      <c r="JJ26" s="174"/>
      <c r="JK26" s="174"/>
      <c r="JL26" s="174"/>
      <c r="JM26" s="174"/>
      <c r="JN26" s="174"/>
      <c r="JO26" s="174"/>
      <c r="JP26" s="174"/>
      <c r="JQ26" s="174"/>
      <c r="JR26" s="174"/>
      <c r="JS26" s="174"/>
      <c r="JT26" s="174"/>
      <c r="JU26" s="174"/>
      <c r="JV26" s="174"/>
    </row>
    <row r="27" spans="1:282" s="146" customFormat="1">
      <c r="A27" s="232"/>
      <c r="B27" s="173"/>
      <c r="C27" s="173"/>
      <c r="D27" s="233"/>
      <c r="E27" s="228"/>
      <c r="F27" s="234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277"/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173"/>
      <c r="BP27" s="173"/>
      <c r="BQ27" s="173"/>
      <c r="BR27" s="173"/>
      <c r="BS27" s="173"/>
      <c r="BT27" s="173"/>
      <c r="BU27" s="173"/>
      <c r="BV27" s="173"/>
      <c r="BW27" s="173"/>
      <c r="BX27" s="173"/>
      <c r="BY27" s="173"/>
      <c r="BZ27" s="173"/>
      <c r="CA27" s="173"/>
      <c r="CB27" s="173"/>
      <c r="CC27" s="173"/>
      <c r="CD27" s="173"/>
      <c r="CE27" s="173"/>
      <c r="CF27" s="173"/>
      <c r="CG27" s="173"/>
      <c r="CH27" s="173"/>
      <c r="CI27" s="173"/>
      <c r="CJ27" s="173"/>
      <c r="CK27" s="173"/>
      <c r="CL27" s="173"/>
      <c r="CM27" s="173"/>
      <c r="CN27" s="173"/>
      <c r="CO27" s="173"/>
      <c r="CP27" s="173"/>
      <c r="CQ27" s="173"/>
      <c r="CR27" s="151"/>
      <c r="CS27" s="173"/>
      <c r="CT27" s="173"/>
      <c r="CU27" s="173"/>
      <c r="CV27" s="173"/>
      <c r="CW27" s="173"/>
      <c r="CX27" s="173"/>
      <c r="CY27" s="173"/>
      <c r="CZ27" s="173"/>
      <c r="DA27" s="222"/>
      <c r="DB27" s="222"/>
      <c r="DC27" s="222"/>
      <c r="DD27" s="222"/>
      <c r="DE27" s="222"/>
      <c r="DF27" s="222"/>
      <c r="DG27" s="222"/>
      <c r="DH27" s="222"/>
      <c r="DI27" s="222"/>
      <c r="DJ27" s="222"/>
      <c r="DK27" s="222"/>
      <c r="DL27" s="222"/>
      <c r="DM27" s="222"/>
      <c r="DN27" s="174"/>
      <c r="DO27" s="174"/>
      <c r="DP27" s="174"/>
      <c r="DQ27" s="174"/>
      <c r="DR27" s="174"/>
      <c r="DS27" s="174"/>
      <c r="DT27" s="174"/>
      <c r="DU27" s="174"/>
      <c r="DV27" s="174"/>
      <c r="DW27" s="174"/>
      <c r="DX27" s="174"/>
      <c r="DY27" s="174"/>
      <c r="DZ27" s="174"/>
      <c r="EA27" s="174"/>
      <c r="EB27" s="174"/>
      <c r="EC27" s="174"/>
      <c r="ED27" s="174"/>
      <c r="EE27" s="174"/>
      <c r="EF27" s="174"/>
      <c r="EG27" s="174"/>
      <c r="EH27" s="174"/>
      <c r="EI27" s="174"/>
      <c r="EJ27" s="174"/>
      <c r="EK27" s="174"/>
      <c r="EL27" s="174"/>
      <c r="EM27" s="174"/>
      <c r="EN27" s="174"/>
      <c r="EO27" s="174"/>
      <c r="EP27" s="174"/>
      <c r="EQ27" s="174"/>
      <c r="ER27" s="174"/>
      <c r="ES27" s="174"/>
      <c r="ET27" s="174"/>
      <c r="EU27" s="174"/>
      <c r="EV27" s="174"/>
      <c r="EW27" s="174"/>
      <c r="EX27" s="174"/>
      <c r="EY27" s="174"/>
      <c r="EZ27" s="174"/>
      <c r="FA27" s="174"/>
      <c r="FB27" s="174"/>
      <c r="FC27" s="174"/>
      <c r="FD27" s="174"/>
      <c r="FE27" s="174"/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  <c r="GH27" s="174"/>
      <c r="GI27" s="174"/>
      <c r="GJ27" s="174"/>
      <c r="GK27" s="174"/>
      <c r="GL27" s="174"/>
      <c r="GM27" s="174"/>
      <c r="GN27" s="174"/>
      <c r="GO27" s="174"/>
      <c r="GP27" s="174"/>
      <c r="GQ27" s="174"/>
      <c r="GR27" s="174"/>
      <c r="GS27" s="174"/>
      <c r="GT27" s="174"/>
      <c r="GU27" s="174"/>
      <c r="GV27" s="174"/>
      <c r="GW27" s="174"/>
      <c r="GX27" s="174"/>
      <c r="GY27" s="174"/>
      <c r="GZ27" s="174"/>
      <c r="HA27" s="174"/>
      <c r="HB27" s="174"/>
      <c r="HC27" s="174"/>
      <c r="HD27" s="174"/>
      <c r="HE27" s="174"/>
      <c r="HF27" s="174"/>
      <c r="HG27" s="174"/>
      <c r="HH27" s="174"/>
      <c r="HI27" s="174"/>
      <c r="HJ27" s="174"/>
      <c r="HK27" s="174"/>
      <c r="HL27" s="174"/>
      <c r="HM27" s="174"/>
      <c r="HN27" s="174"/>
      <c r="HO27" s="174"/>
      <c r="HP27" s="174"/>
      <c r="HQ27" s="174"/>
      <c r="HR27" s="174"/>
      <c r="HS27" s="174"/>
      <c r="HT27" s="174"/>
      <c r="HU27" s="174"/>
      <c r="HV27" s="174"/>
      <c r="HW27" s="174"/>
      <c r="HX27" s="174"/>
      <c r="HY27" s="174"/>
      <c r="HZ27" s="174"/>
      <c r="IA27" s="174"/>
      <c r="IB27" s="174"/>
      <c r="IC27" s="174"/>
      <c r="ID27" s="174"/>
      <c r="IE27" s="174"/>
      <c r="IF27" s="174"/>
      <c r="IG27" s="174"/>
      <c r="IH27" s="174"/>
      <c r="II27" s="174"/>
      <c r="IJ27" s="174"/>
      <c r="IK27" s="174"/>
      <c r="IL27" s="174"/>
      <c r="IM27" s="174"/>
      <c r="IN27" s="174"/>
      <c r="IO27" s="174"/>
      <c r="IP27" s="174"/>
      <c r="IQ27" s="174"/>
      <c r="IR27" s="174"/>
      <c r="IS27" s="174"/>
      <c r="IT27" s="174"/>
      <c r="IU27" s="174"/>
      <c r="IV27" s="174"/>
      <c r="IW27" s="174"/>
      <c r="IX27" s="174"/>
      <c r="IY27" s="174"/>
      <c r="IZ27" s="174"/>
      <c r="JA27" s="174"/>
      <c r="JB27" s="174"/>
      <c r="JC27" s="174"/>
      <c r="JD27" s="174"/>
      <c r="JE27" s="174"/>
      <c r="JF27" s="174"/>
      <c r="JG27" s="174"/>
      <c r="JH27" s="174"/>
      <c r="JI27" s="174"/>
      <c r="JJ27" s="174"/>
      <c r="JK27" s="174"/>
      <c r="JL27" s="174"/>
      <c r="JM27" s="174"/>
      <c r="JN27" s="174"/>
      <c r="JO27" s="174"/>
      <c r="JP27" s="174"/>
      <c r="JQ27" s="174"/>
      <c r="JR27" s="174"/>
      <c r="JS27" s="174"/>
      <c r="JT27" s="174"/>
      <c r="JU27" s="174"/>
      <c r="JV27" s="174"/>
    </row>
    <row r="28" spans="1:282" s="146" customFormat="1">
      <c r="A28" s="232"/>
      <c r="B28" s="173"/>
      <c r="D28" s="233"/>
      <c r="E28" s="228"/>
      <c r="F28" s="234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277"/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173"/>
      <c r="BP28" s="173"/>
      <c r="BQ28" s="173"/>
      <c r="BR28" s="173"/>
      <c r="BS28" s="173"/>
      <c r="BT28" s="173"/>
      <c r="BU28" s="173"/>
      <c r="BV28" s="173"/>
      <c r="BW28" s="173"/>
      <c r="BX28" s="173"/>
      <c r="BY28" s="173"/>
      <c r="BZ28" s="173"/>
      <c r="CA28" s="173"/>
      <c r="CB28" s="173"/>
      <c r="CC28" s="173"/>
      <c r="CD28" s="173"/>
      <c r="CE28" s="173"/>
      <c r="CF28" s="173"/>
      <c r="CG28" s="173"/>
      <c r="CH28" s="173"/>
      <c r="CI28" s="173"/>
      <c r="CJ28" s="173"/>
      <c r="CK28" s="173"/>
      <c r="CL28" s="173"/>
      <c r="CM28" s="173"/>
      <c r="CN28" s="173"/>
      <c r="CO28" s="173"/>
      <c r="CP28" s="173"/>
      <c r="CQ28" s="173"/>
      <c r="CR28" s="151"/>
      <c r="CS28" s="173"/>
      <c r="CT28" s="173"/>
      <c r="CU28" s="173"/>
      <c r="CV28" s="173"/>
      <c r="CW28" s="173"/>
      <c r="CX28" s="173"/>
      <c r="CY28" s="173"/>
      <c r="CZ28" s="173"/>
      <c r="DA28" s="222"/>
      <c r="DB28" s="222"/>
      <c r="DC28" s="222"/>
      <c r="DD28" s="222"/>
      <c r="DE28" s="222"/>
      <c r="DF28" s="222"/>
      <c r="DG28" s="222"/>
      <c r="DH28" s="222"/>
      <c r="DI28" s="222"/>
      <c r="DJ28" s="222"/>
      <c r="DK28" s="222"/>
      <c r="DL28" s="222"/>
      <c r="DM28" s="222"/>
      <c r="DN28" s="174"/>
      <c r="DO28" s="174"/>
      <c r="DP28" s="174"/>
      <c r="DQ28" s="174"/>
      <c r="DR28" s="174"/>
      <c r="DS28" s="174"/>
      <c r="DT28" s="174"/>
      <c r="DU28" s="174"/>
      <c r="DV28" s="174"/>
      <c r="DW28" s="174"/>
      <c r="DX28" s="174"/>
      <c r="DY28" s="174"/>
      <c r="DZ28" s="174"/>
      <c r="EA28" s="174"/>
      <c r="EB28" s="174"/>
      <c r="EC28" s="174"/>
      <c r="ED28" s="174"/>
      <c r="EE28" s="174"/>
      <c r="EF28" s="174"/>
      <c r="EG28" s="174"/>
      <c r="EH28" s="174"/>
      <c r="EI28" s="174"/>
      <c r="EJ28" s="174"/>
      <c r="EK28" s="174"/>
      <c r="EL28" s="174"/>
      <c r="EM28" s="174"/>
      <c r="EN28" s="174"/>
      <c r="EO28" s="174"/>
      <c r="EP28" s="174"/>
      <c r="EQ28" s="174"/>
      <c r="ER28" s="174"/>
      <c r="ES28" s="174"/>
      <c r="ET28" s="174"/>
      <c r="EU28" s="174"/>
      <c r="EV28" s="174"/>
      <c r="EW28" s="174"/>
      <c r="EX28" s="174"/>
      <c r="EY28" s="174"/>
      <c r="EZ28" s="174"/>
      <c r="FA28" s="174"/>
      <c r="FB28" s="174"/>
      <c r="FC28" s="174"/>
      <c r="FD28" s="174"/>
      <c r="FE28" s="174"/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  <c r="GH28" s="174"/>
      <c r="GI28" s="174"/>
      <c r="GJ28" s="174"/>
      <c r="GK28" s="174"/>
      <c r="GL28" s="174"/>
      <c r="GM28" s="174"/>
      <c r="GN28" s="174"/>
      <c r="GO28" s="174"/>
      <c r="GP28" s="174"/>
      <c r="GQ28" s="174"/>
      <c r="GR28" s="174"/>
      <c r="GS28" s="174"/>
      <c r="GT28" s="174"/>
      <c r="GU28" s="174"/>
      <c r="GV28" s="174"/>
      <c r="GW28" s="174"/>
      <c r="GX28" s="174"/>
      <c r="GY28" s="174"/>
      <c r="GZ28" s="174"/>
      <c r="HA28" s="174"/>
      <c r="HB28" s="174"/>
      <c r="HC28" s="174"/>
      <c r="HD28" s="174"/>
      <c r="HE28" s="174"/>
      <c r="HF28" s="174"/>
      <c r="HG28" s="174"/>
      <c r="HH28" s="174"/>
      <c r="HI28" s="174"/>
      <c r="HJ28" s="174"/>
      <c r="HK28" s="174"/>
      <c r="HL28" s="174"/>
      <c r="HM28" s="174"/>
      <c r="HN28" s="174"/>
      <c r="HO28" s="174"/>
      <c r="HP28" s="174"/>
      <c r="HQ28" s="174"/>
      <c r="HR28" s="174"/>
      <c r="HS28" s="174"/>
      <c r="HT28" s="174"/>
      <c r="HU28" s="174"/>
      <c r="HV28" s="174"/>
      <c r="HW28" s="174"/>
      <c r="HX28" s="174"/>
      <c r="HY28" s="174"/>
      <c r="HZ28" s="174"/>
      <c r="IA28" s="174"/>
      <c r="IB28" s="174"/>
      <c r="IC28" s="174"/>
      <c r="ID28" s="174"/>
      <c r="IE28" s="174"/>
      <c r="IF28" s="174"/>
      <c r="IG28" s="174"/>
      <c r="IH28" s="174"/>
      <c r="II28" s="174"/>
      <c r="IJ28" s="174"/>
      <c r="IK28" s="174"/>
      <c r="IL28" s="174"/>
      <c r="IM28" s="174"/>
      <c r="IN28" s="174"/>
      <c r="IO28" s="174"/>
      <c r="IP28" s="174"/>
      <c r="IQ28" s="174"/>
      <c r="IR28" s="174"/>
      <c r="IS28" s="174"/>
      <c r="IT28" s="174"/>
      <c r="IU28" s="174"/>
      <c r="IV28" s="174"/>
      <c r="IW28" s="174"/>
      <c r="IX28" s="174"/>
      <c r="IY28" s="174"/>
      <c r="IZ28" s="174"/>
      <c r="JA28" s="174"/>
      <c r="JB28" s="174"/>
      <c r="JC28" s="174"/>
      <c r="JD28" s="174"/>
      <c r="JE28" s="174"/>
      <c r="JF28" s="174"/>
      <c r="JG28" s="174"/>
      <c r="JH28" s="174"/>
      <c r="JI28" s="174"/>
      <c r="JJ28" s="174"/>
      <c r="JK28" s="174"/>
      <c r="JL28" s="174"/>
      <c r="JM28" s="174"/>
      <c r="JN28" s="174"/>
      <c r="JO28" s="174"/>
      <c r="JP28" s="174"/>
      <c r="JQ28" s="174"/>
      <c r="JR28" s="174"/>
      <c r="JS28" s="174"/>
      <c r="JT28" s="174"/>
      <c r="JU28" s="174"/>
      <c r="JV28" s="174"/>
    </row>
    <row r="29" spans="1:282" s="146" customFormat="1">
      <c r="A29" s="232"/>
      <c r="B29" s="173"/>
      <c r="C29" s="228"/>
      <c r="D29" s="233"/>
      <c r="E29" s="228"/>
      <c r="F29" s="234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277"/>
      <c r="BB29" s="173"/>
      <c r="BC29" s="173"/>
      <c r="BD29" s="173"/>
      <c r="BE29" s="173"/>
      <c r="BF29" s="173"/>
      <c r="BG29" s="173"/>
      <c r="BH29" s="173"/>
      <c r="BI29" s="173"/>
      <c r="BJ29" s="173"/>
      <c r="BK29" s="173"/>
      <c r="BL29" s="173"/>
      <c r="BM29" s="173"/>
      <c r="BN29" s="173"/>
      <c r="BO29" s="173"/>
      <c r="BP29" s="173"/>
      <c r="BQ29" s="173"/>
      <c r="BR29" s="173"/>
      <c r="BS29" s="173"/>
      <c r="BT29" s="173"/>
      <c r="BU29" s="173"/>
      <c r="BV29" s="173"/>
      <c r="BW29" s="173"/>
      <c r="BX29" s="173"/>
      <c r="BY29" s="173"/>
      <c r="BZ29" s="173"/>
      <c r="CA29" s="173"/>
      <c r="CB29" s="173"/>
      <c r="CC29" s="173"/>
      <c r="CD29" s="173"/>
      <c r="CE29" s="173"/>
      <c r="CF29" s="173"/>
      <c r="CG29" s="173"/>
      <c r="CH29" s="173"/>
      <c r="CI29" s="173"/>
      <c r="CJ29" s="173"/>
      <c r="CK29" s="173"/>
      <c r="CL29" s="173"/>
      <c r="CM29" s="173"/>
      <c r="CN29" s="173"/>
      <c r="CO29" s="173"/>
      <c r="CP29" s="173"/>
      <c r="CQ29" s="173"/>
      <c r="CR29" s="151"/>
      <c r="CS29" s="173"/>
      <c r="CT29" s="173"/>
      <c r="CU29" s="173"/>
      <c r="CV29" s="173"/>
      <c r="CW29" s="173"/>
      <c r="CX29" s="173"/>
      <c r="CY29" s="173"/>
      <c r="CZ29" s="173"/>
      <c r="DA29" s="222"/>
      <c r="DB29" s="222"/>
      <c r="DC29" s="222"/>
      <c r="DD29" s="222"/>
      <c r="DE29" s="222"/>
      <c r="DF29" s="222"/>
      <c r="DG29" s="222"/>
      <c r="DH29" s="222"/>
      <c r="DI29" s="222"/>
      <c r="DJ29" s="222"/>
      <c r="DK29" s="222"/>
      <c r="DL29" s="222"/>
      <c r="DM29" s="222"/>
      <c r="DN29" s="174"/>
      <c r="DO29" s="174"/>
      <c r="DP29" s="174"/>
      <c r="DQ29" s="174"/>
      <c r="DR29" s="174"/>
      <c r="DS29" s="174"/>
      <c r="DT29" s="174"/>
      <c r="DU29" s="174"/>
      <c r="DV29" s="174"/>
      <c r="DW29" s="174"/>
      <c r="DX29" s="174"/>
      <c r="DY29" s="174"/>
      <c r="DZ29" s="174"/>
      <c r="EA29" s="174"/>
      <c r="EB29" s="174"/>
      <c r="EC29" s="174"/>
      <c r="ED29" s="174"/>
      <c r="EE29" s="174"/>
      <c r="EF29" s="174"/>
      <c r="EG29" s="174"/>
      <c r="EH29" s="174"/>
      <c r="EI29" s="174"/>
      <c r="EJ29" s="174"/>
      <c r="EK29" s="174"/>
      <c r="EL29" s="174"/>
      <c r="EM29" s="174"/>
      <c r="EN29" s="174"/>
      <c r="EO29" s="174"/>
      <c r="EP29" s="174"/>
      <c r="EQ29" s="174"/>
      <c r="ER29" s="174"/>
      <c r="ES29" s="174"/>
      <c r="ET29" s="174"/>
      <c r="EU29" s="174"/>
      <c r="EV29" s="174"/>
      <c r="EW29" s="174"/>
      <c r="EX29" s="174"/>
      <c r="EY29" s="174"/>
      <c r="EZ29" s="174"/>
      <c r="FA29" s="174"/>
      <c r="FB29" s="174"/>
      <c r="FC29" s="174"/>
      <c r="FD29" s="174"/>
      <c r="FE29" s="174"/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  <c r="GH29" s="174"/>
      <c r="GI29" s="174"/>
      <c r="GJ29" s="174"/>
      <c r="GK29" s="174"/>
      <c r="GL29" s="174"/>
      <c r="GM29" s="174"/>
      <c r="GN29" s="174"/>
      <c r="GO29" s="174"/>
      <c r="GP29" s="174"/>
      <c r="GQ29" s="174"/>
      <c r="GR29" s="174"/>
      <c r="GS29" s="174"/>
      <c r="GT29" s="174"/>
      <c r="GU29" s="174"/>
      <c r="GV29" s="174"/>
      <c r="GW29" s="174"/>
      <c r="GX29" s="174"/>
      <c r="GY29" s="174"/>
      <c r="GZ29" s="174"/>
      <c r="HA29" s="174"/>
      <c r="HB29" s="174"/>
      <c r="HC29" s="174"/>
      <c r="HD29" s="174"/>
      <c r="HE29" s="174"/>
      <c r="HF29" s="174"/>
      <c r="HG29" s="174"/>
      <c r="HH29" s="174"/>
      <c r="HI29" s="174"/>
      <c r="HJ29" s="174"/>
      <c r="HK29" s="174"/>
      <c r="HL29" s="174"/>
      <c r="HM29" s="174"/>
      <c r="HN29" s="174"/>
      <c r="HO29" s="174"/>
      <c r="HP29" s="174"/>
      <c r="HQ29" s="174"/>
      <c r="HR29" s="174"/>
      <c r="HS29" s="174"/>
      <c r="HT29" s="174"/>
      <c r="HU29" s="174"/>
      <c r="HV29" s="174"/>
      <c r="HW29" s="174"/>
      <c r="HX29" s="174"/>
      <c r="HY29" s="174"/>
      <c r="HZ29" s="174"/>
      <c r="IA29" s="174"/>
      <c r="IB29" s="174"/>
      <c r="IC29" s="174"/>
      <c r="ID29" s="174"/>
      <c r="IE29" s="174"/>
      <c r="IF29" s="174"/>
      <c r="IG29" s="174"/>
      <c r="IH29" s="174"/>
      <c r="II29" s="174"/>
      <c r="IJ29" s="174"/>
      <c r="IK29" s="174"/>
      <c r="IL29" s="174"/>
      <c r="IM29" s="174"/>
      <c r="IN29" s="174"/>
      <c r="IO29" s="174"/>
      <c r="IP29" s="174"/>
      <c r="IQ29" s="174"/>
      <c r="IR29" s="174"/>
      <c r="IS29" s="174"/>
      <c r="IT29" s="174"/>
      <c r="IU29" s="174"/>
      <c r="IV29" s="174"/>
      <c r="IW29" s="174"/>
      <c r="IX29" s="174"/>
      <c r="IY29" s="174"/>
      <c r="IZ29" s="174"/>
      <c r="JA29" s="174"/>
      <c r="JB29" s="174"/>
      <c r="JC29" s="174"/>
      <c r="JD29" s="174"/>
      <c r="JE29" s="174"/>
      <c r="JF29" s="174"/>
      <c r="JG29" s="174"/>
      <c r="JH29" s="174"/>
      <c r="JI29" s="174"/>
      <c r="JJ29" s="174"/>
      <c r="JK29" s="174"/>
      <c r="JL29" s="174"/>
      <c r="JM29" s="174"/>
      <c r="JN29" s="174"/>
      <c r="JO29" s="174"/>
      <c r="JP29" s="174"/>
      <c r="JQ29" s="174"/>
      <c r="JR29" s="174"/>
      <c r="JS29" s="174"/>
      <c r="JT29" s="174"/>
      <c r="JU29" s="174"/>
      <c r="JV29" s="174"/>
    </row>
    <row r="30" spans="1:282" s="146" customFormat="1">
      <c r="A30" s="232"/>
      <c r="B30" s="173"/>
      <c r="C30" s="228"/>
      <c r="D30" s="233"/>
      <c r="E30" s="228"/>
      <c r="F30" s="234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277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3"/>
      <c r="BV30" s="173"/>
      <c r="BW30" s="173"/>
      <c r="BX30" s="173"/>
      <c r="BY30" s="173"/>
      <c r="BZ30" s="173"/>
      <c r="CA30" s="173"/>
      <c r="CB30" s="173"/>
      <c r="CC30" s="173"/>
      <c r="CD30" s="173"/>
      <c r="CE30" s="173"/>
      <c r="CF30" s="173"/>
      <c r="CG30" s="173"/>
      <c r="CH30" s="173"/>
      <c r="CI30" s="173"/>
      <c r="CJ30" s="173"/>
      <c r="CK30" s="173"/>
      <c r="CL30" s="173"/>
      <c r="CM30" s="173"/>
      <c r="CN30" s="173"/>
      <c r="CO30" s="173"/>
      <c r="CP30" s="173"/>
      <c r="CQ30" s="173"/>
      <c r="CR30" s="151"/>
      <c r="CS30" s="173"/>
      <c r="CT30" s="173"/>
      <c r="CU30" s="173"/>
      <c r="CV30" s="173"/>
      <c r="CW30" s="173"/>
      <c r="CX30" s="173"/>
      <c r="CY30" s="173"/>
      <c r="CZ30" s="173"/>
      <c r="DA30" s="222"/>
      <c r="DB30" s="222"/>
      <c r="DC30" s="222"/>
      <c r="DD30" s="222"/>
      <c r="DE30" s="222"/>
      <c r="DF30" s="222"/>
      <c r="DG30" s="222"/>
      <c r="DH30" s="222"/>
      <c r="DI30" s="222"/>
      <c r="DJ30" s="222"/>
      <c r="DK30" s="222"/>
      <c r="DL30" s="222"/>
      <c r="DM30" s="222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4"/>
      <c r="EB30" s="174"/>
      <c r="EC30" s="174"/>
      <c r="ED30" s="174"/>
      <c r="EE30" s="174"/>
      <c r="EF30" s="174"/>
      <c r="EG30" s="174"/>
      <c r="EH30" s="174"/>
      <c r="EI30" s="174"/>
      <c r="EJ30" s="174"/>
      <c r="EK30" s="174"/>
      <c r="EL30" s="174"/>
      <c r="EM30" s="174"/>
      <c r="EN30" s="174"/>
      <c r="EO30" s="174"/>
      <c r="EP30" s="174"/>
      <c r="EQ30" s="174"/>
      <c r="ER30" s="174"/>
      <c r="ES30" s="174"/>
      <c r="ET30" s="174"/>
      <c r="EU30" s="174"/>
      <c r="EV30" s="174"/>
      <c r="EW30" s="174"/>
      <c r="EX30" s="174"/>
      <c r="EY30" s="174"/>
      <c r="EZ30" s="174"/>
      <c r="FA30" s="174"/>
      <c r="FB30" s="174"/>
      <c r="FC30" s="174"/>
      <c r="FD30" s="174"/>
      <c r="FE30" s="174"/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  <c r="GH30" s="174"/>
      <c r="GI30" s="174"/>
      <c r="GJ30" s="174"/>
      <c r="GK30" s="174"/>
      <c r="GL30" s="174"/>
      <c r="GM30" s="174"/>
      <c r="GN30" s="174"/>
      <c r="GO30" s="174"/>
      <c r="GP30" s="174"/>
      <c r="GQ30" s="174"/>
      <c r="GR30" s="174"/>
      <c r="GS30" s="174"/>
      <c r="GT30" s="174"/>
      <c r="GU30" s="174"/>
      <c r="GV30" s="174"/>
      <c r="GW30" s="174"/>
      <c r="GX30" s="174"/>
      <c r="GY30" s="174"/>
      <c r="GZ30" s="174"/>
      <c r="HA30" s="174"/>
      <c r="HB30" s="174"/>
      <c r="HC30" s="174"/>
      <c r="HD30" s="174"/>
      <c r="HE30" s="174"/>
      <c r="HF30" s="174"/>
      <c r="HG30" s="174"/>
      <c r="HH30" s="174"/>
      <c r="HI30" s="174"/>
      <c r="HJ30" s="174"/>
      <c r="HK30" s="174"/>
      <c r="HL30" s="174"/>
      <c r="HM30" s="174"/>
      <c r="HN30" s="174"/>
      <c r="HO30" s="174"/>
      <c r="HP30" s="174"/>
      <c r="HQ30" s="174"/>
      <c r="HR30" s="174"/>
      <c r="HS30" s="174"/>
      <c r="HT30" s="174"/>
      <c r="HU30" s="174"/>
      <c r="HV30" s="174"/>
      <c r="HW30" s="174"/>
      <c r="HX30" s="174"/>
      <c r="HY30" s="174"/>
      <c r="HZ30" s="174"/>
      <c r="IA30" s="174"/>
      <c r="IB30" s="174"/>
      <c r="IC30" s="174"/>
      <c r="ID30" s="174"/>
      <c r="IE30" s="174"/>
      <c r="IF30" s="174"/>
      <c r="IG30" s="174"/>
      <c r="IH30" s="174"/>
      <c r="II30" s="174"/>
      <c r="IJ30" s="174"/>
      <c r="IK30" s="174"/>
      <c r="IL30" s="174"/>
      <c r="IM30" s="174"/>
      <c r="IN30" s="174"/>
      <c r="IO30" s="174"/>
      <c r="IP30" s="174"/>
      <c r="IQ30" s="174"/>
      <c r="IR30" s="174"/>
      <c r="IS30" s="174"/>
      <c r="IT30" s="174"/>
      <c r="IU30" s="174"/>
      <c r="IV30" s="174"/>
      <c r="IW30" s="174"/>
      <c r="IX30" s="174"/>
      <c r="IY30" s="174"/>
      <c r="IZ30" s="174"/>
      <c r="JA30" s="174"/>
      <c r="JB30" s="174"/>
      <c r="JC30" s="174"/>
      <c r="JD30" s="174"/>
      <c r="JE30" s="174"/>
      <c r="JF30" s="174"/>
      <c r="JG30" s="174"/>
      <c r="JH30" s="174"/>
      <c r="JI30" s="174"/>
      <c r="JJ30" s="174"/>
      <c r="JK30" s="174"/>
      <c r="JL30" s="174"/>
      <c r="JM30" s="174"/>
      <c r="JN30" s="174"/>
      <c r="JO30" s="174"/>
      <c r="JP30" s="174"/>
      <c r="JQ30" s="174"/>
      <c r="JR30" s="174"/>
      <c r="JS30" s="174"/>
      <c r="JT30" s="174"/>
      <c r="JU30" s="174"/>
      <c r="JV30" s="174"/>
    </row>
    <row r="31" spans="1:282" s="146" customFormat="1">
      <c r="A31" s="232"/>
      <c r="B31" s="173"/>
      <c r="C31" s="173"/>
      <c r="D31" s="233"/>
      <c r="E31" s="228"/>
      <c r="F31" s="234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277"/>
      <c r="BB31" s="173"/>
      <c r="BC31" s="173"/>
      <c r="BD31" s="173"/>
      <c r="BE31" s="173"/>
      <c r="BF31" s="173"/>
      <c r="BG31" s="173"/>
      <c r="BH31" s="173"/>
      <c r="BI31" s="173"/>
      <c r="BJ31" s="173"/>
      <c r="BK31" s="173"/>
      <c r="BL31" s="173"/>
      <c r="BM31" s="173"/>
      <c r="BN31" s="173"/>
      <c r="BO31" s="173"/>
      <c r="BP31" s="173"/>
      <c r="BQ31" s="173"/>
      <c r="BR31" s="173"/>
      <c r="BS31" s="173"/>
      <c r="BT31" s="173"/>
      <c r="BU31" s="173"/>
      <c r="BV31" s="173"/>
      <c r="BW31" s="173"/>
      <c r="BX31" s="173"/>
      <c r="BY31" s="173"/>
      <c r="BZ31" s="173"/>
      <c r="CA31" s="173"/>
      <c r="CB31" s="173"/>
      <c r="CC31" s="173"/>
      <c r="CD31" s="173"/>
      <c r="CE31" s="173"/>
      <c r="CF31" s="173"/>
      <c r="CG31" s="173"/>
      <c r="CH31" s="173"/>
      <c r="CI31" s="173"/>
      <c r="CJ31" s="173"/>
      <c r="CK31" s="173"/>
      <c r="CL31" s="173"/>
      <c r="CM31" s="173"/>
      <c r="CN31" s="173"/>
      <c r="CO31" s="173"/>
      <c r="CP31" s="173"/>
      <c r="CQ31" s="173"/>
      <c r="CR31" s="151"/>
      <c r="CS31" s="173"/>
      <c r="CT31" s="173"/>
      <c r="CU31" s="173"/>
      <c r="CV31" s="173"/>
      <c r="CW31" s="173"/>
      <c r="CX31" s="173"/>
      <c r="CY31" s="173"/>
      <c r="CZ31" s="173"/>
      <c r="DA31" s="222"/>
      <c r="DB31" s="222"/>
      <c r="DC31" s="222"/>
      <c r="DD31" s="222"/>
      <c r="DE31" s="222"/>
      <c r="DF31" s="222"/>
      <c r="DG31" s="222"/>
      <c r="DH31" s="222"/>
      <c r="DI31" s="222"/>
      <c r="DJ31" s="222"/>
      <c r="DK31" s="222"/>
      <c r="DL31" s="222"/>
      <c r="DM31" s="222"/>
      <c r="DN31" s="174"/>
      <c r="DO31" s="174"/>
      <c r="DP31" s="174"/>
      <c r="DQ31" s="174"/>
      <c r="DR31" s="174"/>
      <c r="DS31" s="174"/>
      <c r="DT31" s="174"/>
      <c r="DU31" s="174"/>
      <c r="DV31" s="174"/>
      <c r="DW31" s="174"/>
      <c r="DX31" s="174"/>
      <c r="DY31" s="174"/>
      <c r="DZ31" s="174"/>
      <c r="EA31" s="174"/>
      <c r="EB31" s="174"/>
      <c r="EC31" s="174"/>
      <c r="ED31" s="174"/>
      <c r="EE31" s="174"/>
      <c r="EF31" s="174"/>
      <c r="EG31" s="174"/>
      <c r="EH31" s="174"/>
      <c r="EI31" s="174"/>
      <c r="EJ31" s="174"/>
      <c r="EK31" s="174"/>
      <c r="EL31" s="174"/>
      <c r="EM31" s="174"/>
      <c r="EN31" s="174"/>
      <c r="EO31" s="174"/>
      <c r="EP31" s="174"/>
      <c r="EQ31" s="174"/>
      <c r="ER31" s="174"/>
      <c r="ES31" s="174"/>
      <c r="ET31" s="174"/>
      <c r="EU31" s="174"/>
      <c r="EV31" s="174"/>
      <c r="EW31" s="174"/>
      <c r="EX31" s="174"/>
      <c r="EY31" s="174"/>
      <c r="EZ31" s="174"/>
      <c r="FA31" s="174"/>
      <c r="FB31" s="174"/>
      <c r="FC31" s="174"/>
      <c r="FD31" s="174"/>
      <c r="FE31" s="174"/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  <c r="GH31" s="174"/>
      <c r="GI31" s="174"/>
      <c r="GJ31" s="174"/>
      <c r="GK31" s="174"/>
      <c r="GL31" s="174"/>
      <c r="GM31" s="174"/>
      <c r="GN31" s="174"/>
      <c r="GO31" s="174"/>
      <c r="GP31" s="174"/>
      <c r="GQ31" s="174"/>
      <c r="GR31" s="174"/>
      <c r="GS31" s="174"/>
      <c r="GT31" s="174"/>
      <c r="GU31" s="174"/>
      <c r="GV31" s="174"/>
      <c r="GW31" s="174"/>
      <c r="GX31" s="174"/>
      <c r="GY31" s="174"/>
      <c r="GZ31" s="174"/>
      <c r="HA31" s="174"/>
      <c r="HB31" s="174"/>
      <c r="HC31" s="174"/>
      <c r="HD31" s="174"/>
      <c r="HE31" s="174"/>
      <c r="HF31" s="174"/>
      <c r="HG31" s="174"/>
      <c r="HH31" s="174"/>
      <c r="HI31" s="174"/>
      <c r="HJ31" s="174"/>
      <c r="HK31" s="174"/>
      <c r="HL31" s="174"/>
      <c r="HM31" s="174"/>
      <c r="HN31" s="174"/>
      <c r="HO31" s="174"/>
      <c r="HP31" s="174"/>
      <c r="HQ31" s="174"/>
      <c r="HR31" s="174"/>
      <c r="HS31" s="174"/>
      <c r="HT31" s="174"/>
      <c r="HU31" s="174"/>
      <c r="HV31" s="174"/>
      <c r="HW31" s="174"/>
      <c r="HX31" s="174"/>
      <c r="HY31" s="174"/>
      <c r="HZ31" s="174"/>
      <c r="IA31" s="174"/>
      <c r="IB31" s="174"/>
      <c r="IC31" s="174"/>
      <c r="ID31" s="174"/>
      <c r="IE31" s="174"/>
      <c r="IF31" s="174"/>
      <c r="IG31" s="174"/>
      <c r="IH31" s="174"/>
      <c r="II31" s="174"/>
      <c r="IJ31" s="174"/>
      <c r="IK31" s="174"/>
      <c r="IL31" s="174"/>
      <c r="IM31" s="174"/>
      <c r="IN31" s="174"/>
      <c r="IO31" s="174"/>
      <c r="IP31" s="174"/>
      <c r="IQ31" s="174"/>
      <c r="IR31" s="174"/>
      <c r="IS31" s="174"/>
      <c r="IT31" s="174"/>
      <c r="IU31" s="174"/>
      <c r="IV31" s="174"/>
      <c r="IW31" s="174"/>
      <c r="IX31" s="174"/>
      <c r="IY31" s="174"/>
      <c r="IZ31" s="174"/>
      <c r="JA31" s="174"/>
      <c r="JB31" s="174"/>
      <c r="JC31" s="174"/>
      <c r="JD31" s="174"/>
      <c r="JE31" s="174"/>
      <c r="JF31" s="174"/>
      <c r="JG31" s="174"/>
      <c r="JH31" s="174"/>
      <c r="JI31" s="174"/>
      <c r="JJ31" s="174"/>
      <c r="JK31" s="174"/>
      <c r="JL31" s="174"/>
      <c r="JM31" s="174"/>
      <c r="JN31" s="174"/>
      <c r="JO31" s="174"/>
      <c r="JP31" s="174"/>
      <c r="JQ31" s="174"/>
      <c r="JR31" s="174"/>
      <c r="JS31" s="174"/>
      <c r="JT31" s="174"/>
      <c r="JU31" s="174"/>
      <c r="JV31" s="174"/>
    </row>
    <row r="32" spans="1:282" s="159" customFormat="1">
      <c r="A32" s="232"/>
      <c r="B32" s="173"/>
      <c r="C32" s="173"/>
      <c r="D32" s="233"/>
      <c r="E32" s="228"/>
      <c r="F32" s="234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277"/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3"/>
      <c r="BN32" s="173"/>
      <c r="BO32" s="173"/>
      <c r="BP32" s="173"/>
      <c r="BQ32" s="173"/>
      <c r="BR32" s="173"/>
      <c r="BS32" s="173"/>
      <c r="BT32" s="173"/>
      <c r="BU32" s="173"/>
      <c r="BV32" s="173"/>
      <c r="BW32" s="173"/>
      <c r="BX32" s="173"/>
      <c r="BY32" s="173"/>
      <c r="BZ32" s="173"/>
      <c r="CA32" s="173"/>
      <c r="CB32" s="173"/>
      <c r="CC32" s="173"/>
      <c r="CD32" s="173"/>
      <c r="CE32" s="173"/>
      <c r="CF32" s="173"/>
      <c r="CG32" s="173"/>
      <c r="CH32" s="173"/>
      <c r="CI32" s="173"/>
      <c r="CJ32" s="173"/>
      <c r="CK32" s="173"/>
      <c r="CL32" s="173"/>
      <c r="CM32" s="173"/>
      <c r="CN32" s="173"/>
      <c r="CO32" s="173"/>
      <c r="CP32" s="173"/>
      <c r="CQ32" s="173"/>
      <c r="CR32" s="151"/>
      <c r="CS32" s="173"/>
      <c r="CT32" s="173"/>
      <c r="CU32" s="173"/>
      <c r="CV32" s="173"/>
      <c r="CW32" s="173"/>
      <c r="CX32" s="173"/>
      <c r="CY32" s="173"/>
      <c r="CZ32" s="173"/>
      <c r="DA32" s="222"/>
      <c r="DB32" s="222"/>
      <c r="DC32" s="222"/>
      <c r="DD32" s="222"/>
      <c r="DE32" s="222"/>
      <c r="DF32" s="222"/>
      <c r="DG32" s="222"/>
      <c r="DH32" s="222"/>
      <c r="DI32" s="222"/>
      <c r="DJ32" s="222"/>
      <c r="DK32" s="222"/>
      <c r="DL32" s="222"/>
      <c r="DM32" s="222"/>
      <c r="DN32" s="160"/>
      <c r="DO32" s="160"/>
      <c r="DP32" s="160"/>
      <c r="DQ32" s="160"/>
      <c r="DR32" s="160"/>
      <c r="DS32" s="160"/>
      <c r="DT32" s="160"/>
      <c r="DU32" s="160"/>
      <c r="DV32" s="160"/>
      <c r="DW32" s="160"/>
      <c r="DX32" s="160"/>
      <c r="DY32" s="160"/>
      <c r="DZ32" s="160"/>
      <c r="EA32" s="160"/>
      <c r="EB32" s="160"/>
      <c r="EC32" s="160"/>
      <c r="ED32" s="160"/>
      <c r="EE32" s="160"/>
      <c r="EF32" s="160"/>
      <c r="EG32" s="160"/>
      <c r="EH32" s="160"/>
      <c r="EI32" s="160"/>
      <c r="EJ32" s="160"/>
      <c r="EK32" s="160"/>
      <c r="EL32" s="160"/>
      <c r="EM32" s="160"/>
      <c r="EN32" s="160"/>
      <c r="EO32" s="160"/>
      <c r="EP32" s="160"/>
      <c r="EQ32" s="160"/>
      <c r="ER32" s="160"/>
      <c r="ES32" s="160"/>
      <c r="ET32" s="160"/>
      <c r="EU32" s="160"/>
      <c r="EV32" s="160"/>
      <c r="EW32" s="160"/>
      <c r="EX32" s="160"/>
      <c r="EY32" s="160"/>
      <c r="EZ32" s="160"/>
      <c r="FA32" s="160"/>
      <c r="FB32" s="160"/>
      <c r="FC32" s="160"/>
      <c r="FD32" s="160"/>
      <c r="FE32" s="160"/>
      <c r="FF32" s="160"/>
      <c r="FG32" s="160"/>
      <c r="FH32" s="160"/>
      <c r="FI32" s="160"/>
      <c r="FJ32" s="160"/>
      <c r="FK32" s="160"/>
      <c r="FL32" s="160"/>
      <c r="FM32" s="160"/>
      <c r="FN32" s="160"/>
      <c r="FO32" s="160"/>
      <c r="FP32" s="160"/>
      <c r="FQ32" s="160"/>
      <c r="FR32" s="160"/>
      <c r="FS32" s="160"/>
      <c r="FT32" s="160"/>
      <c r="FU32" s="160"/>
      <c r="FV32" s="160"/>
      <c r="FW32" s="160"/>
      <c r="FX32" s="160"/>
      <c r="FY32" s="160"/>
      <c r="FZ32" s="160"/>
      <c r="GA32" s="160"/>
      <c r="GB32" s="160"/>
      <c r="GC32" s="160"/>
      <c r="GD32" s="160"/>
      <c r="GE32" s="160"/>
      <c r="GF32" s="160"/>
      <c r="GG32" s="160"/>
      <c r="GH32" s="160"/>
      <c r="GI32" s="160"/>
      <c r="GJ32" s="160"/>
      <c r="GK32" s="160"/>
      <c r="GL32" s="160"/>
      <c r="GM32" s="160"/>
      <c r="GN32" s="160"/>
      <c r="GO32" s="160"/>
      <c r="GP32" s="160"/>
      <c r="GQ32" s="160"/>
      <c r="GR32" s="160"/>
      <c r="GS32" s="160"/>
      <c r="GT32" s="160"/>
      <c r="GU32" s="160"/>
      <c r="GV32" s="160"/>
      <c r="GW32" s="160"/>
      <c r="GX32" s="160"/>
      <c r="GY32" s="160"/>
      <c r="GZ32" s="160"/>
      <c r="HA32" s="160"/>
      <c r="HB32" s="160"/>
      <c r="HC32" s="160"/>
      <c r="HD32" s="160"/>
      <c r="HE32" s="160"/>
      <c r="HF32" s="160"/>
      <c r="HG32" s="160"/>
      <c r="HH32" s="160"/>
      <c r="HI32" s="160"/>
      <c r="HJ32" s="160"/>
      <c r="HK32" s="160"/>
      <c r="HL32" s="160"/>
      <c r="HM32" s="160"/>
      <c r="HN32" s="160"/>
      <c r="HO32" s="160"/>
      <c r="HP32" s="160"/>
      <c r="HQ32" s="160"/>
      <c r="HR32" s="160"/>
      <c r="HS32" s="160"/>
      <c r="HT32" s="160"/>
      <c r="HU32" s="160"/>
      <c r="HV32" s="160"/>
      <c r="HW32" s="160"/>
      <c r="HX32" s="160"/>
      <c r="HY32" s="160"/>
      <c r="HZ32" s="160"/>
      <c r="IA32" s="160"/>
      <c r="IB32" s="160"/>
      <c r="IC32" s="160"/>
      <c r="ID32" s="160"/>
      <c r="IE32" s="160"/>
      <c r="IF32" s="160"/>
      <c r="IG32" s="160"/>
      <c r="IH32" s="160"/>
      <c r="II32" s="160"/>
      <c r="IJ32" s="160"/>
      <c r="IK32" s="160"/>
      <c r="IL32" s="160"/>
      <c r="IM32" s="160"/>
      <c r="IN32" s="160"/>
      <c r="IO32" s="160"/>
      <c r="IP32" s="160"/>
      <c r="IQ32" s="160"/>
      <c r="IR32" s="160"/>
      <c r="IS32" s="160"/>
      <c r="IT32" s="160"/>
      <c r="IU32" s="160"/>
      <c r="IV32" s="160"/>
      <c r="IW32" s="160"/>
      <c r="IX32" s="160"/>
      <c r="IY32" s="160"/>
      <c r="IZ32" s="160"/>
      <c r="JA32" s="160"/>
      <c r="JB32" s="160"/>
      <c r="JC32" s="160"/>
      <c r="JD32" s="160"/>
      <c r="JE32" s="160"/>
      <c r="JF32" s="160"/>
      <c r="JG32" s="160"/>
      <c r="JH32" s="160"/>
      <c r="JI32" s="160"/>
      <c r="JJ32" s="160"/>
      <c r="JK32" s="160"/>
      <c r="JL32" s="160"/>
      <c r="JM32" s="160"/>
      <c r="JN32" s="160"/>
      <c r="JO32" s="160"/>
      <c r="JP32" s="160"/>
      <c r="JQ32" s="160"/>
      <c r="JR32" s="160"/>
      <c r="JS32" s="160"/>
      <c r="JT32" s="160"/>
      <c r="JU32" s="160"/>
      <c r="JV32" s="160"/>
    </row>
    <row r="33" spans="1:282" s="159" customFormat="1">
      <c r="A33" s="232"/>
      <c r="B33" s="173"/>
      <c r="C33" s="228"/>
      <c r="D33" s="233"/>
      <c r="E33" s="228"/>
      <c r="F33" s="234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277"/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173"/>
      <c r="BP33" s="173"/>
      <c r="BQ33" s="173"/>
      <c r="BR33" s="173"/>
      <c r="BS33" s="173"/>
      <c r="BT33" s="173"/>
      <c r="BU33" s="173"/>
      <c r="BV33" s="173"/>
      <c r="BW33" s="173"/>
      <c r="BX33" s="173"/>
      <c r="BY33" s="173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51"/>
      <c r="CS33" s="173"/>
      <c r="CT33" s="173"/>
      <c r="CU33" s="173"/>
      <c r="CV33" s="173"/>
      <c r="CW33" s="173"/>
      <c r="CX33" s="173"/>
      <c r="CY33" s="173"/>
      <c r="CZ33" s="173"/>
      <c r="DA33" s="222"/>
      <c r="DB33" s="222"/>
      <c r="DC33" s="222"/>
      <c r="DD33" s="222"/>
      <c r="DE33" s="222"/>
      <c r="DF33" s="222"/>
      <c r="DG33" s="222"/>
      <c r="DH33" s="222"/>
      <c r="DI33" s="222"/>
      <c r="DJ33" s="222"/>
      <c r="DK33" s="222"/>
      <c r="DL33" s="222"/>
      <c r="DM33" s="222"/>
      <c r="DN33" s="160"/>
      <c r="DO33" s="160"/>
      <c r="DP33" s="160"/>
      <c r="DQ33" s="160"/>
      <c r="DR33" s="160"/>
      <c r="DS33" s="160"/>
      <c r="DT33" s="160"/>
      <c r="DU33" s="160"/>
      <c r="DV33" s="160"/>
      <c r="DW33" s="160"/>
      <c r="DX33" s="160"/>
      <c r="DY33" s="160"/>
      <c r="DZ33" s="160"/>
      <c r="EA33" s="160"/>
      <c r="EB33" s="160"/>
      <c r="EC33" s="160"/>
      <c r="ED33" s="160"/>
      <c r="EE33" s="160"/>
      <c r="EF33" s="160"/>
      <c r="EG33" s="160"/>
      <c r="EH33" s="160"/>
      <c r="EI33" s="160"/>
      <c r="EJ33" s="160"/>
      <c r="EK33" s="160"/>
      <c r="EL33" s="160"/>
      <c r="EM33" s="160"/>
      <c r="EN33" s="160"/>
      <c r="EO33" s="160"/>
      <c r="EP33" s="160"/>
      <c r="EQ33" s="160"/>
      <c r="ER33" s="160"/>
      <c r="ES33" s="160"/>
      <c r="ET33" s="160"/>
      <c r="EU33" s="160"/>
      <c r="EV33" s="160"/>
      <c r="EW33" s="160"/>
      <c r="EX33" s="160"/>
      <c r="EY33" s="160"/>
      <c r="EZ33" s="160"/>
      <c r="FA33" s="160"/>
      <c r="FB33" s="160"/>
      <c r="FC33" s="160"/>
      <c r="FD33" s="160"/>
      <c r="FE33" s="160"/>
      <c r="FF33" s="160"/>
      <c r="FG33" s="160"/>
      <c r="FH33" s="160"/>
      <c r="FI33" s="160"/>
      <c r="FJ33" s="160"/>
      <c r="FK33" s="160"/>
      <c r="FL33" s="160"/>
      <c r="FM33" s="160"/>
      <c r="FN33" s="160"/>
      <c r="FO33" s="160"/>
      <c r="FP33" s="160"/>
      <c r="FQ33" s="160"/>
      <c r="FR33" s="160"/>
      <c r="FS33" s="160"/>
      <c r="FT33" s="160"/>
      <c r="FU33" s="160"/>
      <c r="FV33" s="160"/>
      <c r="FW33" s="160"/>
      <c r="FX33" s="160"/>
      <c r="FY33" s="160"/>
      <c r="FZ33" s="160"/>
      <c r="GA33" s="160"/>
      <c r="GB33" s="160"/>
      <c r="GC33" s="160"/>
      <c r="GD33" s="160"/>
      <c r="GE33" s="160"/>
      <c r="GF33" s="160"/>
      <c r="GG33" s="160"/>
      <c r="GH33" s="160"/>
      <c r="GI33" s="160"/>
      <c r="GJ33" s="160"/>
      <c r="GK33" s="160"/>
      <c r="GL33" s="160"/>
      <c r="GM33" s="160"/>
      <c r="GN33" s="160"/>
      <c r="GO33" s="160"/>
      <c r="GP33" s="160"/>
      <c r="GQ33" s="160"/>
      <c r="GR33" s="160"/>
      <c r="GS33" s="160"/>
      <c r="GT33" s="160"/>
      <c r="GU33" s="160"/>
      <c r="GV33" s="160"/>
      <c r="GW33" s="160"/>
      <c r="GX33" s="160"/>
      <c r="GY33" s="160"/>
      <c r="GZ33" s="160"/>
      <c r="HA33" s="160"/>
      <c r="HB33" s="160"/>
      <c r="HC33" s="160"/>
      <c r="HD33" s="160"/>
      <c r="HE33" s="160"/>
      <c r="HF33" s="160"/>
      <c r="HG33" s="160"/>
      <c r="HH33" s="160"/>
      <c r="HI33" s="160"/>
      <c r="HJ33" s="160"/>
      <c r="HK33" s="160"/>
      <c r="HL33" s="160"/>
      <c r="HM33" s="160"/>
      <c r="HN33" s="160"/>
      <c r="HO33" s="160"/>
      <c r="HP33" s="160"/>
      <c r="HQ33" s="160"/>
      <c r="HR33" s="160"/>
      <c r="HS33" s="160"/>
      <c r="HT33" s="160"/>
      <c r="HU33" s="160"/>
      <c r="HV33" s="160"/>
      <c r="HW33" s="160"/>
      <c r="HX33" s="160"/>
      <c r="HY33" s="160"/>
      <c r="HZ33" s="160"/>
      <c r="IA33" s="160"/>
      <c r="IB33" s="160"/>
      <c r="IC33" s="160"/>
      <c r="ID33" s="160"/>
      <c r="IE33" s="160"/>
      <c r="IF33" s="160"/>
      <c r="IG33" s="160"/>
      <c r="IH33" s="160"/>
      <c r="II33" s="160"/>
      <c r="IJ33" s="160"/>
      <c r="IK33" s="160"/>
      <c r="IL33" s="160"/>
      <c r="IM33" s="160"/>
      <c r="IN33" s="160"/>
      <c r="IO33" s="160"/>
      <c r="IP33" s="160"/>
      <c r="IQ33" s="160"/>
      <c r="IR33" s="160"/>
      <c r="IS33" s="160"/>
      <c r="IT33" s="160"/>
      <c r="IU33" s="160"/>
      <c r="IV33" s="160"/>
      <c r="IW33" s="160"/>
      <c r="IX33" s="160"/>
      <c r="IY33" s="160"/>
      <c r="IZ33" s="160"/>
      <c r="JA33" s="160"/>
      <c r="JB33" s="160"/>
      <c r="JC33" s="160"/>
      <c r="JD33" s="160"/>
      <c r="JE33" s="160"/>
      <c r="JF33" s="160"/>
      <c r="JG33" s="160"/>
      <c r="JH33" s="160"/>
      <c r="JI33" s="160"/>
      <c r="JJ33" s="160"/>
      <c r="JK33" s="160"/>
      <c r="JL33" s="160"/>
      <c r="JM33" s="160"/>
      <c r="JN33" s="160"/>
      <c r="JO33" s="160"/>
      <c r="JP33" s="160"/>
      <c r="JQ33" s="160"/>
      <c r="JR33" s="160"/>
      <c r="JS33" s="160"/>
      <c r="JT33" s="160"/>
      <c r="JU33" s="160"/>
      <c r="JV33" s="160"/>
    </row>
    <row r="34" spans="1:282" s="222" customFormat="1">
      <c r="A34" s="232"/>
      <c r="B34" s="173"/>
      <c r="C34" s="173"/>
      <c r="D34" s="233"/>
      <c r="E34" s="228"/>
      <c r="F34" s="234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3"/>
      <c r="AZ34" s="173"/>
      <c r="BA34" s="277"/>
      <c r="BB34" s="173"/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173"/>
      <c r="BP34" s="173"/>
      <c r="BQ34" s="173"/>
      <c r="BR34" s="173"/>
      <c r="BS34" s="173"/>
      <c r="BT34" s="173"/>
      <c r="BU34" s="173"/>
      <c r="BV34" s="173"/>
      <c r="BW34" s="173"/>
      <c r="BX34" s="173"/>
      <c r="BY34" s="173"/>
      <c r="BZ34" s="173"/>
      <c r="CA34" s="173"/>
      <c r="CB34" s="173"/>
      <c r="CC34" s="173"/>
      <c r="CD34" s="173"/>
      <c r="CE34" s="173"/>
      <c r="CF34" s="173"/>
      <c r="CG34" s="173"/>
      <c r="CH34" s="173"/>
      <c r="CI34" s="173"/>
      <c r="CJ34" s="173"/>
      <c r="CK34" s="173"/>
      <c r="CL34" s="173"/>
      <c r="CM34" s="173"/>
      <c r="CN34" s="173"/>
      <c r="CO34" s="173"/>
      <c r="CP34" s="173"/>
      <c r="CQ34" s="173"/>
      <c r="CR34" s="151"/>
      <c r="CS34" s="173"/>
      <c r="CT34" s="173"/>
      <c r="CU34" s="173"/>
      <c r="CV34" s="173"/>
      <c r="CW34" s="173"/>
      <c r="CX34" s="173"/>
      <c r="CY34" s="173"/>
      <c r="CZ34" s="173"/>
    </row>
    <row r="35" spans="1:282" s="224" customFormat="1">
      <c r="A35" s="232"/>
      <c r="B35" s="173"/>
      <c r="C35" s="173"/>
      <c r="D35" s="233"/>
      <c r="E35" s="228"/>
      <c r="F35" s="234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277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3"/>
      <c r="BN35" s="173"/>
      <c r="BO35" s="173"/>
      <c r="BP35" s="173"/>
      <c r="BQ35" s="173"/>
      <c r="BR35" s="173"/>
      <c r="BS35" s="173"/>
      <c r="BT35" s="173"/>
      <c r="BU35" s="173"/>
      <c r="BV35" s="173"/>
      <c r="BW35" s="173"/>
      <c r="BX35" s="173"/>
      <c r="BY35" s="173"/>
      <c r="BZ35" s="173"/>
      <c r="CA35" s="173"/>
      <c r="CB35" s="173"/>
      <c r="CC35" s="173"/>
      <c r="CD35" s="173"/>
      <c r="CE35" s="173"/>
      <c r="CF35" s="173"/>
      <c r="CG35" s="173"/>
      <c r="CH35" s="173"/>
      <c r="CI35" s="173"/>
      <c r="CJ35" s="173"/>
      <c r="CK35" s="173"/>
      <c r="CL35" s="173"/>
      <c r="CM35" s="173"/>
      <c r="CN35" s="173"/>
      <c r="CO35" s="173"/>
      <c r="CP35" s="173"/>
      <c r="CQ35" s="173"/>
      <c r="CR35" s="151"/>
      <c r="CS35" s="173"/>
      <c r="CT35" s="173"/>
      <c r="CU35" s="173"/>
      <c r="CV35" s="173"/>
      <c r="CW35" s="173"/>
      <c r="CX35" s="173"/>
      <c r="CY35" s="173"/>
      <c r="CZ35" s="173"/>
      <c r="DA35" s="222"/>
      <c r="DB35" s="222"/>
      <c r="DC35" s="222"/>
      <c r="DD35" s="222"/>
      <c r="DE35" s="222"/>
      <c r="DF35" s="222"/>
      <c r="DG35" s="222"/>
      <c r="DH35" s="222"/>
      <c r="DI35" s="222"/>
      <c r="DJ35" s="222"/>
      <c r="DK35" s="222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  <c r="DV35" s="223"/>
      <c r="DW35" s="223"/>
      <c r="DX35" s="223"/>
      <c r="DY35" s="223"/>
      <c r="DZ35" s="223"/>
      <c r="EA35" s="223"/>
      <c r="EB35" s="223"/>
      <c r="EC35" s="223"/>
      <c r="ED35" s="223"/>
      <c r="EE35" s="223"/>
      <c r="EF35" s="223"/>
      <c r="EG35" s="223"/>
      <c r="EH35" s="223"/>
      <c r="EI35" s="223"/>
      <c r="EJ35" s="223"/>
      <c r="EK35" s="223"/>
      <c r="EL35" s="223"/>
      <c r="EM35" s="223"/>
      <c r="EN35" s="223"/>
      <c r="EO35" s="223"/>
      <c r="EP35" s="223"/>
      <c r="EQ35" s="223"/>
      <c r="ER35" s="223"/>
      <c r="ES35" s="223"/>
      <c r="ET35" s="223"/>
      <c r="EU35" s="223"/>
      <c r="EV35" s="223"/>
      <c r="EW35" s="223"/>
      <c r="EX35" s="223"/>
      <c r="EY35" s="223"/>
      <c r="EZ35" s="223"/>
      <c r="FA35" s="223"/>
      <c r="FB35" s="223"/>
      <c r="FC35" s="223"/>
      <c r="FD35" s="223"/>
      <c r="FE35" s="223"/>
      <c r="FF35" s="223"/>
      <c r="FG35" s="223"/>
      <c r="FH35" s="223"/>
      <c r="FI35" s="223"/>
      <c r="FJ35" s="223"/>
      <c r="FK35" s="223"/>
      <c r="FL35" s="223"/>
      <c r="FM35" s="223"/>
      <c r="FN35" s="223"/>
      <c r="FO35" s="223"/>
      <c r="FP35" s="223"/>
      <c r="FQ35" s="223"/>
      <c r="FR35" s="223"/>
      <c r="FS35" s="223"/>
      <c r="FT35" s="223"/>
      <c r="FU35" s="223"/>
      <c r="FV35" s="223"/>
      <c r="FW35" s="223"/>
      <c r="FX35" s="223"/>
      <c r="FY35" s="223"/>
      <c r="FZ35" s="223"/>
      <c r="GA35" s="223"/>
      <c r="GB35" s="223"/>
      <c r="GC35" s="223"/>
      <c r="GD35" s="223"/>
      <c r="GE35" s="223"/>
      <c r="GF35" s="223"/>
      <c r="GG35" s="223"/>
      <c r="GH35" s="223"/>
      <c r="GI35" s="223"/>
      <c r="GJ35" s="223"/>
      <c r="GK35" s="223"/>
      <c r="GL35" s="223"/>
      <c r="GM35" s="223"/>
      <c r="GN35" s="223"/>
      <c r="GO35" s="223"/>
      <c r="GP35" s="223"/>
      <c r="GQ35" s="223"/>
      <c r="GR35" s="223"/>
      <c r="GS35" s="223"/>
      <c r="GT35" s="223"/>
      <c r="GU35" s="223"/>
      <c r="GV35" s="223"/>
      <c r="GW35" s="223"/>
      <c r="GX35" s="223"/>
      <c r="GY35" s="223"/>
      <c r="GZ35" s="223"/>
      <c r="HA35" s="223"/>
      <c r="HB35" s="223"/>
      <c r="HC35" s="223"/>
      <c r="HD35" s="223"/>
      <c r="HE35" s="223"/>
      <c r="HF35" s="223"/>
      <c r="HG35" s="223"/>
      <c r="HH35" s="223"/>
      <c r="HI35" s="223"/>
      <c r="HJ35" s="223"/>
      <c r="HK35" s="223"/>
      <c r="HL35" s="223"/>
      <c r="HM35" s="223"/>
      <c r="HN35" s="223"/>
      <c r="HO35" s="223"/>
      <c r="HP35" s="223"/>
      <c r="HQ35" s="223"/>
      <c r="HR35" s="223"/>
      <c r="HS35" s="223"/>
      <c r="HT35" s="223"/>
      <c r="HU35" s="223"/>
      <c r="HV35" s="223"/>
      <c r="HW35" s="223"/>
      <c r="HX35" s="223"/>
      <c r="HY35" s="223"/>
      <c r="HZ35" s="223"/>
      <c r="IA35" s="223"/>
      <c r="IB35" s="223"/>
      <c r="IC35" s="223"/>
      <c r="ID35" s="223"/>
      <c r="IE35" s="223"/>
      <c r="IF35" s="223"/>
      <c r="IG35" s="223"/>
      <c r="IH35" s="223"/>
      <c r="II35" s="223"/>
      <c r="IJ35" s="223"/>
      <c r="IK35" s="223"/>
      <c r="IL35" s="223"/>
      <c r="IM35" s="223"/>
      <c r="IN35" s="223"/>
      <c r="IO35" s="223"/>
      <c r="IP35" s="223"/>
      <c r="IQ35" s="223"/>
      <c r="IR35" s="223"/>
      <c r="IS35" s="223"/>
      <c r="IT35" s="223"/>
      <c r="IU35" s="223"/>
      <c r="IV35" s="223"/>
      <c r="IW35" s="223"/>
      <c r="IX35" s="223"/>
      <c r="IY35" s="223"/>
      <c r="IZ35" s="223"/>
      <c r="JA35" s="223"/>
      <c r="JB35" s="223"/>
      <c r="JC35" s="223"/>
      <c r="JD35" s="223"/>
      <c r="JE35" s="223"/>
      <c r="JF35" s="223"/>
      <c r="JG35" s="223"/>
      <c r="JH35" s="223"/>
      <c r="JI35" s="223"/>
      <c r="JJ35" s="223"/>
      <c r="JK35" s="223"/>
      <c r="JL35" s="223"/>
      <c r="JM35" s="223"/>
      <c r="JN35" s="223"/>
      <c r="JO35" s="223"/>
      <c r="JP35" s="223"/>
      <c r="JQ35" s="223"/>
      <c r="JR35" s="223"/>
      <c r="JS35" s="223"/>
      <c r="JT35" s="223"/>
      <c r="JU35" s="223"/>
      <c r="JV35" s="223"/>
    </row>
    <row r="36" spans="1:282" s="224" customFormat="1">
      <c r="A36" s="232"/>
      <c r="B36" s="173"/>
      <c r="C36" s="173"/>
      <c r="D36" s="233"/>
      <c r="E36" s="228"/>
      <c r="F36" s="234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277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P36" s="173"/>
      <c r="BQ36" s="173"/>
      <c r="BR36" s="173"/>
      <c r="BS36" s="173"/>
      <c r="BT36" s="173"/>
      <c r="BU36" s="173"/>
      <c r="BV36" s="173"/>
      <c r="BW36" s="173"/>
      <c r="BX36" s="173"/>
      <c r="BY36" s="173"/>
      <c r="BZ36" s="173"/>
      <c r="CA36" s="173"/>
      <c r="CB36" s="173"/>
      <c r="CC36" s="173"/>
      <c r="CD36" s="173"/>
      <c r="CE36" s="173"/>
      <c r="CF36" s="173"/>
      <c r="CG36" s="173"/>
      <c r="CH36" s="173"/>
      <c r="CI36" s="173"/>
      <c r="CJ36" s="173"/>
      <c r="CK36" s="173"/>
      <c r="CL36" s="173"/>
      <c r="CM36" s="173"/>
      <c r="CN36" s="173"/>
      <c r="CO36" s="173"/>
      <c r="CP36" s="173"/>
      <c r="CQ36" s="173"/>
      <c r="CR36" s="151"/>
      <c r="CS36" s="173"/>
      <c r="CT36" s="173"/>
      <c r="CU36" s="173"/>
      <c r="CV36" s="173"/>
      <c r="CW36" s="173"/>
      <c r="CX36" s="173"/>
      <c r="CY36" s="173"/>
      <c r="CZ36" s="173"/>
      <c r="DA36" s="222"/>
      <c r="DB36" s="222"/>
      <c r="DC36" s="222"/>
      <c r="DD36" s="222"/>
      <c r="DE36" s="222"/>
      <c r="DF36" s="222"/>
      <c r="DG36" s="222"/>
      <c r="DH36" s="222"/>
      <c r="DI36" s="222"/>
      <c r="DJ36" s="222"/>
      <c r="DK36" s="222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  <c r="DV36" s="223"/>
      <c r="DW36" s="223"/>
      <c r="DX36" s="223"/>
      <c r="DY36" s="223"/>
      <c r="DZ36" s="223"/>
      <c r="EA36" s="223"/>
      <c r="EB36" s="223"/>
      <c r="EC36" s="223"/>
      <c r="ED36" s="223"/>
      <c r="EE36" s="223"/>
      <c r="EF36" s="223"/>
      <c r="EG36" s="223"/>
      <c r="EH36" s="223"/>
      <c r="EI36" s="223"/>
      <c r="EJ36" s="223"/>
      <c r="EK36" s="223"/>
      <c r="EL36" s="223"/>
      <c r="EM36" s="223"/>
      <c r="EN36" s="223"/>
      <c r="EO36" s="223"/>
      <c r="EP36" s="223"/>
      <c r="EQ36" s="223"/>
      <c r="ER36" s="223"/>
      <c r="ES36" s="223"/>
      <c r="ET36" s="223"/>
      <c r="EU36" s="223"/>
      <c r="EV36" s="223"/>
      <c r="EW36" s="223"/>
      <c r="EX36" s="223"/>
      <c r="EY36" s="223"/>
      <c r="EZ36" s="223"/>
      <c r="FA36" s="223"/>
      <c r="FB36" s="223"/>
      <c r="FC36" s="223"/>
      <c r="FD36" s="223"/>
      <c r="FE36" s="223"/>
      <c r="FF36" s="223"/>
      <c r="FG36" s="223"/>
      <c r="FH36" s="223"/>
      <c r="FI36" s="223"/>
      <c r="FJ36" s="223"/>
      <c r="FK36" s="223"/>
      <c r="FL36" s="223"/>
      <c r="FM36" s="223"/>
      <c r="FN36" s="223"/>
      <c r="FO36" s="223"/>
      <c r="FP36" s="223"/>
      <c r="FQ36" s="223"/>
      <c r="FR36" s="223"/>
      <c r="FS36" s="223"/>
      <c r="FT36" s="223"/>
      <c r="FU36" s="223"/>
      <c r="FV36" s="223"/>
      <c r="FW36" s="223"/>
      <c r="FX36" s="223"/>
      <c r="FY36" s="223"/>
      <c r="FZ36" s="223"/>
      <c r="GA36" s="223"/>
      <c r="GB36" s="223"/>
      <c r="GC36" s="223"/>
      <c r="GD36" s="223"/>
      <c r="GE36" s="223"/>
      <c r="GF36" s="223"/>
      <c r="GG36" s="223"/>
      <c r="GH36" s="223"/>
      <c r="GI36" s="223"/>
      <c r="GJ36" s="223"/>
      <c r="GK36" s="223"/>
      <c r="GL36" s="223"/>
      <c r="GM36" s="223"/>
      <c r="GN36" s="223"/>
      <c r="GO36" s="223"/>
      <c r="GP36" s="223"/>
      <c r="GQ36" s="223"/>
      <c r="GR36" s="223"/>
      <c r="GS36" s="223"/>
      <c r="GT36" s="223"/>
      <c r="GU36" s="223"/>
      <c r="GV36" s="223"/>
      <c r="GW36" s="223"/>
      <c r="GX36" s="223"/>
      <c r="GY36" s="223"/>
      <c r="GZ36" s="223"/>
      <c r="HA36" s="223"/>
      <c r="HB36" s="223"/>
      <c r="HC36" s="223"/>
      <c r="HD36" s="223"/>
      <c r="HE36" s="223"/>
      <c r="HF36" s="223"/>
      <c r="HG36" s="223"/>
      <c r="HH36" s="223"/>
      <c r="HI36" s="223"/>
      <c r="HJ36" s="223"/>
      <c r="HK36" s="223"/>
      <c r="HL36" s="223"/>
      <c r="HM36" s="223"/>
      <c r="HN36" s="223"/>
      <c r="HO36" s="223"/>
      <c r="HP36" s="223"/>
      <c r="HQ36" s="223"/>
      <c r="HR36" s="223"/>
      <c r="HS36" s="223"/>
      <c r="HT36" s="223"/>
      <c r="HU36" s="223"/>
      <c r="HV36" s="223"/>
      <c r="HW36" s="223"/>
      <c r="HX36" s="223"/>
      <c r="HY36" s="223"/>
      <c r="HZ36" s="223"/>
      <c r="IA36" s="223"/>
      <c r="IB36" s="223"/>
      <c r="IC36" s="223"/>
      <c r="ID36" s="223"/>
      <c r="IE36" s="223"/>
      <c r="IF36" s="223"/>
      <c r="IG36" s="223"/>
      <c r="IH36" s="223"/>
      <c r="II36" s="223"/>
      <c r="IJ36" s="223"/>
      <c r="IK36" s="223"/>
      <c r="IL36" s="223"/>
      <c r="IM36" s="223"/>
      <c r="IN36" s="223"/>
      <c r="IO36" s="223"/>
      <c r="IP36" s="223"/>
      <c r="IQ36" s="223"/>
      <c r="IR36" s="223"/>
      <c r="IS36" s="223"/>
      <c r="IT36" s="223"/>
      <c r="IU36" s="223"/>
      <c r="IV36" s="223"/>
      <c r="IW36" s="223"/>
      <c r="IX36" s="223"/>
      <c r="IY36" s="223"/>
      <c r="IZ36" s="223"/>
      <c r="JA36" s="223"/>
      <c r="JB36" s="223"/>
      <c r="JC36" s="223"/>
      <c r="JD36" s="223"/>
      <c r="JE36" s="223"/>
      <c r="JF36" s="223"/>
      <c r="JG36" s="223"/>
      <c r="JH36" s="223"/>
      <c r="JI36" s="223"/>
      <c r="JJ36" s="223"/>
      <c r="JK36" s="223"/>
      <c r="JL36" s="223"/>
      <c r="JM36" s="223"/>
      <c r="JN36" s="223"/>
      <c r="JO36" s="223"/>
      <c r="JP36" s="223"/>
      <c r="JQ36" s="223"/>
      <c r="JR36" s="223"/>
      <c r="JS36" s="223"/>
      <c r="JT36" s="223"/>
      <c r="JU36" s="223"/>
      <c r="JV36" s="223"/>
    </row>
    <row r="37" spans="1:282" s="224" customFormat="1">
      <c r="A37" s="232"/>
      <c r="B37" s="173"/>
      <c r="C37" s="173"/>
      <c r="D37" s="233"/>
      <c r="E37" s="228"/>
      <c r="F37" s="234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277"/>
      <c r="BB37" s="173"/>
      <c r="BC37" s="173"/>
      <c r="BD37" s="173"/>
      <c r="BE37" s="173"/>
      <c r="BF37" s="173"/>
      <c r="BG37" s="173"/>
      <c r="BH37" s="173"/>
      <c r="BI37" s="173"/>
      <c r="BJ37" s="173"/>
      <c r="BK37" s="173"/>
      <c r="BL37" s="173"/>
      <c r="BM37" s="173"/>
      <c r="BN37" s="173"/>
      <c r="BO37" s="173"/>
      <c r="BP37" s="173"/>
      <c r="BQ37" s="173"/>
      <c r="BR37" s="173"/>
      <c r="BS37" s="173"/>
      <c r="BT37" s="173"/>
      <c r="BU37" s="173"/>
      <c r="BV37" s="173"/>
      <c r="BW37" s="173"/>
      <c r="BX37" s="173"/>
      <c r="BY37" s="173"/>
      <c r="BZ37" s="173"/>
      <c r="CA37" s="173"/>
      <c r="CB37" s="173"/>
      <c r="CC37" s="173"/>
      <c r="CD37" s="173"/>
      <c r="CE37" s="173"/>
      <c r="CF37" s="173"/>
      <c r="CG37" s="173"/>
      <c r="CH37" s="173"/>
      <c r="CI37" s="173"/>
      <c r="CJ37" s="173"/>
      <c r="CK37" s="173"/>
      <c r="CL37" s="173"/>
      <c r="CM37" s="173"/>
      <c r="CN37" s="173"/>
      <c r="CO37" s="173"/>
      <c r="CP37" s="173"/>
      <c r="CQ37" s="173"/>
      <c r="CR37" s="151"/>
      <c r="CS37" s="173"/>
      <c r="CT37" s="173"/>
      <c r="CU37" s="173"/>
      <c r="CV37" s="173"/>
      <c r="CW37" s="173"/>
      <c r="CY37" s="173"/>
      <c r="CZ37" s="173"/>
      <c r="DA37" s="222"/>
      <c r="DB37" s="222"/>
      <c r="DC37" s="222"/>
      <c r="DD37" s="222"/>
      <c r="DE37" s="222"/>
      <c r="DF37" s="222"/>
      <c r="DG37" s="222"/>
      <c r="DH37" s="222"/>
      <c r="DI37" s="222"/>
      <c r="DJ37" s="222"/>
      <c r="DK37" s="222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  <c r="DV37" s="223"/>
      <c r="DW37" s="223"/>
      <c r="DX37" s="223"/>
      <c r="DY37" s="223"/>
      <c r="DZ37" s="223"/>
      <c r="EA37" s="223"/>
      <c r="EB37" s="223"/>
      <c r="EC37" s="223"/>
      <c r="ED37" s="223"/>
      <c r="EE37" s="223"/>
      <c r="EF37" s="223"/>
      <c r="EG37" s="223"/>
      <c r="EH37" s="223"/>
      <c r="EI37" s="223"/>
      <c r="EJ37" s="223"/>
      <c r="EK37" s="223"/>
      <c r="EL37" s="223"/>
      <c r="EM37" s="223"/>
      <c r="EN37" s="223"/>
      <c r="EO37" s="223"/>
      <c r="EP37" s="223"/>
      <c r="EQ37" s="223"/>
      <c r="ER37" s="223"/>
      <c r="ES37" s="223"/>
      <c r="ET37" s="223"/>
      <c r="EU37" s="223"/>
      <c r="EV37" s="223"/>
      <c r="EW37" s="223"/>
      <c r="EX37" s="223"/>
      <c r="EY37" s="223"/>
      <c r="EZ37" s="223"/>
      <c r="FA37" s="223"/>
      <c r="FB37" s="223"/>
      <c r="FC37" s="223"/>
      <c r="FD37" s="223"/>
      <c r="FE37" s="223"/>
      <c r="FF37" s="223"/>
      <c r="FG37" s="223"/>
      <c r="FH37" s="223"/>
      <c r="FI37" s="223"/>
      <c r="FJ37" s="223"/>
      <c r="FK37" s="223"/>
      <c r="FL37" s="223"/>
      <c r="FM37" s="223"/>
      <c r="FN37" s="223"/>
      <c r="FO37" s="223"/>
      <c r="FP37" s="223"/>
      <c r="FQ37" s="223"/>
      <c r="FR37" s="223"/>
      <c r="FS37" s="223"/>
      <c r="FT37" s="223"/>
      <c r="FU37" s="223"/>
      <c r="FV37" s="223"/>
      <c r="FW37" s="223"/>
      <c r="FX37" s="223"/>
      <c r="FY37" s="223"/>
      <c r="FZ37" s="223"/>
      <c r="GA37" s="223"/>
      <c r="GB37" s="223"/>
      <c r="GC37" s="223"/>
      <c r="GD37" s="223"/>
      <c r="GE37" s="223"/>
      <c r="GF37" s="223"/>
      <c r="GG37" s="223"/>
      <c r="GH37" s="223"/>
      <c r="GI37" s="223"/>
      <c r="GJ37" s="223"/>
      <c r="GK37" s="223"/>
      <c r="GL37" s="223"/>
      <c r="GM37" s="223"/>
      <c r="GN37" s="223"/>
      <c r="GO37" s="223"/>
      <c r="GP37" s="223"/>
      <c r="GQ37" s="223"/>
      <c r="GR37" s="223"/>
      <c r="GS37" s="223"/>
      <c r="GT37" s="223"/>
      <c r="GU37" s="223"/>
      <c r="GV37" s="223"/>
      <c r="GW37" s="223"/>
      <c r="GX37" s="223"/>
      <c r="GY37" s="223"/>
      <c r="GZ37" s="223"/>
      <c r="HA37" s="223"/>
      <c r="HB37" s="223"/>
      <c r="HC37" s="223"/>
      <c r="HD37" s="223"/>
      <c r="HE37" s="223"/>
      <c r="HF37" s="223"/>
      <c r="HG37" s="223"/>
      <c r="HH37" s="223"/>
      <c r="HI37" s="223"/>
      <c r="HJ37" s="223"/>
      <c r="HK37" s="223"/>
      <c r="HL37" s="223"/>
      <c r="HM37" s="223"/>
      <c r="HN37" s="223"/>
      <c r="HO37" s="223"/>
      <c r="HP37" s="223"/>
      <c r="HQ37" s="223"/>
      <c r="HR37" s="223"/>
      <c r="HS37" s="223"/>
      <c r="HT37" s="223"/>
      <c r="HU37" s="223"/>
      <c r="HV37" s="223"/>
      <c r="HW37" s="223"/>
      <c r="HX37" s="223"/>
      <c r="HY37" s="223"/>
      <c r="HZ37" s="223"/>
      <c r="IA37" s="223"/>
      <c r="IB37" s="223"/>
      <c r="IC37" s="223"/>
      <c r="ID37" s="223"/>
      <c r="IE37" s="223"/>
      <c r="IF37" s="223"/>
      <c r="IG37" s="223"/>
      <c r="IH37" s="223"/>
      <c r="II37" s="223"/>
      <c r="IJ37" s="223"/>
      <c r="IK37" s="223"/>
      <c r="IL37" s="223"/>
      <c r="IM37" s="223"/>
      <c r="IN37" s="223"/>
      <c r="IO37" s="223"/>
      <c r="IP37" s="223"/>
      <c r="IQ37" s="223"/>
      <c r="IR37" s="223"/>
      <c r="IS37" s="223"/>
      <c r="IT37" s="223"/>
      <c r="IU37" s="223"/>
      <c r="IV37" s="223"/>
      <c r="IW37" s="223"/>
      <c r="IX37" s="223"/>
      <c r="IY37" s="223"/>
      <c r="IZ37" s="223"/>
      <c r="JA37" s="223"/>
      <c r="JB37" s="223"/>
      <c r="JC37" s="223"/>
      <c r="JD37" s="223"/>
      <c r="JE37" s="223"/>
      <c r="JF37" s="223"/>
      <c r="JG37" s="223"/>
      <c r="JH37" s="223"/>
      <c r="JI37" s="223"/>
      <c r="JJ37" s="223"/>
      <c r="JK37" s="223"/>
      <c r="JL37" s="223"/>
      <c r="JM37" s="223"/>
      <c r="JN37" s="223"/>
      <c r="JO37" s="223"/>
      <c r="JP37" s="223"/>
      <c r="JQ37" s="223"/>
      <c r="JR37" s="223"/>
      <c r="JS37" s="223"/>
      <c r="JT37" s="223"/>
      <c r="JU37" s="223"/>
      <c r="JV37" s="223"/>
    </row>
    <row r="38" spans="1:282" s="224" customFormat="1">
      <c r="A38" s="232"/>
      <c r="B38" s="173"/>
      <c r="C38" s="173"/>
      <c r="D38" s="233"/>
      <c r="E38" s="228"/>
      <c r="F38" s="234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3"/>
      <c r="AZ38" s="173"/>
      <c r="BA38" s="277"/>
      <c r="BB38" s="173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173"/>
      <c r="BP38" s="173"/>
      <c r="BQ38" s="173"/>
      <c r="BR38" s="173"/>
      <c r="BS38" s="173"/>
      <c r="BT38" s="173"/>
      <c r="BU38" s="173"/>
      <c r="BV38" s="173"/>
      <c r="BW38" s="173"/>
      <c r="BX38" s="173"/>
      <c r="BY38" s="173"/>
      <c r="BZ38" s="173"/>
      <c r="CA38" s="173"/>
      <c r="CB38" s="173"/>
      <c r="CC38" s="173"/>
      <c r="CD38" s="173"/>
      <c r="CE38" s="173"/>
      <c r="CF38" s="173"/>
      <c r="CG38" s="173"/>
      <c r="CH38" s="173"/>
      <c r="CI38" s="173"/>
      <c r="CJ38" s="173"/>
      <c r="CK38" s="173"/>
      <c r="CL38" s="173"/>
      <c r="CM38" s="173"/>
      <c r="CN38" s="173"/>
      <c r="CO38" s="173"/>
      <c r="CP38" s="173"/>
      <c r="CQ38" s="173"/>
      <c r="CR38" s="151"/>
      <c r="CS38" s="173"/>
      <c r="CT38" s="173"/>
      <c r="CU38" s="173"/>
      <c r="CV38" s="173"/>
      <c r="CW38" s="173"/>
      <c r="CX38" s="173"/>
      <c r="CY38" s="173"/>
      <c r="CZ38" s="173"/>
      <c r="DA38" s="222"/>
      <c r="DB38" s="222"/>
      <c r="DC38" s="222"/>
      <c r="DD38" s="222"/>
      <c r="DE38" s="222"/>
      <c r="DF38" s="222"/>
      <c r="DG38" s="222"/>
      <c r="DH38" s="222"/>
      <c r="DI38" s="222"/>
      <c r="DJ38" s="222"/>
      <c r="DK38" s="222"/>
      <c r="DL38" s="223"/>
      <c r="DM38" s="223"/>
      <c r="DN38" s="223"/>
      <c r="DO38" s="223"/>
      <c r="DP38" s="223"/>
      <c r="DQ38" s="223"/>
      <c r="DR38" s="223"/>
      <c r="DS38" s="223"/>
      <c r="DT38" s="223"/>
      <c r="DU38" s="223"/>
      <c r="DV38" s="223"/>
      <c r="DW38" s="223"/>
      <c r="DX38" s="223"/>
      <c r="DY38" s="223"/>
      <c r="DZ38" s="223"/>
      <c r="EA38" s="223"/>
      <c r="EB38" s="223"/>
      <c r="EC38" s="223"/>
      <c r="ED38" s="223"/>
      <c r="EE38" s="223"/>
      <c r="EF38" s="223"/>
      <c r="EG38" s="223"/>
      <c r="EH38" s="223"/>
      <c r="EI38" s="223"/>
      <c r="EJ38" s="223"/>
      <c r="EK38" s="223"/>
      <c r="EL38" s="223"/>
      <c r="EM38" s="223"/>
      <c r="EN38" s="223"/>
      <c r="EO38" s="223"/>
      <c r="EP38" s="223"/>
      <c r="EQ38" s="223"/>
      <c r="ER38" s="223"/>
      <c r="ES38" s="223"/>
      <c r="ET38" s="223"/>
      <c r="EU38" s="223"/>
      <c r="EV38" s="223"/>
      <c r="EW38" s="223"/>
      <c r="EX38" s="223"/>
      <c r="EY38" s="223"/>
      <c r="EZ38" s="223"/>
      <c r="FA38" s="223"/>
      <c r="FB38" s="223"/>
      <c r="FC38" s="223"/>
      <c r="FD38" s="223"/>
      <c r="FE38" s="223"/>
      <c r="FF38" s="223"/>
      <c r="FG38" s="223"/>
      <c r="FH38" s="223"/>
      <c r="FI38" s="223"/>
      <c r="FJ38" s="223"/>
      <c r="FK38" s="223"/>
      <c r="FL38" s="223"/>
      <c r="FM38" s="223"/>
      <c r="FN38" s="223"/>
      <c r="FO38" s="223"/>
      <c r="FP38" s="223"/>
      <c r="FQ38" s="223"/>
      <c r="FR38" s="223"/>
      <c r="FS38" s="223"/>
      <c r="FT38" s="223"/>
      <c r="FU38" s="223"/>
      <c r="FV38" s="223"/>
      <c r="FW38" s="223"/>
      <c r="FX38" s="223"/>
      <c r="FY38" s="223"/>
      <c r="FZ38" s="223"/>
      <c r="GA38" s="223"/>
      <c r="GB38" s="223"/>
      <c r="GC38" s="223"/>
      <c r="GD38" s="223"/>
      <c r="GE38" s="223"/>
      <c r="GF38" s="223"/>
      <c r="GG38" s="223"/>
      <c r="GH38" s="223"/>
      <c r="GI38" s="223"/>
      <c r="GJ38" s="223"/>
      <c r="GK38" s="223"/>
      <c r="GL38" s="223"/>
      <c r="GM38" s="223"/>
      <c r="GN38" s="223"/>
      <c r="GO38" s="223"/>
      <c r="GP38" s="223"/>
      <c r="GQ38" s="223"/>
      <c r="GR38" s="223"/>
      <c r="GS38" s="223"/>
      <c r="GT38" s="223"/>
      <c r="GU38" s="223"/>
      <c r="GV38" s="223"/>
      <c r="GW38" s="223"/>
      <c r="GX38" s="223"/>
      <c r="GY38" s="223"/>
      <c r="GZ38" s="223"/>
      <c r="HA38" s="223"/>
      <c r="HB38" s="223"/>
      <c r="HC38" s="223"/>
      <c r="HD38" s="223"/>
      <c r="HE38" s="223"/>
      <c r="HF38" s="223"/>
      <c r="HG38" s="223"/>
      <c r="HH38" s="223"/>
      <c r="HI38" s="223"/>
      <c r="HJ38" s="223"/>
      <c r="HK38" s="223"/>
      <c r="HL38" s="223"/>
      <c r="HM38" s="223"/>
      <c r="HN38" s="223"/>
      <c r="HO38" s="223"/>
      <c r="HP38" s="223"/>
      <c r="HQ38" s="223"/>
      <c r="HR38" s="223"/>
      <c r="HS38" s="223"/>
      <c r="HT38" s="223"/>
      <c r="HU38" s="223"/>
      <c r="HV38" s="223"/>
      <c r="HW38" s="223"/>
      <c r="HX38" s="223"/>
      <c r="HY38" s="223"/>
      <c r="HZ38" s="223"/>
      <c r="IA38" s="223"/>
      <c r="IB38" s="223"/>
      <c r="IC38" s="223"/>
      <c r="ID38" s="223"/>
      <c r="IE38" s="223"/>
      <c r="IF38" s="223"/>
      <c r="IG38" s="223"/>
      <c r="IH38" s="223"/>
      <c r="II38" s="223"/>
      <c r="IJ38" s="223"/>
      <c r="IK38" s="223"/>
      <c r="IL38" s="223"/>
      <c r="IM38" s="223"/>
      <c r="IN38" s="223"/>
      <c r="IO38" s="223"/>
      <c r="IP38" s="223"/>
      <c r="IQ38" s="223"/>
      <c r="IR38" s="223"/>
      <c r="IS38" s="223"/>
      <c r="IT38" s="223"/>
      <c r="IU38" s="223"/>
      <c r="IV38" s="223"/>
      <c r="IW38" s="223"/>
      <c r="IX38" s="223"/>
      <c r="IY38" s="223"/>
      <c r="IZ38" s="223"/>
      <c r="JA38" s="223"/>
      <c r="JB38" s="223"/>
      <c r="JC38" s="223"/>
      <c r="JD38" s="223"/>
      <c r="JE38" s="223"/>
      <c r="JF38" s="223"/>
      <c r="JG38" s="223"/>
      <c r="JH38" s="223"/>
      <c r="JI38" s="223"/>
      <c r="JJ38" s="223"/>
      <c r="JK38" s="223"/>
      <c r="JL38" s="223"/>
      <c r="JM38" s="223"/>
      <c r="JN38" s="223"/>
      <c r="JO38" s="223"/>
      <c r="JP38" s="223"/>
      <c r="JQ38" s="223"/>
      <c r="JR38" s="223"/>
      <c r="JS38" s="223"/>
      <c r="JT38" s="223"/>
      <c r="JU38" s="223"/>
      <c r="JV38" s="223"/>
    </row>
    <row r="39" spans="1:282" s="226" customFormat="1">
      <c r="A39" s="232"/>
      <c r="B39" s="173"/>
      <c r="C39" s="173"/>
      <c r="D39" s="233"/>
      <c r="E39" s="228"/>
      <c r="F39" s="234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277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3"/>
      <c r="CA39" s="173"/>
      <c r="CB39" s="173"/>
      <c r="CC39" s="173"/>
      <c r="CD39" s="173"/>
      <c r="CE39" s="173"/>
      <c r="CF39" s="173"/>
      <c r="CG39" s="173"/>
      <c r="CH39" s="173"/>
      <c r="CI39" s="173"/>
      <c r="CJ39" s="173"/>
      <c r="CK39" s="173"/>
      <c r="CL39" s="173"/>
      <c r="CM39" s="173"/>
      <c r="CN39" s="173"/>
      <c r="CO39" s="173"/>
      <c r="CP39" s="173"/>
      <c r="CQ39" s="173"/>
      <c r="CR39" s="151"/>
      <c r="CS39" s="173"/>
      <c r="CT39" s="173"/>
      <c r="CU39" s="173"/>
      <c r="CV39" s="173"/>
      <c r="CW39" s="173"/>
      <c r="CX39" s="173"/>
      <c r="CY39" s="173"/>
      <c r="CZ39" s="173"/>
      <c r="DA39" s="222"/>
      <c r="DB39" s="222"/>
      <c r="DC39" s="222"/>
      <c r="DD39" s="222"/>
      <c r="DE39" s="222"/>
      <c r="DF39" s="222"/>
      <c r="DG39" s="222"/>
      <c r="DH39" s="222"/>
      <c r="DI39" s="222"/>
      <c r="DJ39" s="222"/>
      <c r="DK39" s="222"/>
      <c r="DL39" s="223"/>
      <c r="DM39" s="223"/>
      <c r="DN39" s="225"/>
      <c r="DO39" s="225"/>
      <c r="DP39" s="225"/>
      <c r="DQ39" s="225"/>
      <c r="DR39" s="225"/>
      <c r="DS39" s="225"/>
      <c r="DT39" s="225"/>
      <c r="DU39" s="225"/>
      <c r="DV39" s="225"/>
      <c r="DW39" s="225"/>
      <c r="DX39" s="225"/>
      <c r="DY39" s="225"/>
      <c r="DZ39" s="225"/>
      <c r="EA39" s="225"/>
      <c r="EB39" s="225"/>
      <c r="EC39" s="225"/>
      <c r="ED39" s="225"/>
      <c r="EE39" s="225"/>
      <c r="EF39" s="225"/>
      <c r="EG39" s="225"/>
      <c r="EH39" s="225"/>
      <c r="EI39" s="225"/>
      <c r="EJ39" s="225"/>
      <c r="EK39" s="225"/>
      <c r="EL39" s="225"/>
      <c r="EM39" s="225"/>
      <c r="EN39" s="225"/>
      <c r="EO39" s="225"/>
      <c r="EP39" s="225"/>
      <c r="EQ39" s="225"/>
      <c r="ER39" s="225"/>
      <c r="ES39" s="225"/>
      <c r="ET39" s="225"/>
      <c r="EU39" s="225"/>
      <c r="EV39" s="225"/>
      <c r="EW39" s="225"/>
      <c r="EX39" s="225"/>
      <c r="EY39" s="225"/>
      <c r="EZ39" s="225"/>
      <c r="FA39" s="225"/>
      <c r="FB39" s="225"/>
      <c r="FC39" s="225"/>
      <c r="FD39" s="225"/>
      <c r="FE39" s="225"/>
      <c r="FF39" s="225"/>
      <c r="FG39" s="225"/>
      <c r="FH39" s="225"/>
      <c r="FI39" s="225"/>
      <c r="FJ39" s="225"/>
      <c r="FK39" s="225"/>
      <c r="FL39" s="225"/>
      <c r="FM39" s="225"/>
      <c r="FN39" s="225"/>
      <c r="FO39" s="225"/>
      <c r="FP39" s="225"/>
      <c r="FQ39" s="225"/>
      <c r="FR39" s="225"/>
      <c r="FS39" s="225"/>
      <c r="FT39" s="225"/>
      <c r="FU39" s="225"/>
      <c r="FV39" s="225"/>
      <c r="FW39" s="225"/>
      <c r="FX39" s="225"/>
      <c r="FY39" s="225"/>
      <c r="FZ39" s="225"/>
      <c r="GA39" s="225"/>
      <c r="GB39" s="225"/>
      <c r="GC39" s="225"/>
      <c r="GD39" s="225"/>
      <c r="GE39" s="225"/>
      <c r="GF39" s="225"/>
      <c r="GG39" s="225"/>
      <c r="GH39" s="225"/>
      <c r="GI39" s="225"/>
      <c r="GJ39" s="225"/>
      <c r="GK39" s="225"/>
      <c r="GL39" s="225"/>
      <c r="GM39" s="225"/>
      <c r="GN39" s="225"/>
      <c r="GO39" s="225"/>
      <c r="GP39" s="225"/>
      <c r="GQ39" s="225"/>
      <c r="GR39" s="225"/>
      <c r="GS39" s="225"/>
      <c r="GT39" s="225"/>
      <c r="GU39" s="225"/>
      <c r="GV39" s="225"/>
      <c r="GW39" s="225"/>
      <c r="GX39" s="225"/>
      <c r="GY39" s="225"/>
      <c r="GZ39" s="225"/>
      <c r="HA39" s="225"/>
      <c r="HB39" s="225"/>
      <c r="HC39" s="225"/>
      <c r="HD39" s="225"/>
      <c r="HE39" s="225"/>
      <c r="HF39" s="225"/>
      <c r="HG39" s="225"/>
      <c r="HH39" s="225"/>
      <c r="HI39" s="225"/>
      <c r="HJ39" s="225"/>
      <c r="HK39" s="225"/>
      <c r="HL39" s="225"/>
      <c r="HM39" s="225"/>
      <c r="HN39" s="225"/>
      <c r="HO39" s="225"/>
      <c r="HP39" s="225"/>
      <c r="HQ39" s="225"/>
      <c r="HR39" s="225"/>
      <c r="HS39" s="225"/>
      <c r="HT39" s="225"/>
      <c r="HU39" s="225"/>
      <c r="HV39" s="225"/>
      <c r="HW39" s="225"/>
      <c r="HX39" s="225"/>
      <c r="HY39" s="225"/>
      <c r="HZ39" s="225"/>
      <c r="IA39" s="225"/>
      <c r="IB39" s="225"/>
      <c r="IC39" s="225"/>
      <c r="ID39" s="225"/>
      <c r="IE39" s="225"/>
      <c r="IF39" s="225"/>
      <c r="IG39" s="225"/>
      <c r="IH39" s="225"/>
      <c r="II39" s="225"/>
      <c r="IJ39" s="225"/>
      <c r="IK39" s="225"/>
      <c r="IL39" s="225"/>
      <c r="IM39" s="225"/>
      <c r="IN39" s="225"/>
      <c r="IO39" s="225"/>
      <c r="IP39" s="225"/>
      <c r="IQ39" s="225"/>
      <c r="IR39" s="225"/>
      <c r="IS39" s="225"/>
      <c r="IT39" s="225"/>
      <c r="IU39" s="225"/>
      <c r="IV39" s="225"/>
      <c r="IW39" s="225"/>
      <c r="IX39" s="225"/>
      <c r="IY39" s="225"/>
      <c r="IZ39" s="225"/>
      <c r="JA39" s="225"/>
      <c r="JB39" s="225"/>
      <c r="JC39" s="225"/>
      <c r="JD39" s="225"/>
      <c r="JE39" s="225"/>
      <c r="JF39" s="225"/>
      <c r="JG39" s="225"/>
      <c r="JH39" s="225"/>
      <c r="JI39" s="225"/>
      <c r="JJ39" s="225"/>
      <c r="JK39" s="225"/>
      <c r="JL39" s="225"/>
      <c r="JM39" s="225"/>
      <c r="JN39" s="225"/>
      <c r="JO39" s="225"/>
      <c r="JP39" s="225"/>
      <c r="JQ39" s="225"/>
      <c r="JR39" s="225"/>
      <c r="JS39" s="225"/>
      <c r="JT39" s="225"/>
      <c r="JU39" s="225"/>
      <c r="JV39" s="225"/>
    </row>
    <row r="40" spans="1:282" s="226" customFormat="1">
      <c r="A40" s="232"/>
      <c r="B40" s="173"/>
      <c r="C40" s="173"/>
      <c r="D40" s="233"/>
      <c r="E40" s="228"/>
      <c r="F40" s="234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277"/>
      <c r="BB40" s="173"/>
      <c r="BC40" s="173"/>
      <c r="BD40" s="173"/>
      <c r="BE40" s="173"/>
      <c r="BF40" s="173"/>
      <c r="BG40" s="173"/>
      <c r="BH40" s="173"/>
      <c r="BI40" s="173"/>
      <c r="BJ40" s="173"/>
      <c r="BK40" s="173"/>
      <c r="BL40" s="173"/>
      <c r="BM40" s="173"/>
      <c r="BN40" s="173"/>
      <c r="BO40" s="173"/>
      <c r="BP40" s="173"/>
      <c r="BQ40" s="173"/>
      <c r="BR40" s="173"/>
      <c r="BS40" s="173"/>
      <c r="BT40" s="173"/>
      <c r="BU40" s="173"/>
      <c r="BV40" s="173"/>
      <c r="BW40" s="173"/>
      <c r="BX40" s="173"/>
      <c r="BY40" s="173"/>
      <c r="BZ40" s="173"/>
      <c r="CA40" s="173"/>
      <c r="CB40" s="173"/>
      <c r="CC40" s="173"/>
      <c r="CD40" s="173"/>
      <c r="CE40" s="173"/>
      <c r="CF40" s="173"/>
      <c r="CG40" s="173"/>
      <c r="CH40" s="173"/>
      <c r="CI40" s="173"/>
      <c r="CJ40" s="173"/>
      <c r="CK40" s="173"/>
      <c r="CL40" s="173"/>
      <c r="CM40" s="173"/>
      <c r="CN40" s="173"/>
      <c r="CO40" s="173"/>
      <c r="CP40" s="173"/>
      <c r="CQ40" s="173"/>
      <c r="CR40" s="151"/>
      <c r="CS40" s="173"/>
      <c r="CT40" s="173"/>
      <c r="CU40" s="173"/>
      <c r="CV40" s="173"/>
      <c r="CW40" s="173"/>
      <c r="CX40" s="173"/>
      <c r="CY40" s="173"/>
      <c r="CZ40" s="173"/>
      <c r="DA40" s="222"/>
      <c r="DB40" s="222"/>
      <c r="DC40" s="222"/>
      <c r="DD40" s="222"/>
      <c r="DE40" s="222"/>
      <c r="DF40" s="222"/>
      <c r="DG40" s="222"/>
      <c r="DH40" s="222"/>
      <c r="DI40" s="222"/>
      <c r="DJ40" s="222"/>
      <c r="DK40" s="222"/>
      <c r="DL40" s="223"/>
      <c r="DM40" s="223"/>
      <c r="DN40" s="225"/>
      <c r="DO40" s="225"/>
      <c r="DP40" s="225"/>
      <c r="DQ40" s="225"/>
      <c r="DR40" s="225"/>
      <c r="DS40" s="225"/>
      <c r="DT40" s="225"/>
      <c r="DU40" s="225"/>
      <c r="DV40" s="225"/>
      <c r="DW40" s="225"/>
      <c r="DX40" s="225"/>
      <c r="DY40" s="225"/>
      <c r="DZ40" s="225"/>
      <c r="EA40" s="225"/>
      <c r="EB40" s="225"/>
      <c r="EC40" s="225"/>
      <c r="ED40" s="225"/>
      <c r="EE40" s="225"/>
      <c r="EF40" s="225"/>
      <c r="EG40" s="225"/>
      <c r="EH40" s="225"/>
      <c r="EI40" s="225"/>
      <c r="EJ40" s="225"/>
      <c r="EK40" s="225"/>
      <c r="EL40" s="225"/>
      <c r="EM40" s="225"/>
      <c r="EN40" s="225"/>
      <c r="EO40" s="225"/>
      <c r="EP40" s="225"/>
      <c r="EQ40" s="225"/>
      <c r="ER40" s="225"/>
      <c r="ES40" s="225"/>
      <c r="ET40" s="225"/>
      <c r="EU40" s="225"/>
      <c r="EV40" s="225"/>
      <c r="EW40" s="225"/>
      <c r="EX40" s="225"/>
      <c r="EY40" s="225"/>
      <c r="EZ40" s="225"/>
      <c r="FA40" s="225"/>
      <c r="FB40" s="225"/>
      <c r="FC40" s="225"/>
      <c r="FD40" s="225"/>
      <c r="FE40" s="225"/>
      <c r="FF40" s="225"/>
      <c r="FG40" s="225"/>
      <c r="FH40" s="225"/>
      <c r="FI40" s="225"/>
      <c r="FJ40" s="225"/>
      <c r="FK40" s="225"/>
      <c r="FL40" s="225"/>
      <c r="FM40" s="225"/>
      <c r="FN40" s="225"/>
      <c r="FO40" s="225"/>
      <c r="FP40" s="225"/>
      <c r="FQ40" s="225"/>
      <c r="FR40" s="225"/>
      <c r="FS40" s="225"/>
      <c r="FT40" s="225"/>
      <c r="FU40" s="225"/>
      <c r="FV40" s="225"/>
      <c r="FW40" s="225"/>
      <c r="FX40" s="225"/>
      <c r="FY40" s="225"/>
      <c r="FZ40" s="225"/>
      <c r="GA40" s="225"/>
      <c r="GB40" s="225"/>
      <c r="GC40" s="225"/>
      <c r="GD40" s="225"/>
      <c r="GE40" s="225"/>
      <c r="GF40" s="225"/>
      <c r="GG40" s="225"/>
      <c r="GH40" s="225"/>
      <c r="GI40" s="225"/>
      <c r="GJ40" s="225"/>
      <c r="GK40" s="225"/>
      <c r="GL40" s="225"/>
      <c r="GM40" s="225"/>
      <c r="GN40" s="225"/>
      <c r="GO40" s="225"/>
      <c r="GP40" s="225"/>
      <c r="GQ40" s="225"/>
      <c r="GR40" s="225"/>
      <c r="GS40" s="225"/>
      <c r="GT40" s="225"/>
      <c r="GU40" s="225"/>
      <c r="GV40" s="225"/>
      <c r="GW40" s="225"/>
      <c r="GX40" s="225"/>
      <c r="GY40" s="225"/>
      <c r="GZ40" s="225"/>
      <c r="HA40" s="225"/>
      <c r="HB40" s="225"/>
      <c r="HC40" s="225"/>
      <c r="HD40" s="225"/>
      <c r="HE40" s="225"/>
      <c r="HF40" s="225"/>
      <c r="HG40" s="225"/>
      <c r="HH40" s="225"/>
      <c r="HI40" s="225"/>
      <c r="HJ40" s="225"/>
      <c r="HK40" s="225"/>
      <c r="HL40" s="225"/>
      <c r="HM40" s="225"/>
      <c r="HN40" s="225"/>
      <c r="HO40" s="225"/>
      <c r="HP40" s="225"/>
      <c r="HQ40" s="225"/>
      <c r="HR40" s="225"/>
      <c r="HS40" s="225"/>
      <c r="HT40" s="225"/>
      <c r="HU40" s="225"/>
      <c r="HV40" s="225"/>
      <c r="HW40" s="225"/>
      <c r="HX40" s="225"/>
      <c r="HY40" s="225"/>
      <c r="HZ40" s="225"/>
      <c r="IA40" s="225"/>
      <c r="IB40" s="225"/>
      <c r="IC40" s="225"/>
      <c r="ID40" s="225"/>
      <c r="IE40" s="225"/>
      <c r="IF40" s="225"/>
      <c r="IG40" s="225"/>
      <c r="IH40" s="225"/>
      <c r="II40" s="225"/>
      <c r="IJ40" s="225"/>
      <c r="IK40" s="225"/>
      <c r="IL40" s="225"/>
      <c r="IM40" s="225"/>
      <c r="IN40" s="225"/>
      <c r="IO40" s="225"/>
      <c r="IP40" s="225"/>
      <c r="IQ40" s="225"/>
      <c r="IR40" s="225"/>
      <c r="IS40" s="225"/>
      <c r="IT40" s="225"/>
      <c r="IU40" s="225"/>
      <c r="IV40" s="225"/>
      <c r="IW40" s="225"/>
      <c r="IX40" s="225"/>
      <c r="IY40" s="225"/>
      <c r="IZ40" s="225"/>
      <c r="JA40" s="225"/>
      <c r="JB40" s="225"/>
      <c r="JC40" s="225"/>
      <c r="JD40" s="225"/>
      <c r="JE40" s="225"/>
      <c r="JF40" s="225"/>
      <c r="JG40" s="225"/>
      <c r="JH40" s="225"/>
      <c r="JI40" s="225"/>
      <c r="JJ40" s="225"/>
      <c r="JK40" s="225"/>
      <c r="JL40" s="225"/>
      <c r="JM40" s="225"/>
      <c r="JN40" s="225"/>
      <c r="JO40" s="225"/>
      <c r="JP40" s="225"/>
      <c r="JQ40" s="225"/>
      <c r="JR40" s="225"/>
      <c r="JS40" s="225"/>
      <c r="JT40" s="225"/>
      <c r="JU40" s="225"/>
      <c r="JV40" s="225"/>
    </row>
    <row r="41" spans="1:282" s="146" customFormat="1">
      <c r="A41" s="232"/>
      <c r="B41" s="173"/>
      <c r="C41" s="173"/>
      <c r="D41" s="233"/>
      <c r="E41" s="228"/>
      <c r="F41" s="234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277"/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3"/>
      <c r="BN41" s="173"/>
      <c r="BO41" s="173"/>
      <c r="BP41" s="173"/>
      <c r="BQ41" s="173"/>
      <c r="BR41" s="173"/>
      <c r="BS41" s="173"/>
      <c r="BT41" s="173"/>
      <c r="BU41" s="173"/>
      <c r="BV41" s="173"/>
      <c r="BW41" s="173"/>
      <c r="BX41" s="173"/>
      <c r="BY41" s="173"/>
      <c r="BZ41" s="173"/>
      <c r="CA41" s="173"/>
      <c r="CB41" s="173"/>
      <c r="CC41" s="173"/>
      <c r="CD41" s="173"/>
      <c r="CE41" s="173"/>
      <c r="CF41" s="173"/>
      <c r="CG41" s="173"/>
      <c r="CH41" s="173"/>
      <c r="CI41" s="173"/>
      <c r="CJ41" s="173"/>
      <c r="CK41" s="173"/>
      <c r="CL41" s="173"/>
      <c r="CM41" s="173"/>
      <c r="CN41" s="173"/>
      <c r="CO41" s="173"/>
      <c r="CP41" s="173"/>
      <c r="CQ41" s="173"/>
      <c r="CR41" s="151"/>
      <c r="CS41" s="173"/>
      <c r="CT41" s="173"/>
      <c r="CU41" s="173"/>
      <c r="CV41" s="173"/>
      <c r="CW41" s="173"/>
      <c r="CX41" s="173"/>
      <c r="CY41" s="173"/>
      <c r="CZ41" s="173"/>
      <c r="DA41" s="222"/>
      <c r="DB41" s="222"/>
      <c r="DC41" s="222"/>
      <c r="DD41" s="222"/>
      <c r="DE41" s="222"/>
      <c r="DF41" s="222"/>
      <c r="DG41" s="222"/>
      <c r="DH41" s="222"/>
      <c r="DI41" s="222"/>
      <c r="DJ41" s="222"/>
      <c r="DK41" s="222"/>
      <c r="DL41" s="222"/>
      <c r="DM41" s="222"/>
      <c r="DN41" s="174"/>
      <c r="DO41" s="174"/>
      <c r="DP41" s="174"/>
      <c r="DQ41" s="174"/>
      <c r="DR41" s="174"/>
      <c r="DS41" s="174"/>
      <c r="DT41" s="174"/>
      <c r="DU41" s="174"/>
      <c r="DV41" s="174"/>
      <c r="DW41" s="174"/>
      <c r="DX41" s="174"/>
      <c r="DY41" s="174"/>
      <c r="DZ41" s="174"/>
      <c r="EA41" s="174"/>
      <c r="EB41" s="174"/>
      <c r="EC41" s="174"/>
      <c r="ED41" s="174"/>
      <c r="EE41" s="174"/>
      <c r="EF41" s="174"/>
      <c r="EG41" s="174"/>
      <c r="EH41" s="174"/>
      <c r="EI41" s="174"/>
      <c r="EJ41" s="174"/>
      <c r="EK41" s="174"/>
      <c r="EL41" s="174"/>
      <c r="EM41" s="174"/>
      <c r="EN41" s="174"/>
      <c r="EO41" s="174"/>
      <c r="EP41" s="174"/>
      <c r="EQ41" s="174"/>
      <c r="ER41" s="174"/>
      <c r="ES41" s="174"/>
      <c r="ET41" s="174"/>
      <c r="EU41" s="174"/>
      <c r="EV41" s="174"/>
      <c r="EW41" s="174"/>
      <c r="EX41" s="174"/>
      <c r="EY41" s="174"/>
      <c r="EZ41" s="174"/>
      <c r="FA41" s="174"/>
      <c r="FB41" s="174"/>
      <c r="FC41" s="174"/>
      <c r="FD41" s="174"/>
      <c r="FE41" s="174"/>
      <c r="FF41" s="174"/>
      <c r="FG41" s="174"/>
      <c r="FH41" s="174"/>
      <c r="FI41" s="174"/>
      <c r="FJ41" s="174"/>
      <c r="FK41" s="174"/>
      <c r="FL41" s="174"/>
      <c r="FM41" s="174"/>
      <c r="FN41" s="174"/>
      <c r="FO41" s="174"/>
      <c r="FP41" s="174"/>
      <c r="FQ41" s="174"/>
      <c r="FR41" s="174"/>
      <c r="FS41" s="174"/>
      <c r="FT41" s="174"/>
      <c r="FU41" s="174"/>
      <c r="FV41" s="174"/>
      <c r="FW41" s="174"/>
      <c r="FX41" s="174"/>
      <c r="FY41" s="174"/>
      <c r="FZ41" s="174"/>
      <c r="GA41" s="174"/>
      <c r="GB41" s="174"/>
      <c r="GC41" s="174"/>
      <c r="GD41" s="174"/>
      <c r="GE41" s="174"/>
      <c r="GF41" s="174"/>
      <c r="GG41" s="174"/>
      <c r="GH41" s="174"/>
      <c r="GI41" s="174"/>
      <c r="GJ41" s="174"/>
      <c r="GK41" s="174"/>
      <c r="GL41" s="174"/>
      <c r="GM41" s="174"/>
      <c r="GN41" s="174"/>
      <c r="GO41" s="174"/>
      <c r="GP41" s="174"/>
      <c r="GQ41" s="174"/>
      <c r="GR41" s="174"/>
      <c r="GS41" s="174"/>
      <c r="GT41" s="174"/>
      <c r="GU41" s="174"/>
      <c r="GV41" s="174"/>
      <c r="GW41" s="174"/>
      <c r="GX41" s="174"/>
      <c r="GY41" s="174"/>
      <c r="GZ41" s="174"/>
      <c r="HA41" s="174"/>
      <c r="HB41" s="174"/>
      <c r="HC41" s="174"/>
      <c r="HD41" s="174"/>
      <c r="HE41" s="174"/>
      <c r="HF41" s="174"/>
      <c r="HG41" s="174"/>
      <c r="HH41" s="174"/>
      <c r="HI41" s="174"/>
      <c r="HJ41" s="174"/>
      <c r="HK41" s="174"/>
      <c r="HL41" s="174"/>
      <c r="HM41" s="174"/>
      <c r="HN41" s="174"/>
      <c r="HO41" s="174"/>
      <c r="HP41" s="174"/>
      <c r="HQ41" s="174"/>
      <c r="HR41" s="174"/>
      <c r="HS41" s="174"/>
      <c r="HT41" s="174"/>
      <c r="HU41" s="174"/>
      <c r="HV41" s="174"/>
      <c r="HW41" s="174"/>
      <c r="HX41" s="174"/>
      <c r="HY41" s="174"/>
      <c r="HZ41" s="174"/>
      <c r="IA41" s="174"/>
      <c r="IB41" s="174"/>
      <c r="IC41" s="174"/>
      <c r="ID41" s="174"/>
      <c r="IE41" s="174"/>
      <c r="IF41" s="174"/>
      <c r="IG41" s="174"/>
      <c r="IH41" s="174"/>
      <c r="II41" s="174"/>
      <c r="IJ41" s="174"/>
      <c r="IK41" s="174"/>
      <c r="IL41" s="174"/>
      <c r="IM41" s="174"/>
      <c r="IN41" s="174"/>
      <c r="IO41" s="174"/>
      <c r="IP41" s="174"/>
      <c r="IQ41" s="174"/>
      <c r="IR41" s="174"/>
      <c r="IS41" s="174"/>
      <c r="IT41" s="174"/>
      <c r="IU41" s="174"/>
      <c r="IV41" s="174"/>
      <c r="IW41" s="174"/>
      <c r="IX41" s="174"/>
      <c r="IY41" s="174"/>
      <c r="IZ41" s="174"/>
      <c r="JA41" s="174"/>
      <c r="JB41" s="174"/>
      <c r="JC41" s="174"/>
      <c r="JD41" s="174"/>
      <c r="JE41" s="174"/>
      <c r="JF41" s="174"/>
      <c r="JG41" s="174"/>
      <c r="JH41" s="174"/>
      <c r="JI41" s="174"/>
      <c r="JJ41" s="174"/>
      <c r="JK41" s="174"/>
      <c r="JL41" s="174"/>
      <c r="JM41" s="174"/>
      <c r="JN41" s="174"/>
      <c r="JO41" s="174"/>
      <c r="JP41" s="174"/>
      <c r="JQ41" s="174"/>
      <c r="JR41" s="174"/>
      <c r="JS41" s="174"/>
      <c r="JT41" s="174"/>
      <c r="JU41" s="174"/>
      <c r="JV41" s="174"/>
    </row>
    <row r="42" spans="1:282" s="173" customFormat="1">
      <c r="A42" s="232"/>
      <c r="D42" s="233"/>
      <c r="E42" s="228"/>
      <c r="F42" s="234"/>
      <c r="BA42" s="277"/>
      <c r="CR42" s="151"/>
      <c r="DA42" s="222"/>
      <c r="DB42" s="222"/>
      <c r="DC42" s="222"/>
      <c r="DD42" s="222"/>
      <c r="DE42" s="222"/>
      <c r="DF42" s="222"/>
      <c r="DG42" s="222"/>
      <c r="DH42" s="222"/>
      <c r="DI42" s="222"/>
      <c r="DJ42" s="222"/>
      <c r="DK42" s="222"/>
      <c r="DL42" s="222"/>
      <c r="DM42" s="222"/>
      <c r="DN42" s="222"/>
      <c r="DO42" s="222"/>
      <c r="DP42" s="222"/>
      <c r="DQ42" s="222"/>
      <c r="DR42" s="222"/>
      <c r="DS42" s="222"/>
      <c r="DT42" s="222"/>
      <c r="DU42" s="222"/>
      <c r="DV42" s="222"/>
      <c r="DW42" s="222"/>
      <c r="DX42" s="222"/>
      <c r="DY42" s="222"/>
      <c r="DZ42" s="222"/>
      <c r="EA42" s="222"/>
      <c r="EB42" s="222"/>
      <c r="EC42" s="222"/>
      <c r="ED42" s="222"/>
      <c r="EE42" s="222"/>
      <c r="EF42" s="222"/>
      <c r="EG42" s="222"/>
      <c r="EH42" s="222"/>
      <c r="EI42" s="222"/>
      <c r="EJ42" s="222"/>
      <c r="EK42" s="222"/>
      <c r="EL42" s="222"/>
      <c r="EM42" s="222"/>
      <c r="EN42" s="222"/>
      <c r="EO42" s="222"/>
      <c r="EP42" s="222"/>
      <c r="EQ42" s="222"/>
      <c r="ER42" s="222"/>
      <c r="ES42" s="222"/>
      <c r="ET42" s="222"/>
      <c r="EU42" s="222"/>
      <c r="EV42" s="222"/>
      <c r="EW42" s="222"/>
      <c r="EX42" s="222"/>
      <c r="EY42" s="222"/>
      <c r="EZ42" s="222"/>
      <c r="FA42" s="222"/>
      <c r="FB42" s="222"/>
      <c r="FC42" s="222"/>
      <c r="FD42" s="222"/>
      <c r="FE42" s="222"/>
      <c r="FF42" s="222"/>
      <c r="FG42" s="222"/>
      <c r="FH42" s="222"/>
      <c r="FI42" s="222"/>
      <c r="FJ42" s="222"/>
      <c r="FK42" s="222"/>
      <c r="FL42" s="222"/>
      <c r="FM42" s="222"/>
      <c r="FN42" s="222"/>
      <c r="FO42" s="222"/>
      <c r="FP42" s="222"/>
      <c r="FQ42" s="222"/>
      <c r="FR42" s="222"/>
      <c r="FS42" s="222"/>
      <c r="FT42" s="222"/>
      <c r="FU42" s="222"/>
      <c r="FV42" s="222"/>
      <c r="FW42" s="222"/>
      <c r="FX42" s="222"/>
      <c r="FY42" s="222"/>
      <c r="FZ42" s="222"/>
      <c r="GA42" s="222"/>
      <c r="GB42" s="222"/>
      <c r="GC42" s="222"/>
      <c r="GD42" s="222"/>
      <c r="GE42" s="222"/>
      <c r="GF42" s="222"/>
      <c r="GG42" s="222"/>
      <c r="GH42" s="222"/>
      <c r="GI42" s="222"/>
      <c r="GJ42" s="222"/>
      <c r="GK42" s="222"/>
      <c r="GL42" s="222"/>
      <c r="GM42" s="222"/>
      <c r="GN42" s="222"/>
      <c r="GO42" s="222"/>
      <c r="GP42" s="222"/>
      <c r="GQ42" s="222"/>
      <c r="GR42" s="222"/>
      <c r="GS42" s="222"/>
      <c r="GT42" s="222"/>
      <c r="GU42" s="222"/>
      <c r="GV42" s="222"/>
      <c r="GW42" s="222"/>
      <c r="GX42" s="222"/>
      <c r="GY42" s="222"/>
      <c r="GZ42" s="222"/>
      <c r="HA42" s="222"/>
      <c r="HB42" s="222"/>
      <c r="HC42" s="222"/>
      <c r="HD42" s="222"/>
      <c r="HE42" s="222"/>
      <c r="HF42" s="222"/>
      <c r="HG42" s="222"/>
      <c r="HH42" s="222"/>
      <c r="HI42" s="222"/>
      <c r="HJ42" s="222"/>
      <c r="HK42" s="222"/>
      <c r="HL42" s="222"/>
      <c r="HM42" s="222"/>
      <c r="HN42" s="222"/>
      <c r="HO42" s="222"/>
      <c r="HP42" s="222"/>
      <c r="HQ42" s="222"/>
      <c r="HR42" s="222"/>
      <c r="HS42" s="222"/>
      <c r="HT42" s="222"/>
      <c r="HU42" s="222"/>
      <c r="HV42" s="222"/>
      <c r="HW42" s="222"/>
      <c r="HX42" s="222"/>
      <c r="HY42" s="222"/>
      <c r="HZ42" s="222"/>
      <c r="IA42" s="222"/>
      <c r="IB42" s="222"/>
      <c r="IC42" s="222"/>
      <c r="ID42" s="222"/>
      <c r="IE42" s="222"/>
      <c r="IF42" s="222"/>
      <c r="IG42" s="222"/>
      <c r="IH42" s="222"/>
      <c r="II42" s="222"/>
      <c r="IJ42" s="222"/>
      <c r="IK42" s="222"/>
      <c r="IL42" s="222"/>
      <c r="IM42" s="222"/>
      <c r="IN42" s="222"/>
      <c r="IO42" s="222"/>
      <c r="IP42" s="222"/>
      <c r="IQ42" s="222"/>
      <c r="IR42" s="222"/>
      <c r="IS42" s="222"/>
      <c r="IT42" s="222"/>
      <c r="IU42" s="222"/>
      <c r="IV42" s="222"/>
      <c r="IW42" s="222"/>
      <c r="IX42" s="222"/>
      <c r="IY42" s="222"/>
      <c r="IZ42" s="222"/>
      <c r="JA42" s="222"/>
      <c r="JB42" s="222"/>
      <c r="JC42" s="222"/>
      <c r="JD42" s="222"/>
      <c r="JE42" s="222"/>
      <c r="JF42" s="222"/>
      <c r="JG42" s="222"/>
      <c r="JH42" s="222"/>
      <c r="JI42" s="222"/>
      <c r="JJ42" s="222"/>
      <c r="JK42" s="222"/>
      <c r="JL42" s="222"/>
      <c r="JM42" s="222"/>
      <c r="JN42" s="222"/>
      <c r="JO42" s="222"/>
      <c r="JP42" s="222"/>
      <c r="JQ42" s="222"/>
      <c r="JR42" s="222"/>
      <c r="JS42" s="222"/>
      <c r="JT42" s="222"/>
      <c r="JU42" s="222"/>
      <c r="JV42" s="222"/>
    </row>
    <row r="43" spans="1:282" s="227" customFormat="1">
      <c r="A43" s="232"/>
      <c r="B43" s="173"/>
      <c r="C43" s="173"/>
      <c r="D43" s="233"/>
      <c r="E43" s="228"/>
      <c r="F43" s="234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277"/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3"/>
      <c r="BN43" s="173"/>
      <c r="BO43" s="173"/>
      <c r="BP43" s="173"/>
      <c r="BQ43" s="173"/>
      <c r="BR43" s="173"/>
      <c r="BS43" s="173"/>
      <c r="BT43" s="173"/>
      <c r="BU43" s="173"/>
      <c r="BV43" s="173"/>
      <c r="BW43" s="173"/>
      <c r="BX43" s="173"/>
      <c r="BY43" s="173"/>
      <c r="BZ43" s="173"/>
      <c r="CA43" s="173"/>
      <c r="CB43" s="173"/>
      <c r="CC43" s="173"/>
      <c r="CD43" s="173"/>
      <c r="CE43" s="173"/>
      <c r="CF43" s="173"/>
      <c r="CG43" s="173"/>
      <c r="CH43" s="173"/>
      <c r="CI43" s="173"/>
      <c r="CJ43" s="173"/>
      <c r="CK43" s="173"/>
      <c r="CL43" s="173"/>
      <c r="CM43" s="173"/>
      <c r="CN43" s="173"/>
      <c r="CO43" s="173"/>
      <c r="CP43" s="173"/>
      <c r="CQ43" s="173"/>
      <c r="CR43" s="151"/>
      <c r="CS43" s="173"/>
      <c r="CT43" s="173"/>
      <c r="CU43" s="173"/>
      <c r="CV43" s="173"/>
      <c r="CW43" s="173"/>
      <c r="CX43" s="173"/>
      <c r="CY43" s="173"/>
      <c r="CZ43" s="173"/>
      <c r="DA43" s="222"/>
      <c r="DB43" s="222"/>
      <c r="DC43" s="222"/>
      <c r="DD43" s="222"/>
      <c r="DE43" s="222"/>
      <c r="DF43" s="222"/>
      <c r="DG43" s="222"/>
      <c r="DH43" s="222"/>
      <c r="DI43" s="222"/>
      <c r="DJ43" s="222"/>
      <c r="DK43" s="222"/>
      <c r="DL43" s="222"/>
      <c r="DM43" s="222"/>
      <c r="DN43" s="222"/>
      <c r="DO43" s="222"/>
      <c r="DP43" s="222"/>
      <c r="DQ43" s="222"/>
      <c r="DR43" s="222"/>
      <c r="DS43" s="222"/>
      <c r="DT43" s="222"/>
      <c r="DU43" s="222"/>
      <c r="DV43" s="222"/>
      <c r="DW43" s="222"/>
      <c r="DX43" s="222"/>
      <c r="DY43" s="222"/>
      <c r="DZ43" s="222"/>
      <c r="EA43" s="222"/>
      <c r="EB43" s="222"/>
      <c r="EC43" s="222"/>
      <c r="ED43" s="222"/>
      <c r="EE43" s="222"/>
      <c r="EF43" s="222"/>
      <c r="EG43" s="222"/>
      <c r="EH43" s="222"/>
      <c r="EI43" s="222"/>
      <c r="EJ43" s="222"/>
      <c r="EK43" s="222"/>
      <c r="EL43" s="222"/>
      <c r="EM43" s="222"/>
      <c r="EN43" s="222"/>
      <c r="EO43" s="222"/>
      <c r="EP43" s="222"/>
      <c r="EQ43" s="222"/>
      <c r="ER43" s="222"/>
      <c r="ES43" s="222"/>
      <c r="ET43" s="222"/>
      <c r="EU43" s="222"/>
      <c r="EV43" s="222"/>
      <c r="EW43" s="222"/>
      <c r="EX43" s="222"/>
      <c r="EY43" s="222"/>
      <c r="EZ43" s="222"/>
      <c r="FA43" s="222"/>
      <c r="FB43" s="222"/>
      <c r="FC43" s="222"/>
      <c r="FD43" s="222"/>
      <c r="FE43" s="222"/>
      <c r="FF43" s="222"/>
      <c r="FG43" s="222"/>
      <c r="FH43" s="222"/>
      <c r="FI43" s="222"/>
      <c r="FJ43" s="222"/>
      <c r="FK43" s="222"/>
      <c r="FL43" s="222"/>
      <c r="FM43" s="222"/>
      <c r="FN43" s="222"/>
      <c r="FO43" s="222"/>
      <c r="FP43" s="222"/>
      <c r="FQ43" s="222"/>
      <c r="FR43" s="222"/>
      <c r="FS43" s="222"/>
      <c r="FT43" s="222"/>
      <c r="FU43" s="222"/>
      <c r="FV43" s="222"/>
      <c r="FW43" s="222"/>
      <c r="FX43" s="222"/>
      <c r="FY43" s="222"/>
      <c r="FZ43" s="222"/>
      <c r="GA43" s="222"/>
      <c r="GB43" s="222"/>
      <c r="GC43" s="222"/>
      <c r="GD43" s="222"/>
      <c r="GE43" s="222"/>
      <c r="GF43" s="222"/>
      <c r="GG43" s="222"/>
      <c r="GH43" s="222"/>
      <c r="GI43" s="222"/>
      <c r="GJ43" s="222"/>
      <c r="GK43" s="222"/>
      <c r="GL43" s="222"/>
      <c r="GM43" s="222"/>
      <c r="GN43" s="222"/>
      <c r="GO43" s="222"/>
      <c r="GP43" s="222"/>
      <c r="GQ43" s="222"/>
      <c r="GR43" s="222"/>
      <c r="GS43" s="222"/>
      <c r="GT43" s="222"/>
      <c r="GU43" s="222"/>
      <c r="GV43" s="222"/>
      <c r="GW43" s="222"/>
      <c r="GX43" s="222"/>
      <c r="GY43" s="222"/>
      <c r="GZ43" s="222"/>
      <c r="HA43" s="222"/>
      <c r="HB43" s="222"/>
      <c r="HC43" s="222"/>
      <c r="HD43" s="222"/>
      <c r="HE43" s="222"/>
      <c r="HF43" s="222"/>
      <c r="HG43" s="222"/>
      <c r="HH43" s="222"/>
      <c r="HI43" s="222"/>
      <c r="HJ43" s="222"/>
      <c r="HK43" s="222"/>
      <c r="HL43" s="222"/>
      <c r="HM43" s="222"/>
      <c r="HN43" s="222"/>
      <c r="HO43" s="222"/>
      <c r="HP43" s="222"/>
      <c r="HQ43" s="222"/>
      <c r="HR43" s="222"/>
      <c r="HS43" s="222"/>
      <c r="HT43" s="222"/>
      <c r="HU43" s="222"/>
      <c r="HV43" s="222"/>
      <c r="HW43" s="222"/>
      <c r="HX43" s="222"/>
      <c r="HY43" s="222"/>
      <c r="HZ43" s="222"/>
      <c r="IA43" s="222"/>
      <c r="IB43" s="222"/>
      <c r="IC43" s="222"/>
      <c r="ID43" s="222"/>
      <c r="IE43" s="222"/>
      <c r="IF43" s="222"/>
      <c r="IG43" s="222"/>
      <c r="IH43" s="222"/>
      <c r="II43" s="222"/>
      <c r="IJ43" s="222"/>
      <c r="IK43" s="222"/>
      <c r="IL43" s="222"/>
      <c r="IM43" s="222"/>
      <c r="IN43" s="222"/>
      <c r="IO43" s="222"/>
      <c r="IP43" s="222"/>
      <c r="IQ43" s="222"/>
      <c r="IR43" s="222"/>
      <c r="IS43" s="222"/>
      <c r="IT43" s="222"/>
      <c r="IU43" s="222"/>
      <c r="IV43" s="222"/>
      <c r="IW43" s="222"/>
      <c r="IX43" s="222"/>
      <c r="IY43" s="222"/>
      <c r="IZ43" s="222"/>
      <c r="JA43" s="222"/>
      <c r="JB43" s="222"/>
      <c r="JC43" s="222"/>
      <c r="JD43" s="222"/>
      <c r="JE43" s="222"/>
      <c r="JF43" s="222"/>
      <c r="JG43" s="222"/>
      <c r="JH43" s="222"/>
      <c r="JI43" s="222"/>
      <c r="JJ43" s="222"/>
      <c r="JK43" s="222"/>
      <c r="JL43" s="222"/>
      <c r="JM43" s="222"/>
      <c r="JN43" s="222"/>
      <c r="JO43" s="222"/>
      <c r="JP43" s="222"/>
      <c r="JQ43" s="222"/>
      <c r="JR43" s="222"/>
      <c r="JS43" s="222"/>
      <c r="JT43" s="222"/>
      <c r="JU43" s="222"/>
      <c r="JV43" s="222"/>
    </row>
    <row r="44" spans="1:282" s="173" customFormat="1">
      <c r="A44" s="232"/>
      <c r="D44" s="233"/>
      <c r="E44" s="228"/>
      <c r="F44" s="234"/>
      <c r="BA44" s="277"/>
      <c r="CR44" s="151"/>
      <c r="DA44" s="222"/>
      <c r="DB44" s="222"/>
      <c r="DC44" s="222"/>
      <c r="DD44" s="222"/>
      <c r="DE44" s="222"/>
      <c r="DF44" s="222"/>
      <c r="DG44" s="222"/>
      <c r="DH44" s="222"/>
      <c r="DI44" s="222"/>
      <c r="DJ44" s="222"/>
      <c r="DK44" s="222"/>
      <c r="DL44" s="222"/>
      <c r="DM44" s="222"/>
      <c r="DN44" s="222"/>
      <c r="DO44" s="222"/>
      <c r="DP44" s="222"/>
      <c r="DQ44" s="222"/>
      <c r="DR44" s="222"/>
      <c r="DS44" s="222"/>
      <c r="DT44" s="222"/>
      <c r="DU44" s="222"/>
      <c r="DV44" s="222"/>
      <c r="DW44" s="222"/>
      <c r="DX44" s="222"/>
      <c r="DY44" s="222"/>
      <c r="DZ44" s="222"/>
      <c r="EA44" s="222"/>
      <c r="EB44" s="222"/>
      <c r="EC44" s="222"/>
      <c r="ED44" s="222"/>
      <c r="EE44" s="222"/>
      <c r="EF44" s="222"/>
      <c r="EG44" s="222"/>
      <c r="EH44" s="222"/>
      <c r="EI44" s="222"/>
      <c r="EJ44" s="222"/>
      <c r="EK44" s="222"/>
      <c r="EL44" s="222"/>
      <c r="EM44" s="222"/>
      <c r="EN44" s="222"/>
      <c r="EO44" s="222"/>
      <c r="EP44" s="222"/>
      <c r="EQ44" s="222"/>
      <c r="ER44" s="222"/>
      <c r="ES44" s="222"/>
      <c r="ET44" s="222"/>
      <c r="EU44" s="222"/>
      <c r="EV44" s="222"/>
      <c r="EW44" s="222"/>
      <c r="EX44" s="222"/>
      <c r="EY44" s="222"/>
      <c r="EZ44" s="222"/>
      <c r="FA44" s="222"/>
      <c r="FB44" s="222"/>
      <c r="FC44" s="222"/>
      <c r="FD44" s="222"/>
      <c r="FE44" s="222"/>
      <c r="FF44" s="222"/>
      <c r="FG44" s="222"/>
      <c r="FH44" s="222"/>
      <c r="FI44" s="222"/>
      <c r="FJ44" s="222"/>
      <c r="FK44" s="222"/>
      <c r="FL44" s="222"/>
      <c r="FM44" s="222"/>
      <c r="FN44" s="222"/>
      <c r="FO44" s="222"/>
      <c r="FP44" s="222"/>
      <c r="FQ44" s="222"/>
      <c r="FR44" s="222"/>
      <c r="FS44" s="222"/>
      <c r="FT44" s="222"/>
      <c r="FU44" s="222"/>
      <c r="FV44" s="222"/>
      <c r="FW44" s="222"/>
      <c r="FX44" s="222"/>
      <c r="FY44" s="222"/>
      <c r="FZ44" s="222"/>
      <c r="GA44" s="222"/>
      <c r="GB44" s="222"/>
      <c r="GC44" s="222"/>
      <c r="GD44" s="222"/>
      <c r="GE44" s="222"/>
      <c r="GF44" s="222"/>
      <c r="GG44" s="222"/>
      <c r="GH44" s="222"/>
      <c r="GI44" s="222"/>
      <c r="GJ44" s="222"/>
      <c r="GK44" s="222"/>
      <c r="GL44" s="222"/>
      <c r="GM44" s="222"/>
      <c r="GN44" s="222"/>
      <c r="GO44" s="222"/>
      <c r="GP44" s="222"/>
      <c r="GQ44" s="222"/>
      <c r="GR44" s="222"/>
      <c r="GS44" s="222"/>
      <c r="GT44" s="222"/>
      <c r="GU44" s="222"/>
      <c r="GV44" s="222"/>
      <c r="GW44" s="222"/>
      <c r="GX44" s="222"/>
      <c r="GY44" s="222"/>
      <c r="GZ44" s="222"/>
      <c r="HA44" s="222"/>
      <c r="HB44" s="222"/>
      <c r="HC44" s="222"/>
      <c r="HD44" s="222"/>
      <c r="HE44" s="222"/>
      <c r="HF44" s="222"/>
      <c r="HG44" s="222"/>
      <c r="HH44" s="222"/>
      <c r="HI44" s="222"/>
      <c r="HJ44" s="222"/>
      <c r="HK44" s="222"/>
      <c r="HL44" s="222"/>
      <c r="HM44" s="222"/>
      <c r="HN44" s="222"/>
      <c r="HO44" s="222"/>
      <c r="HP44" s="222"/>
      <c r="HQ44" s="222"/>
      <c r="HR44" s="222"/>
      <c r="HS44" s="222"/>
      <c r="HT44" s="222"/>
      <c r="HU44" s="222"/>
      <c r="HV44" s="222"/>
      <c r="HW44" s="222"/>
      <c r="HX44" s="222"/>
      <c r="HY44" s="222"/>
      <c r="HZ44" s="222"/>
      <c r="IA44" s="222"/>
      <c r="IB44" s="222"/>
      <c r="IC44" s="222"/>
      <c r="ID44" s="222"/>
      <c r="IE44" s="222"/>
      <c r="IF44" s="222"/>
      <c r="IG44" s="222"/>
      <c r="IH44" s="222"/>
      <c r="II44" s="222"/>
      <c r="IJ44" s="222"/>
      <c r="IK44" s="222"/>
      <c r="IL44" s="222"/>
      <c r="IM44" s="222"/>
      <c r="IN44" s="222"/>
      <c r="IO44" s="222"/>
      <c r="IP44" s="222"/>
      <c r="IQ44" s="222"/>
      <c r="IR44" s="222"/>
      <c r="IS44" s="222"/>
      <c r="IT44" s="222"/>
      <c r="IU44" s="222"/>
      <c r="IV44" s="222"/>
      <c r="IW44" s="222"/>
      <c r="IX44" s="222"/>
      <c r="IY44" s="222"/>
      <c r="IZ44" s="222"/>
      <c r="JA44" s="222"/>
      <c r="JB44" s="222"/>
      <c r="JC44" s="222"/>
      <c r="JD44" s="222"/>
      <c r="JE44" s="222"/>
      <c r="JF44" s="222"/>
      <c r="JG44" s="222"/>
      <c r="JH44" s="222"/>
      <c r="JI44" s="222"/>
      <c r="JJ44" s="222"/>
      <c r="JK44" s="222"/>
      <c r="JL44" s="222"/>
      <c r="JM44" s="222"/>
      <c r="JN44" s="222"/>
      <c r="JO44" s="222"/>
      <c r="JP44" s="222"/>
      <c r="JQ44" s="222"/>
      <c r="JR44" s="222"/>
      <c r="JS44" s="222"/>
      <c r="JT44" s="222"/>
      <c r="JU44" s="222"/>
      <c r="JV44" s="222"/>
    </row>
    <row r="45" spans="1:282" s="173" customFormat="1">
      <c r="A45" s="232"/>
      <c r="D45" s="233"/>
      <c r="E45" s="228"/>
      <c r="F45" s="234"/>
      <c r="BA45" s="277"/>
      <c r="CR45" s="151"/>
      <c r="DA45" s="222"/>
      <c r="DB45" s="222"/>
      <c r="DC45" s="222"/>
      <c r="DD45" s="222"/>
      <c r="DE45" s="222"/>
      <c r="DF45" s="222"/>
      <c r="DG45" s="222"/>
      <c r="DH45" s="222"/>
      <c r="DI45" s="222"/>
      <c r="DJ45" s="222"/>
      <c r="DK45" s="222"/>
      <c r="DL45" s="222"/>
      <c r="DM45" s="222"/>
      <c r="DN45" s="222"/>
      <c r="DO45" s="222"/>
      <c r="DP45" s="222"/>
      <c r="DQ45" s="222"/>
      <c r="DR45" s="222"/>
      <c r="DS45" s="222"/>
      <c r="DT45" s="222"/>
      <c r="DU45" s="222"/>
      <c r="DV45" s="222"/>
      <c r="DW45" s="222"/>
      <c r="DX45" s="222"/>
      <c r="DY45" s="222"/>
      <c r="DZ45" s="222"/>
      <c r="EA45" s="222"/>
      <c r="EB45" s="222"/>
      <c r="EC45" s="222"/>
      <c r="ED45" s="222"/>
      <c r="EE45" s="222"/>
      <c r="EF45" s="222"/>
      <c r="EG45" s="222"/>
      <c r="EH45" s="222"/>
      <c r="EI45" s="222"/>
      <c r="EJ45" s="222"/>
      <c r="EK45" s="222"/>
      <c r="EL45" s="222"/>
      <c r="EM45" s="222"/>
      <c r="EN45" s="222"/>
      <c r="EO45" s="222"/>
      <c r="EP45" s="222"/>
      <c r="EQ45" s="222"/>
      <c r="ER45" s="222"/>
      <c r="ES45" s="222"/>
      <c r="ET45" s="222"/>
      <c r="EU45" s="222"/>
      <c r="EV45" s="222"/>
      <c r="EW45" s="222"/>
      <c r="EX45" s="222"/>
      <c r="EY45" s="222"/>
      <c r="EZ45" s="222"/>
      <c r="FA45" s="222"/>
      <c r="FB45" s="222"/>
      <c r="FC45" s="222"/>
      <c r="FD45" s="222"/>
      <c r="FE45" s="222"/>
      <c r="FF45" s="222"/>
      <c r="FG45" s="222"/>
      <c r="FH45" s="222"/>
      <c r="FI45" s="222"/>
      <c r="FJ45" s="222"/>
      <c r="FK45" s="222"/>
      <c r="FL45" s="222"/>
      <c r="FM45" s="222"/>
      <c r="FN45" s="222"/>
      <c r="FO45" s="222"/>
      <c r="FP45" s="222"/>
      <c r="FQ45" s="222"/>
      <c r="FR45" s="222"/>
      <c r="FS45" s="222"/>
      <c r="FT45" s="222"/>
      <c r="FU45" s="222"/>
      <c r="FV45" s="222"/>
      <c r="FW45" s="222"/>
      <c r="FX45" s="222"/>
      <c r="FY45" s="222"/>
      <c r="FZ45" s="222"/>
      <c r="GA45" s="222"/>
      <c r="GB45" s="222"/>
      <c r="GC45" s="222"/>
      <c r="GD45" s="222"/>
      <c r="GE45" s="222"/>
      <c r="GF45" s="222"/>
      <c r="GG45" s="222"/>
      <c r="GH45" s="222"/>
      <c r="GI45" s="222"/>
      <c r="GJ45" s="222"/>
      <c r="GK45" s="222"/>
      <c r="GL45" s="222"/>
      <c r="GM45" s="222"/>
      <c r="GN45" s="222"/>
      <c r="GO45" s="222"/>
      <c r="GP45" s="222"/>
      <c r="GQ45" s="222"/>
      <c r="GR45" s="222"/>
      <c r="GS45" s="222"/>
      <c r="GT45" s="222"/>
      <c r="GU45" s="222"/>
      <c r="GV45" s="222"/>
      <c r="GW45" s="222"/>
      <c r="GX45" s="222"/>
      <c r="GY45" s="222"/>
      <c r="GZ45" s="222"/>
      <c r="HA45" s="222"/>
      <c r="HB45" s="222"/>
      <c r="HC45" s="222"/>
      <c r="HD45" s="222"/>
      <c r="HE45" s="222"/>
      <c r="HF45" s="222"/>
      <c r="HG45" s="222"/>
      <c r="HH45" s="222"/>
      <c r="HI45" s="222"/>
      <c r="HJ45" s="222"/>
      <c r="HK45" s="222"/>
      <c r="HL45" s="222"/>
      <c r="HM45" s="222"/>
      <c r="HN45" s="222"/>
      <c r="HO45" s="222"/>
      <c r="HP45" s="222"/>
      <c r="HQ45" s="222"/>
      <c r="HR45" s="222"/>
      <c r="HS45" s="222"/>
      <c r="HT45" s="222"/>
      <c r="HU45" s="222"/>
      <c r="HV45" s="222"/>
      <c r="HW45" s="222"/>
      <c r="HX45" s="222"/>
      <c r="HY45" s="222"/>
      <c r="HZ45" s="222"/>
      <c r="IA45" s="222"/>
      <c r="IB45" s="222"/>
      <c r="IC45" s="222"/>
      <c r="ID45" s="222"/>
      <c r="IE45" s="222"/>
      <c r="IF45" s="222"/>
      <c r="IG45" s="222"/>
      <c r="IH45" s="222"/>
      <c r="II45" s="222"/>
      <c r="IJ45" s="222"/>
      <c r="IK45" s="222"/>
      <c r="IL45" s="222"/>
      <c r="IM45" s="222"/>
      <c r="IN45" s="222"/>
      <c r="IO45" s="222"/>
      <c r="IP45" s="222"/>
      <c r="IQ45" s="222"/>
      <c r="IR45" s="222"/>
      <c r="IS45" s="222"/>
      <c r="IT45" s="222"/>
      <c r="IU45" s="222"/>
      <c r="IV45" s="222"/>
      <c r="IW45" s="222"/>
      <c r="IX45" s="222"/>
      <c r="IY45" s="222"/>
      <c r="IZ45" s="222"/>
      <c r="JA45" s="222"/>
      <c r="JB45" s="222"/>
      <c r="JC45" s="222"/>
      <c r="JD45" s="222"/>
      <c r="JE45" s="222"/>
      <c r="JF45" s="222"/>
      <c r="JG45" s="222"/>
      <c r="JH45" s="222"/>
      <c r="JI45" s="222"/>
      <c r="JJ45" s="222"/>
      <c r="JK45" s="222"/>
      <c r="JL45" s="222"/>
      <c r="JM45" s="222"/>
      <c r="JN45" s="222"/>
      <c r="JO45" s="222"/>
      <c r="JP45" s="222"/>
      <c r="JQ45" s="222"/>
      <c r="JR45" s="222"/>
      <c r="JS45" s="222"/>
      <c r="JT45" s="222"/>
      <c r="JU45" s="222"/>
      <c r="JV45" s="222"/>
    </row>
    <row r="46" spans="1:282" s="146" customFormat="1">
      <c r="A46" s="232"/>
      <c r="B46" s="173"/>
      <c r="C46" s="173"/>
      <c r="D46" s="233"/>
      <c r="E46" s="228"/>
      <c r="F46" s="234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3"/>
      <c r="AZ46" s="173"/>
      <c r="BA46" s="277"/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173"/>
      <c r="BV46" s="173"/>
      <c r="BW46" s="173"/>
      <c r="BX46" s="173"/>
      <c r="BY46" s="173"/>
      <c r="BZ46" s="173"/>
      <c r="CA46" s="173"/>
      <c r="CB46" s="173"/>
      <c r="CC46" s="173"/>
      <c r="CD46" s="173"/>
      <c r="CE46" s="173"/>
      <c r="CF46" s="173"/>
      <c r="CG46" s="173"/>
      <c r="CH46" s="173"/>
      <c r="CI46" s="173"/>
      <c r="CJ46" s="173"/>
      <c r="CK46" s="173"/>
      <c r="CL46" s="173"/>
      <c r="CM46" s="173"/>
      <c r="CN46" s="173"/>
      <c r="CO46" s="173"/>
      <c r="CP46" s="173"/>
      <c r="CQ46" s="173"/>
      <c r="CR46" s="151"/>
      <c r="CS46" s="173"/>
      <c r="CT46" s="173"/>
      <c r="CU46" s="173"/>
      <c r="CV46" s="173"/>
      <c r="CW46" s="173"/>
      <c r="CX46" s="173"/>
      <c r="CY46" s="173"/>
      <c r="CZ46" s="173"/>
      <c r="DA46" s="222"/>
      <c r="DB46" s="222"/>
      <c r="DC46" s="222"/>
      <c r="DD46" s="222"/>
      <c r="DE46" s="222"/>
      <c r="DF46" s="222"/>
      <c r="DG46" s="222"/>
      <c r="DH46" s="222"/>
      <c r="DI46" s="222"/>
      <c r="DJ46" s="222"/>
      <c r="DK46" s="222"/>
      <c r="DL46" s="222"/>
      <c r="DM46" s="222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  <c r="EB46" s="174"/>
      <c r="EC46" s="174"/>
      <c r="ED46" s="174"/>
      <c r="EE46" s="174"/>
      <c r="EF46" s="174"/>
      <c r="EG46" s="174"/>
      <c r="EH46" s="174"/>
      <c r="EI46" s="174"/>
      <c r="EJ46" s="174"/>
      <c r="EK46" s="174"/>
      <c r="EL46" s="174"/>
      <c r="EM46" s="174"/>
      <c r="EN46" s="174"/>
      <c r="EO46" s="174"/>
      <c r="EP46" s="174"/>
      <c r="EQ46" s="174"/>
      <c r="ER46" s="174"/>
      <c r="ES46" s="174"/>
      <c r="ET46" s="174"/>
      <c r="EU46" s="174"/>
      <c r="EV46" s="174"/>
      <c r="EW46" s="174"/>
      <c r="EX46" s="174"/>
      <c r="EY46" s="174"/>
      <c r="EZ46" s="174"/>
      <c r="FA46" s="174"/>
      <c r="FB46" s="174"/>
      <c r="FC46" s="174"/>
      <c r="FD46" s="174"/>
      <c r="FE46" s="174"/>
      <c r="FF46" s="174"/>
      <c r="FG46" s="174"/>
      <c r="FH46" s="174"/>
      <c r="FI46" s="174"/>
      <c r="FJ46" s="174"/>
      <c r="FK46" s="174"/>
      <c r="FL46" s="174"/>
      <c r="FM46" s="174"/>
      <c r="FN46" s="174"/>
      <c r="FO46" s="174"/>
      <c r="FP46" s="174"/>
      <c r="FQ46" s="174"/>
      <c r="FR46" s="174"/>
      <c r="FS46" s="174"/>
      <c r="FT46" s="174"/>
      <c r="FU46" s="174"/>
      <c r="FV46" s="174"/>
      <c r="FW46" s="174"/>
      <c r="FX46" s="174"/>
      <c r="FY46" s="174"/>
      <c r="FZ46" s="174"/>
      <c r="GA46" s="174"/>
      <c r="GB46" s="174"/>
      <c r="GC46" s="174"/>
      <c r="GD46" s="174"/>
      <c r="GE46" s="174"/>
      <c r="GF46" s="174"/>
      <c r="GG46" s="174"/>
      <c r="GH46" s="174"/>
      <c r="GI46" s="174"/>
      <c r="GJ46" s="174"/>
      <c r="GK46" s="174"/>
      <c r="GL46" s="174"/>
      <c r="GM46" s="174"/>
      <c r="GN46" s="174"/>
      <c r="GO46" s="174"/>
      <c r="GP46" s="174"/>
      <c r="GQ46" s="174"/>
      <c r="GR46" s="174"/>
      <c r="GS46" s="174"/>
      <c r="GT46" s="174"/>
      <c r="GU46" s="174"/>
      <c r="GV46" s="174"/>
      <c r="GW46" s="174"/>
      <c r="GX46" s="174"/>
      <c r="GY46" s="174"/>
      <c r="GZ46" s="174"/>
      <c r="HA46" s="174"/>
      <c r="HB46" s="174"/>
      <c r="HC46" s="174"/>
      <c r="HD46" s="174"/>
      <c r="HE46" s="174"/>
      <c r="HF46" s="174"/>
      <c r="HG46" s="174"/>
      <c r="HH46" s="174"/>
      <c r="HI46" s="174"/>
      <c r="HJ46" s="174"/>
      <c r="HK46" s="174"/>
      <c r="HL46" s="174"/>
      <c r="HM46" s="174"/>
      <c r="HN46" s="174"/>
      <c r="HO46" s="174"/>
      <c r="HP46" s="174"/>
      <c r="HQ46" s="174"/>
      <c r="HR46" s="174"/>
      <c r="HS46" s="174"/>
      <c r="HT46" s="174"/>
      <c r="HU46" s="174"/>
      <c r="HV46" s="174"/>
      <c r="HW46" s="174"/>
      <c r="HX46" s="174"/>
      <c r="HY46" s="174"/>
      <c r="HZ46" s="174"/>
      <c r="IA46" s="174"/>
      <c r="IB46" s="174"/>
      <c r="IC46" s="174"/>
      <c r="ID46" s="174"/>
      <c r="IE46" s="174"/>
      <c r="IF46" s="174"/>
      <c r="IG46" s="174"/>
      <c r="IH46" s="174"/>
      <c r="II46" s="174"/>
      <c r="IJ46" s="174"/>
      <c r="IK46" s="174"/>
      <c r="IL46" s="174"/>
      <c r="IM46" s="174"/>
      <c r="IN46" s="174"/>
      <c r="IO46" s="174"/>
      <c r="IP46" s="174"/>
      <c r="IQ46" s="174"/>
      <c r="IR46" s="174"/>
      <c r="IS46" s="174"/>
      <c r="IT46" s="174"/>
      <c r="IU46" s="174"/>
      <c r="IV46" s="174"/>
      <c r="IW46" s="174"/>
      <c r="IX46" s="174"/>
      <c r="IY46" s="174"/>
      <c r="IZ46" s="174"/>
      <c r="JA46" s="174"/>
      <c r="JB46" s="174"/>
      <c r="JC46" s="174"/>
      <c r="JD46" s="174"/>
      <c r="JE46" s="174"/>
      <c r="JF46" s="174"/>
      <c r="JG46" s="174"/>
      <c r="JH46" s="174"/>
      <c r="JI46" s="174"/>
      <c r="JJ46" s="174"/>
      <c r="JK46" s="174"/>
      <c r="JL46" s="174"/>
      <c r="JM46" s="174"/>
      <c r="JN46" s="174"/>
      <c r="JO46" s="174"/>
      <c r="JP46" s="174"/>
      <c r="JQ46" s="174"/>
      <c r="JR46" s="174"/>
      <c r="JS46" s="174"/>
      <c r="JT46" s="174"/>
      <c r="JU46" s="174"/>
      <c r="JV46" s="174"/>
    </row>
    <row r="47" spans="1:282" s="146" customFormat="1">
      <c r="A47" s="232"/>
      <c r="B47" s="173"/>
      <c r="C47" s="173"/>
      <c r="D47" s="233"/>
      <c r="E47" s="228"/>
      <c r="F47" s="234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3"/>
      <c r="AT47" s="173"/>
      <c r="AU47" s="173"/>
      <c r="AV47" s="173"/>
      <c r="AW47" s="173"/>
      <c r="AX47" s="173"/>
      <c r="AY47" s="173"/>
      <c r="AZ47" s="173"/>
      <c r="BA47" s="277"/>
      <c r="BB47" s="173"/>
      <c r="BC47" s="173"/>
      <c r="BD47" s="173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173"/>
      <c r="BP47" s="173"/>
      <c r="BQ47" s="173"/>
      <c r="BR47" s="173"/>
      <c r="BS47" s="173"/>
      <c r="BT47" s="173"/>
      <c r="BU47" s="173"/>
      <c r="BV47" s="173"/>
      <c r="BW47" s="173"/>
      <c r="BX47" s="173"/>
      <c r="BY47" s="173"/>
      <c r="BZ47" s="173"/>
      <c r="CA47" s="173"/>
      <c r="CB47" s="173"/>
      <c r="CC47" s="173"/>
      <c r="CD47" s="173"/>
      <c r="CE47" s="173"/>
      <c r="CF47" s="173"/>
      <c r="CG47" s="173"/>
      <c r="CH47" s="173"/>
      <c r="CI47" s="173"/>
      <c r="CJ47" s="173"/>
      <c r="CK47" s="173"/>
      <c r="CL47" s="173"/>
      <c r="CM47" s="173"/>
      <c r="CN47" s="173"/>
      <c r="CO47" s="173"/>
      <c r="CP47" s="173"/>
      <c r="CQ47" s="173"/>
      <c r="CR47" s="151"/>
      <c r="CS47" s="173"/>
      <c r="CT47" s="173"/>
      <c r="CU47" s="173"/>
      <c r="CV47" s="173"/>
      <c r="CW47" s="173"/>
      <c r="CX47" s="173"/>
      <c r="CY47" s="173"/>
      <c r="CZ47" s="173"/>
      <c r="DA47" s="222"/>
      <c r="DB47" s="222"/>
      <c r="DC47" s="222"/>
      <c r="DD47" s="222"/>
      <c r="DE47" s="222"/>
      <c r="DF47" s="222"/>
      <c r="DG47" s="222"/>
      <c r="DH47" s="222"/>
      <c r="DI47" s="222"/>
      <c r="DJ47" s="222"/>
      <c r="DK47" s="222"/>
      <c r="DL47" s="222"/>
      <c r="DM47" s="222"/>
      <c r="DN47" s="174"/>
      <c r="DO47" s="174"/>
      <c r="DP47" s="174"/>
      <c r="DQ47" s="174"/>
      <c r="DR47" s="174"/>
      <c r="DS47" s="174"/>
      <c r="DT47" s="174"/>
      <c r="DU47" s="174"/>
      <c r="DV47" s="174"/>
      <c r="DW47" s="174"/>
      <c r="DX47" s="174"/>
      <c r="DY47" s="174"/>
      <c r="DZ47" s="174"/>
      <c r="EA47" s="174"/>
      <c r="EB47" s="174"/>
      <c r="EC47" s="174"/>
      <c r="ED47" s="174"/>
      <c r="EE47" s="174"/>
      <c r="EF47" s="174"/>
      <c r="EG47" s="174"/>
      <c r="EH47" s="174"/>
      <c r="EI47" s="174"/>
      <c r="EJ47" s="174"/>
      <c r="EK47" s="174"/>
      <c r="EL47" s="174"/>
      <c r="EM47" s="174"/>
      <c r="EN47" s="174"/>
      <c r="EO47" s="174"/>
      <c r="EP47" s="174"/>
      <c r="EQ47" s="174"/>
      <c r="ER47" s="174"/>
      <c r="ES47" s="174"/>
      <c r="ET47" s="174"/>
      <c r="EU47" s="174"/>
      <c r="EV47" s="174"/>
      <c r="EW47" s="174"/>
      <c r="EX47" s="174"/>
      <c r="EY47" s="174"/>
      <c r="EZ47" s="174"/>
      <c r="FA47" s="174"/>
      <c r="FB47" s="174"/>
      <c r="FC47" s="174"/>
      <c r="FD47" s="174"/>
      <c r="FE47" s="174"/>
      <c r="FF47" s="174"/>
      <c r="FG47" s="174"/>
      <c r="FH47" s="174"/>
      <c r="FI47" s="174"/>
      <c r="FJ47" s="174"/>
      <c r="FK47" s="174"/>
      <c r="FL47" s="174"/>
      <c r="FM47" s="174"/>
      <c r="FN47" s="174"/>
      <c r="FO47" s="174"/>
      <c r="FP47" s="174"/>
      <c r="FQ47" s="174"/>
      <c r="FR47" s="174"/>
      <c r="FS47" s="174"/>
      <c r="FT47" s="174"/>
      <c r="FU47" s="174"/>
      <c r="FV47" s="174"/>
      <c r="FW47" s="174"/>
      <c r="FX47" s="174"/>
      <c r="FY47" s="174"/>
      <c r="FZ47" s="174"/>
      <c r="GA47" s="174"/>
      <c r="GB47" s="174"/>
      <c r="GC47" s="174"/>
      <c r="GD47" s="174"/>
      <c r="GE47" s="174"/>
      <c r="GF47" s="174"/>
      <c r="GG47" s="174"/>
      <c r="GH47" s="174"/>
      <c r="GI47" s="174"/>
      <c r="GJ47" s="174"/>
      <c r="GK47" s="174"/>
      <c r="GL47" s="174"/>
      <c r="GM47" s="174"/>
      <c r="GN47" s="174"/>
      <c r="GO47" s="174"/>
      <c r="GP47" s="174"/>
      <c r="GQ47" s="174"/>
      <c r="GR47" s="174"/>
      <c r="GS47" s="174"/>
      <c r="GT47" s="174"/>
      <c r="GU47" s="174"/>
      <c r="GV47" s="174"/>
      <c r="GW47" s="174"/>
      <c r="GX47" s="174"/>
      <c r="GY47" s="174"/>
      <c r="GZ47" s="174"/>
      <c r="HA47" s="174"/>
      <c r="HB47" s="174"/>
      <c r="HC47" s="174"/>
      <c r="HD47" s="174"/>
      <c r="HE47" s="174"/>
      <c r="HF47" s="174"/>
      <c r="HG47" s="174"/>
      <c r="HH47" s="174"/>
      <c r="HI47" s="174"/>
      <c r="HJ47" s="174"/>
      <c r="HK47" s="174"/>
      <c r="HL47" s="174"/>
      <c r="HM47" s="174"/>
      <c r="HN47" s="174"/>
      <c r="HO47" s="174"/>
      <c r="HP47" s="174"/>
      <c r="HQ47" s="174"/>
      <c r="HR47" s="174"/>
      <c r="HS47" s="174"/>
      <c r="HT47" s="174"/>
      <c r="HU47" s="174"/>
      <c r="HV47" s="174"/>
      <c r="HW47" s="174"/>
      <c r="HX47" s="174"/>
      <c r="HY47" s="174"/>
      <c r="HZ47" s="174"/>
      <c r="IA47" s="174"/>
      <c r="IB47" s="174"/>
      <c r="IC47" s="174"/>
      <c r="ID47" s="174"/>
      <c r="IE47" s="174"/>
      <c r="IF47" s="174"/>
      <c r="IG47" s="174"/>
      <c r="IH47" s="174"/>
      <c r="II47" s="174"/>
      <c r="IJ47" s="174"/>
      <c r="IK47" s="174"/>
      <c r="IL47" s="174"/>
      <c r="IM47" s="174"/>
      <c r="IN47" s="174"/>
      <c r="IO47" s="174"/>
      <c r="IP47" s="174"/>
      <c r="IQ47" s="174"/>
      <c r="IR47" s="174"/>
      <c r="IS47" s="174"/>
      <c r="IT47" s="174"/>
      <c r="IU47" s="174"/>
      <c r="IV47" s="174"/>
      <c r="IW47" s="174"/>
      <c r="IX47" s="174"/>
      <c r="IY47" s="174"/>
      <c r="IZ47" s="174"/>
      <c r="JA47" s="174"/>
      <c r="JB47" s="174"/>
      <c r="JC47" s="174"/>
      <c r="JD47" s="174"/>
      <c r="JE47" s="174"/>
      <c r="JF47" s="174"/>
      <c r="JG47" s="174"/>
      <c r="JH47" s="174"/>
      <c r="JI47" s="174"/>
      <c r="JJ47" s="174"/>
      <c r="JK47" s="174"/>
      <c r="JL47" s="174"/>
      <c r="JM47" s="174"/>
      <c r="JN47" s="174"/>
      <c r="JO47" s="174"/>
      <c r="JP47" s="174"/>
      <c r="JQ47" s="174"/>
      <c r="JR47" s="174"/>
      <c r="JS47" s="174"/>
      <c r="JT47" s="174"/>
      <c r="JU47" s="174"/>
      <c r="JV47" s="174"/>
    </row>
    <row r="48" spans="1:282" s="146" customFormat="1">
      <c r="A48" s="232"/>
      <c r="B48" s="173"/>
      <c r="C48" s="173"/>
      <c r="D48" s="233"/>
      <c r="E48" s="228"/>
      <c r="F48" s="234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173"/>
      <c r="AT48" s="173"/>
      <c r="AU48" s="173"/>
      <c r="AV48" s="173"/>
      <c r="AW48" s="173"/>
      <c r="AX48" s="173"/>
      <c r="AY48" s="173"/>
      <c r="AZ48" s="173"/>
      <c r="BA48" s="277"/>
      <c r="BB48" s="173"/>
      <c r="BC48" s="173"/>
      <c r="BD48" s="173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173"/>
      <c r="BV48" s="173"/>
      <c r="BW48" s="173"/>
      <c r="BX48" s="173"/>
      <c r="BY48" s="173"/>
      <c r="BZ48" s="173"/>
      <c r="CA48" s="173"/>
      <c r="CB48" s="173"/>
      <c r="CC48" s="173"/>
      <c r="CD48" s="173"/>
      <c r="CE48" s="173"/>
      <c r="CF48" s="173"/>
      <c r="CG48" s="173"/>
      <c r="CH48" s="173"/>
      <c r="CI48" s="173"/>
      <c r="CJ48" s="173"/>
      <c r="CK48" s="173"/>
      <c r="CL48" s="173"/>
      <c r="CM48" s="173"/>
      <c r="CN48" s="173"/>
      <c r="CO48" s="173"/>
      <c r="CP48" s="173"/>
      <c r="CQ48" s="173"/>
      <c r="CR48" s="151"/>
      <c r="CS48" s="173"/>
      <c r="CT48" s="173"/>
      <c r="CU48" s="173"/>
      <c r="CV48" s="173"/>
      <c r="CW48" s="173"/>
      <c r="CX48" s="173"/>
      <c r="CY48" s="173"/>
      <c r="CZ48" s="173"/>
      <c r="DA48" s="222"/>
      <c r="DB48" s="222"/>
      <c r="DC48" s="222"/>
      <c r="DD48" s="222"/>
      <c r="DE48" s="222"/>
      <c r="DF48" s="222"/>
      <c r="DG48" s="222"/>
      <c r="DH48" s="222"/>
      <c r="DI48" s="222"/>
      <c r="DJ48" s="222"/>
      <c r="DK48" s="222"/>
      <c r="DL48" s="222"/>
      <c r="DM48" s="222"/>
      <c r="DN48" s="174"/>
      <c r="DO48" s="174"/>
      <c r="DP48" s="174"/>
      <c r="DQ48" s="174"/>
      <c r="DR48" s="174"/>
      <c r="DS48" s="174"/>
      <c r="DT48" s="174"/>
      <c r="DU48" s="174"/>
      <c r="DV48" s="174"/>
      <c r="DW48" s="174"/>
      <c r="DX48" s="174"/>
      <c r="DY48" s="174"/>
      <c r="DZ48" s="174"/>
      <c r="EA48" s="174"/>
      <c r="EB48" s="174"/>
      <c r="EC48" s="174"/>
      <c r="ED48" s="174"/>
      <c r="EE48" s="174"/>
      <c r="EF48" s="174"/>
      <c r="EG48" s="174"/>
      <c r="EH48" s="174"/>
      <c r="EI48" s="174"/>
      <c r="EJ48" s="174"/>
      <c r="EK48" s="174"/>
      <c r="EL48" s="174"/>
      <c r="EM48" s="174"/>
      <c r="EN48" s="174"/>
      <c r="EO48" s="174"/>
      <c r="EP48" s="174"/>
      <c r="EQ48" s="174"/>
      <c r="ER48" s="174"/>
      <c r="ES48" s="174"/>
      <c r="ET48" s="174"/>
      <c r="EU48" s="174"/>
      <c r="EV48" s="174"/>
      <c r="EW48" s="174"/>
      <c r="EX48" s="174"/>
      <c r="EY48" s="174"/>
      <c r="EZ48" s="174"/>
      <c r="FA48" s="174"/>
      <c r="FB48" s="174"/>
      <c r="FC48" s="174"/>
      <c r="FD48" s="174"/>
      <c r="FE48" s="174"/>
      <c r="FF48" s="174"/>
      <c r="FG48" s="174"/>
      <c r="FH48" s="174"/>
      <c r="FI48" s="174"/>
      <c r="FJ48" s="174"/>
      <c r="FK48" s="174"/>
      <c r="FL48" s="174"/>
      <c r="FM48" s="174"/>
      <c r="FN48" s="174"/>
      <c r="FO48" s="174"/>
      <c r="FP48" s="174"/>
      <c r="FQ48" s="174"/>
      <c r="FR48" s="174"/>
      <c r="FS48" s="174"/>
      <c r="FT48" s="174"/>
      <c r="FU48" s="174"/>
      <c r="FV48" s="174"/>
      <c r="FW48" s="174"/>
      <c r="FX48" s="174"/>
      <c r="FY48" s="174"/>
      <c r="FZ48" s="174"/>
      <c r="GA48" s="174"/>
      <c r="GB48" s="174"/>
      <c r="GC48" s="174"/>
      <c r="GD48" s="174"/>
      <c r="GE48" s="174"/>
      <c r="GF48" s="174"/>
      <c r="GG48" s="174"/>
      <c r="GH48" s="174"/>
      <c r="GI48" s="174"/>
      <c r="GJ48" s="174"/>
      <c r="GK48" s="174"/>
      <c r="GL48" s="174"/>
      <c r="GM48" s="174"/>
      <c r="GN48" s="174"/>
      <c r="GO48" s="174"/>
      <c r="GP48" s="174"/>
      <c r="GQ48" s="174"/>
      <c r="GR48" s="174"/>
      <c r="GS48" s="174"/>
      <c r="GT48" s="174"/>
      <c r="GU48" s="174"/>
      <c r="GV48" s="174"/>
      <c r="GW48" s="174"/>
      <c r="GX48" s="174"/>
      <c r="GY48" s="174"/>
      <c r="GZ48" s="174"/>
      <c r="HA48" s="174"/>
      <c r="HB48" s="174"/>
      <c r="HC48" s="174"/>
      <c r="HD48" s="174"/>
      <c r="HE48" s="174"/>
      <c r="HF48" s="174"/>
      <c r="HG48" s="174"/>
      <c r="HH48" s="174"/>
      <c r="HI48" s="174"/>
      <c r="HJ48" s="174"/>
      <c r="HK48" s="174"/>
      <c r="HL48" s="174"/>
      <c r="HM48" s="174"/>
      <c r="HN48" s="174"/>
      <c r="HO48" s="174"/>
      <c r="HP48" s="174"/>
      <c r="HQ48" s="174"/>
      <c r="HR48" s="174"/>
      <c r="HS48" s="174"/>
      <c r="HT48" s="174"/>
      <c r="HU48" s="174"/>
      <c r="HV48" s="174"/>
      <c r="HW48" s="174"/>
      <c r="HX48" s="174"/>
      <c r="HY48" s="174"/>
      <c r="HZ48" s="174"/>
      <c r="IA48" s="174"/>
      <c r="IB48" s="174"/>
      <c r="IC48" s="174"/>
      <c r="ID48" s="174"/>
      <c r="IE48" s="174"/>
      <c r="IF48" s="174"/>
      <c r="IG48" s="174"/>
      <c r="IH48" s="174"/>
      <c r="II48" s="174"/>
      <c r="IJ48" s="174"/>
      <c r="IK48" s="174"/>
      <c r="IL48" s="174"/>
      <c r="IM48" s="174"/>
      <c r="IN48" s="174"/>
      <c r="IO48" s="174"/>
      <c r="IP48" s="174"/>
      <c r="IQ48" s="174"/>
      <c r="IR48" s="174"/>
      <c r="IS48" s="174"/>
      <c r="IT48" s="174"/>
      <c r="IU48" s="174"/>
      <c r="IV48" s="174"/>
      <c r="IW48" s="174"/>
      <c r="IX48" s="174"/>
      <c r="IY48" s="174"/>
      <c r="IZ48" s="174"/>
      <c r="JA48" s="174"/>
      <c r="JB48" s="174"/>
      <c r="JC48" s="174"/>
      <c r="JD48" s="174"/>
      <c r="JE48" s="174"/>
      <c r="JF48" s="174"/>
      <c r="JG48" s="174"/>
      <c r="JH48" s="174"/>
      <c r="JI48" s="174"/>
      <c r="JJ48" s="174"/>
      <c r="JK48" s="174"/>
      <c r="JL48" s="174"/>
      <c r="JM48" s="174"/>
      <c r="JN48" s="174"/>
      <c r="JO48" s="174"/>
      <c r="JP48" s="174"/>
      <c r="JQ48" s="174"/>
      <c r="JR48" s="174"/>
      <c r="JS48" s="174"/>
      <c r="JT48" s="174"/>
      <c r="JU48" s="174"/>
      <c r="JV48" s="174"/>
    </row>
    <row r="49" spans="1:282" s="146" customFormat="1">
      <c r="A49" s="232"/>
      <c r="B49" s="173"/>
      <c r="C49" s="173"/>
      <c r="D49" s="233"/>
      <c r="E49" s="228"/>
      <c r="F49" s="234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277"/>
      <c r="BB49" s="173"/>
      <c r="BC49" s="173"/>
      <c r="BD49" s="173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173"/>
      <c r="BV49" s="173"/>
      <c r="BW49" s="173"/>
      <c r="BX49" s="173"/>
      <c r="BY49" s="173"/>
      <c r="BZ49" s="173"/>
      <c r="CA49" s="173"/>
      <c r="CB49" s="173"/>
      <c r="CC49" s="173"/>
      <c r="CD49" s="173"/>
      <c r="CE49" s="173"/>
      <c r="CF49" s="173"/>
      <c r="CG49" s="173"/>
      <c r="CH49" s="173"/>
      <c r="CI49" s="173"/>
      <c r="CJ49" s="173"/>
      <c r="CK49" s="173"/>
      <c r="CL49" s="173"/>
      <c r="CM49" s="173"/>
      <c r="CN49" s="173"/>
      <c r="CO49" s="173"/>
      <c r="CP49" s="173"/>
      <c r="CQ49" s="173"/>
      <c r="CR49" s="151"/>
      <c r="CS49" s="173"/>
      <c r="CT49" s="173"/>
      <c r="CU49" s="173"/>
      <c r="CV49" s="173"/>
      <c r="CW49" s="173"/>
      <c r="CX49" s="173"/>
      <c r="CY49" s="173"/>
      <c r="CZ49" s="173"/>
      <c r="DA49" s="222"/>
      <c r="DB49" s="222"/>
      <c r="DC49" s="222"/>
      <c r="DD49" s="222"/>
      <c r="DE49" s="222"/>
      <c r="DF49" s="222"/>
      <c r="DG49" s="222"/>
      <c r="DH49" s="222"/>
      <c r="DI49" s="222"/>
      <c r="DJ49" s="222"/>
      <c r="DK49" s="222"/>
      <c r="DL49" s="222"/>
      <c r="DM49" s="222"/>
      <c r="DN49" s="174"/>
      <c r="DO49" s="174"/>
      <c r="DP49" s="174"/>
      <c r="DQ49" s="174"/>
      <c r="DR49" s="174"/>
      <c r="DS49" s="174"/>
      <c r="DT49" s="174"/>
      <c r="DU49" s="174"/>
      <c r="DV49" s="174"/>
      <c r="DW49" s="174"/>
      <c r="DX49" s="174"/>
      <c r="DY49" s="174"/>
      <c r="DZ49" s="174"/>
      <c r="EA49" s="174"/>
      <c r="EB49" s="174"/>
      <c r="EC49" s="174"/>
      <c r="ED49" s="174"/>
      <c r="EE49" s="174"/>
      <c r="EF49" s="174"/>
      <c r="EG49" s="174"/>
      <c r="EH49" s="174"/>
      <c r="EI49" s="174"/>
      <c r="EJ49" s="174"/>
      <c r="EK49" s="174"/>
      <c r="EL49" s="174"/>
      <c r="EM49" s="174"/>
      <c r="EN49" s="174"/>
      <c r="EO49" s="174"/>
      <c r="EP49" s="174"/>
      <c r="EQ49" s="174"/>
      <c r="ER49" s="174"/>
      <c r="ES49" s="174"/>
      <c r="ET49" s="174"/>
      <c r="EU49" s="174"/>
      <c r="EV49" s="174"/>
      <c r="EW49" s="174"/>
      <c r="EX49" s="174"/>
      <c r="EY49" s="174"/>
      <c r="EZ49" s="174"/>
      <c r="FA49" s="174"/>
      <c r="FB49" s="174"/>
      <c r="FC49" s="174"/>
      <c r="FD49" s="174"/>
      <c r="FE49" s="174"/>
      <c r="FF49" s="174"/>
      <c r="FG49" s="174"/>
      <c r="FH49" s="174"/>
      <c r="FI49" s="174"/>
      <c r="FJ49" s="174"/>
      <c r="FK49" s="174"/>
      <c r="FL49" s="174"/>
      <c r="FM49" s="174"/>
      <c r="FN49" s="174"/>
      <c r="FO49" s="174"/>
      <c r="FP49" s="174"/>
      <c r="FQ49" s="174"/>
      <c r="FR49" s="174"/>
      <c r="FS49" s="174"/>
      <c r="FT49" s="174"/>
      <c r="FU49" s="174"/>
      <c r="FV49" s="174"/>
      <c r="FW49" s="174"/>
      <c r="FX49" s="174"/>
      <c r="FY49" s="174"/>
      <c r="FZ49" s="174"/>
      <c r="GA49" s="174"/>
      <c r="GB49" s="174"/>
      <c r="GC49" s="174"/>
      <c r="GD49" s="174"/>
      <c r="GE49" s="174"/>
      <c r="GF49" s="174"/>
      <c r="GG49" s="174"/>
      <c r="GH49" s="174"/>
      <c r="GI49" s="174"/>
      <c r="GJ49" s="174"/>
      <c r="GK49" s="174"/>
      <c r="GL49" s="174"/>
      <c r="GM49" s="174"/>
      <c r="GN49" s="174"/>
      <c r="GO49" s="174"/>
      <c r="GP49" s="174"/>
      <c r="GQ49" s="174"/>
      <c r="GR49" s="174"/>
      <c r="GS49" s="174"/>
      <c r="GT49" s="174"/>
      <c r="GU49" s="174"/>
      <c r="GV49" s="174"/>
      <c r="GW49" s="174"/>
      <c r="GX49" s="174"/>
      <c r="GY49" s="174"/>
      <c r="GZ49" s="174"/>
      <c r="HA49" s="174"/>
      <c r="HB49" s="174"/>
      <c r="HC49" s="174"/>
      <c r="HD49" s="174"/>
      <c r="HE49" s="174"/>
      <c r="HF49" s="174"/>
      <c r="HG49" s="174"/>
      <c r="HH49" s="174"/>
      <c r="HI49" s="174"/>
      <c r="HJ49" s="174"/>
      <c r="HK49" s="174"/>
      <c r="HL49" s="174"/>
      <c r="HM49" s="174"/>
      <c r="HN49" s="174"/>
      <c r="HO49" s="174"/>
      <c r="HP49" s="174"/>
      <c r="HQ49" s="174"/>
      <c r="HR49" s="174"/>
      <c r="HS49" s="174"/>
      <c r="HT49" s="174"/>
      <c r="HU49" s="174"/>
      <c r="HV49" s="174"/>
      <c r="HW49" s="174"/>
      <c r="HX49" s="174"/>
      <c r="HY49" s="174"/>
      <c r="HZ49" s="174"/>
      <c r="IA49" s="174"/>
      <c r="IB49" s="174"/>
      <c r="IC49" s="174"/>
      <c r="ID49" s="174"/>
      <c r="IE49" s="174"/>
      <c r="IF49" s="174"/>
      <c r="IG49" s="174"/>
      <c r="IH49" s="174"/>
      <c r="II49" s="174"/>
      <c r="IJ49" s="174"/>
      <c r="IK49" s="174"/>
      <c r="IL49" s="174"/>
      <c r="IM49" s="174"/>
      <c r="IN49" s="174"/>
      <c r="IO49" s="174"/>
      <c r="IP49" s="174"/>
      <c r="IQ49" s="174"/>
      <c r="IR49" s="174"/>
      <c r="IS49" s="174"/>
      <c r="IT49" s="174"/>
      <c r="IU49" s="174"/>
      <c r="IV49" s="174"/>
      <c r="IW49" s="174"/>
      <c r="IX49" s="174"/>
      <c r="IY49" s="174"/>
      <c r="IZ49" s="174"/>
      <c r="JA49" s="174"/>
      <c r="JB49" s="174"/>
      <c r="JC49" s="174"/>
      <c r="JD49" s="174"/>
      <c r="JE49" s="174"/>
      <c r="JF49" s="174"/>
      <c r="JG49" s="174"/>
      <c r="JH49" s="174"/>
      <c r="JI49" s="174"/>
      <c r="JJ49" s="174"/>
      <c r="JK49" s="174"/>
      <c r="JL49" s="174"/>
      <c r="JM49" s="174"/>
      <c r="JN49" s="174"/>
      <c r="JO49" s="174"/>
      <c r="JP49" s="174"/>
      <c r="JQ49" s="174"/>
      <c r="JR49" s="174"/>
      <c r="JS49" s="174"/>
      <c r="JT49" s="174"/>
      <c r="JU49" s="174"/>
      <c r="JV49" s="174"/>
    </row>
    <row r="50" spans="1:282" s="146" customFormat="1">
      <c r="A50" s="232"/>
      <c r="B50" s="173"/>
      <c r="C50" s="173"/>
      <c r="D50" s="233"/>
      <c r="E50" s="228"/>
      <c r="F50" s="234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  <c r="AT50" s="173"/>
      <c r="AU50" s="173"/>
      <c r="AV50" s="173"/>
      <c r="AW50" s="173"/>
      <c r="AX50" s="173"/>
      <c r="AY50" s="173"/>
      <c r="AZ50" s="173"/>
      <c r="BA50" s="277"/>
      <c r="BB50" s="173"/>
      <c r="BC50" s="173"/>
      <c r="BD50" s="173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173"/>
      <c r="BV50" s="173"/>
      <c r="BW50" s="173"/>
      <c r="BX50" s="173"/>
      <c r="BY50" s="173"/>
      <c r="BZ50" s="173"/>
      <c r="CA50" s="173"/>
      <c r="CB50" s="173"/>
      <c r="CC50" s="173"/>
      <c r="CD50" s="173"/>
      <c r="CE50" s="173"/>
      <c r="CF50" s="173"/>
      <c r="CG50" s="173"/>
      <c r="CH50" s="173"/>
      <c r="CI50" s="173"/>
      <c r="CJ50" s="173"/>
      <c r="CK50" s="173"/>
      <c r="CL50" s="173"/>
      <c r="CM50" s="173"/>
      <c r="CN50" s="173"/>
      <c r="CO50" s="173"/>
      <c r="CP50" s="173"/>
      <c r="CQ50" s="173"/>
      <c r="CR50" s="151"/>
      <c r="CS50" s="173"/>
      <c r="CT50" s="173"/>
      <c r="CU50" s="173"/>
      <c r="CV50" s="173"/>
      <c r="CW50" s="173"/>
      <c r="CX50" s="173"/>
      <c r="CY50" s="173"/>
      <c r="CZ50" s="173"/>
      <c r="DA50" s="222"/>
      <c r="DB50" s="222"/>
      <c r="DC50" s="222"/>
      <c r="DD50" s="222"/>
      <c r="DE50" s="222"/>
      <c r="DF50" s="222"/>
      <c r="DG50" s="222"/>
      <c r="DH50" s="222"/>
      <c r="DI50" s="222"/>
      <c r="DJ50" s="222"/>
      <c r="DK50" s="222"/>
      <c r="DL50" s="222"/>
      <c r="DM50" s="222"/>
      <c r="DN50" s="174"/>
      <c r="DO50" s="174"/>
      <c r="DP50" s="174"/>
      <c r="DQ50" s="174"/>
      <c r="DR50" s="174"/>
      <c r="DS50" s="174"/>
      <c r="DT50" s="174"/>
      <c r="DU50" s="174"/>
      <c r="DV50" s="174"/>
      <c r="DW50" s="174"/>
      <c r="DX50" s="174"/>
      <c r="DY50" s="174"/>
      <c r="DZ50" s="174"/>
      <c r="EA50" s="174"/>
      <c r="EB50" s="174"/>
      <c r="EC50" s="174"/>
      <c r="ED50" s="174"/>
      <c r="EE50" s="174"/>
      <c r="EF50" s="174"/>
      <c r="EG50" s="174"/>
      <c r="EH50" s="174"/>
      <c r="EI50" s="174"/>
      <c r="EJ50" s="174"/>
      <c r="EK50" s="174"/>
      <c r="EL50" s="174"/>
      <c r="EM50" s="174"/>
      <c r="EN50" s="174"/>
      <c r="EO50" s="174"/>
      <c r="EP50" s="174"/>
      <c r="EQ50" s="174"/>
      <c r="ER50" s="174"/>
      <c r="ES50" s="174"/>
      <c r="ET50" s="174"/>
      <c r="EU50" s="174"/>
      <c r="EV50" s="174"/>
      <c r="EW50" s="174"/>
      <c r="EX50" s="174"/>
      <c r="EY50" s="174"/>
      <c r="EZ50" s="174"/>
      <c r="FA50" s="174"/>
      <c r="FB50" s="174"/>
      <c r="FC50" s="174"/>
      <c r="FD50" s="174"/>
      <c r="FE50" s="174"/>
      <c r="FF50" s="174"/>
      <c r="FG50" s="174"/>
      <c r="FH50" s="174"/>
      <c r="FI50" s="174"/>
      <c r="FJ50" s="174"/>
      <c r="FK50" s="174"/>
      <c r="FL50" s="174"/>
      <c r="FM50" s="174"/>
      <c r="FN50" s="174"/>
      <c r="FO50" s="174"/>
      <c r="FP50" s="174"/>
      <c r="FQ50" s="174"/>
      <c r="FR50" s="174"/>
      <c r="FS50" s="174"/>
      <c r="FT50" s="174"/>
      <c r="FU50" s="174"/>
      <c r="FV50" s="174"/>
      <c r="FW50" s="174"/>
      <c r="FX50" s="174"/>
      <c r="FY50" s="174"/>
      <c r="FZ50" s="174"/>
      <c r="GA50" s="174"/>
      <c r="GB50" s="174"/>
      <c r="GC50" s="174"/>
      <c r="GD50" s="174"/>
      <c r="GE50" s="174"/>
      <c r="GF50" s="174"/>
      <c r="GG50" s="174"/>
      <c r="GH50" s="174"/>
      <c r="GI50" s="174"/>
      <c r="GJ50" s="174"/>
      <c r="GK50" s="174"/>
      <c r="GL50" s="174"/>
      <c r="GM50" s="174"/>
      <c r="GN50" s="174"/>
      <c r="GO50" s="174"/>
      <c r="GP50" s="174"/>
      <c r="GQ50" s="174"/>
      <c r="GR50" s="174"/>
      <c r="GS50" s="174"/>
      <c r="GT50" s="174"/>
      <c r="GU50" s="174"/>
      <c r="GV50" s="174"/>
      <c r="GW50" s="174"/>
      <c r="GX50" s="174"/>
      <c r="GY50" s="174"/>
      <c r="GZ50" s="174"/>
      <c r="HA50" s="174"/>
      <c r="HB50" s="174"/>
      <c r="HC50" s="174"/>
      <c r="HD50" s="174"/>
      <c r="HE50" s="174"/>
      <c r="HF50" s="174"/>
      <c r="HG50" s="174"/>
      <c r="HH50" s="174"/>
      <c r="HI50" s="174"/>
      <c r="HJ50" s="174"/>
      <c r="HK50" s="174"/>
      <c r="HL50" s="174"/>
      <c r="HM50" s="174"/>
      <c r="HN50" s="174"/>
      <c r="HO50" s="174"/>
      <c r="HP50" s="174"/>
      <c r="HQ50" s="174"/>
      <c r="HR50" s="174"/>
      <c r="HS50" s="174"/>
      <c r="HT50" s="174"/>
      <c r="HU50" s="174"/>
      <c r="HV50" s="174"/>
      <c r="HW50" s="174"/>
      <c r="HX50" s="174"/>
      <c r="HY50" s="174"/>
      <c r="HZ50" s="174"/>
      <c r="IA50" s="174"/>
      <c r="IB50" s="174"/>
      <c r="IC50" s="174"/>
      <c r="ID50" s="174"/>
      <c r="IE50" s="174"/>
      <c r="IF50" s="174"/>
      <c r="IG50" s="174"/>
      <c r="IH50" s="174"/>
      <c r="II50" s="174"/>
      <c r="IJ50" s="174"/>
      <c r="IK50" s="174"/>
      <c r="IL50" s="174"/>
      <c r="IM50" s="174"/>
      <c r="IN50" s="174"/>
      <c r="IO50" s="174"/>
      <c r="IP50" s="174"/>
      <c r="IQ50" s="174"/>
      <c r="IR50" s="174"/>
      <c r="IS50" s="174"/>
      <c r="IT50" s="174"/>
      <c r="IU50" s="174"/>
      <c r="IV50" s="174"/>
      <c r="IW50" s="174"/>
      <c r="IX50" s="174"/>
      <c r="IY50" s="174"/>
      <c r="IZ50" s="174"/>
      <c r="JA50" s="174"/>
      <c r="JB50" s="174"/>
      <c r="JC50" s="174"/>
      <c r="JD50" s="174"/>
      <c r="JE50" s="174"/>
      <c r="JF50" s="174"/>
      <c r="JG50" s="174"/>
      <c r="JH50" s="174"/>
      <c r="JI50" s="174"/>
      <c r="JJ50" s="174"/>
      <c r="JK50" s="174"/>
      <c r="JL50" s="174"/>
      <c r="JM50" s="174"/>
      <c r="JN50" s="174"/>
      <c r="JO50" s="174"/>
      <c r="JP50" s="174"/>
      <c r="JQ50" s="174"/>
      <c r="JR50" s="174"/>
      <c r="JS50" s="174"/>
      <c r="JT50" s="174"/>
      <c r="JU50" s="174"/>
      <c r="JV50" s="174"/>
    </row>
    <row r="51" spans="1:282" s="159" customFormat="1">
      <c r="A51" s="238"/>
      <c r="D51" s="239"/>
      <c r="E51" s="240"/>
      <c r="F51" s="241"/>
      <c r="BA51" s="278"/>
      <c r="CR51" s="242"/>
      <c r="DA51" s="160"/>
      <c r="DB51" s="160"/>
      <c r="DC51" s="160"/>
      <c r="DD51" s="160"/>
      <c r="DE51" s="160"/>
      <c r="DF51" s="160"/>
      <c r="DG51" s="160"/>
      <c r="DH51" s="160"/>
      <c r="DI51" s="160"/>
      <c r="DJ51" s="160"/>
      <c r="DK51" s="160"/>
      <c r="DL51" s="160"/>
      <c r="DM51" s="160"/>
      <c r="DN51" s="160"/>
      <c r="DO51" s="160"/>
      <c r="DP51" s="160"/>
      <c r="DQ51" s="160"/>
      <c r="DR51" s="160"/>
      <c r="DS51" s="160"/>
      <c r="DT51" s="160"/>
      <c r="DU51" s="160"/>
      <c r="DV51" s="160"/>
      <c r="DW51" s="160"/>
      <c r="DX51" s="160"/>
      <c r="DY51" s="160"/>
      <c r="DZ51" s="160"/>
      <c r="EA51" s="160"/>
      <c r="EB51" s="160"/>
      <c r="EC51" s="160"/>
      <c r="ED51" s="160"/>
      <c r="EE51" s="160"/>
      <c r="EF51" s="160"/>
      <c r="EG51" s="160"/>
      <c r="EH51" s="160"/>
      <c r="EI51" s="160"/>
      <c r="EJ51" s="160"/>
      <c r="EK51" s="160"/>
      <c r="EL51" s="160"/>
      <c r="EM51" s="160"/>
      <c r="EN51" s="160"/>
      <c r="EO51" s="160"/>
      <c r="EP51" s="160"/>
      <c r="EQ51" s="160"/>
      <c r="ER51" s="160"/>
      <c r="ES51" s="160"/>
      <c r="ET51" s="160"/>
      <c r="EU51" s="160"/>
      <c r="EV51" s="160"/>
      <c r="EW51" s="160"/>
      <c r="EX51" s="160"/>
      <c r="EY51" s="160"/>
      <c r="EZ51" s="160"/>
      <c r="FA51" s="160"/>
      <c r="FB51" s="160"/>
      <c r="FC51" s="160"/>
      <c r="FD51" s="160"/>
      <c r="FE51" s="160"/>
      <c r="FF51" s="160"/>
      <c r="FG51" s="160"/>
      <c r="FH51" s="160"/>
      <c r="FI51" s="160"/>
      <c r="FJ51" s="160"/>
      <c r="FK51" s="160"/>
      <c r="FL51" s="160"/>
      <c r="FM51" s="160"/>
      <c r="FN51" s="160"/>
      <c r="FO51" s="160"/>
      <c r="FP51" s="160"/>
      <c r="FQ51" s="160"/>
      <c r="FR51" s="160"/>
      <c r="FS51" s="160"/>
      <c r="FT51" s="160"/>
      <c r="FU51" s="160"/>
      <c r="FV51" s="160"/>
      <c r="FW51" s="160"/>
      <c r="FX51" s="160"/>
      <c r="FY51" s="160"/>
      <c r="FZ51" s="160"/>
      <c r="GA51" s="160"/>
      <c r="GB51" s="160"/>
      <c r="GC51" s="160"/>
      <c r="GD51" s="160"/>
      <c r="GE51" s="160"/>
      <c r="GF51" s="160"/>
      <c r="GG51" s="160"/>
      <c r="GH51" s="160"/>
      <c r="GI51" s="160"/>
      <c r="GJ51" s="160"/>
      <c r="GK51" s="160"/>
      <c r="GL51" s="160"/>
      <c r="GM51" s="160"/>
      <c r="GN51" s="160"/>
      <c r="GO51" s="160"/>
      <c r="GP51" s="160"/>
      <c r="GQ51" s="160"/>
      <c r="GR51" s="160"/>
      <c r="GS51" s="160"/>
      <c r="GT51" s="160"/>
      <c r="GU51" s="160"/>
      <c r="GV51" s="160"/>
      <c r="GW51" s="160"/>
      <c r="GX51" s="160"/>
      <c r="GY51" s="160"/>
      <c r="GZ51" s="160"/>
      <c r="HA51" s="160"/>
      <c r="HB51" s="160"/>
      <c r="HC51" s="160"/>
      <c r="HD51" s="160"/>
      <c r="HE51" s="160"/>
      <c r="HF51" s="160"/>
      <c r="HG51" s="160"/>
      <c r="HH51" s="160"/>
      <c r="HI51" s="160"/>
      <c r="HJ51" s="160"/>
      <c r="HK51" s="160"/>
      <c r="HL51" s="160"/>
      <c r="HM51" s="160"/>
      <c r="HN51" s="160"/>
      <c r="HO51" s="160"/>
      <c r="HP51" s="160"/>
      <c r="HQ51" s="160"/>
      <c r="HR51" s="160"/>
      <c r="HS51" s="160"/>
      <c r="HT51" s="160"/>
      <c r="HU51" s="160"/>
      <c r="HV51" s="160"/>
      <c r="HW51" s="160"/>
      <c r="HX51" s="160"/>
      <c r="HY51" s="160"/>
      <c r="HZ51" s="160"/>
      <c r="IA51" s="160"/>
      <c r="IB51" s="160"/>
      <c r="IC51" s="160"/>
      <c r="ID51" s="160"/>
      <c r="IE51" s="160"/>
      <c r="IF51" s="160"/>
      <c r="IG51" s="160"/>
      <c r="IH51" s="160"/>
      <c r="II51" s="160"/>
      <c r="IJ51" s="160"/>
      <c r="IK51" s="160"/>
      <c r="IL51" s="160"/>
      <c r="IM51" s="160"/>
      <c r="IN51" s="160"/>
      <c r="IO51" s="160"/>
      <c r="IP51" s="160"/>
      <c r="IQ51" s="160"/>
      <c r="IR51" s="160"/>
      <c r="IS51" s="160"/>
      <c r="IT51" s="160"/>
      <c r="IU51" s="160"/>
      <c r="IV51" s="160"/>
      <c r="IW51" s="160"/>
      <c r="IX51" s="160"/>
      <c r="IY51" s="160"/>
      <c r="IZ51" s="160"/>
      <c r="JA51" s="160"/>
      <c r="JB51" s="160"/>
      <c r="JC51" s="160"/>
      <c r="JD51" s="160"/>
      <c r="JE51" s="160"/>
      <c r="JF51" s="160"/>
      <c r="JG51" s="160"/>
      <c r="JH51" s="160"/>
      <c r="JI51" s="160"/>
      <c r="JJ51" s="160"/>
      <c r="JK51" s="160"/>
      <c r="JL51" s="160"/>
      <c r="JM51" s="160"/>
      <c r="JN51" s="160"/>
      <c r="JO51" s="160"/>
      <c r="JP51" s="160"/>
      <c r="JQ51" s="160"/>
      <c r="JR51" s="160"/>
      <c r="JS51" s="160"/>
      <c r="JT51" s="160"/>
      <c r="JU51" s="160"/>
      <c r="JV51" s="160"/>
    </row>
    <row r="52" spans="1:282" s="159" customFormat="1">
      <c r="A52" s="238"/>
      <c r="D52" s="239"/>
      <c r="E52" s="240"/>
      <c r="F52" s="241"/>
      <c r="BA52" s="278"/>
      <c r="CR52" s="242"/>
      <c r="DA52" s="160"/>
      <c r="DB52" s="160"/>
      <c r="DC52" s="160"/>
      <c r="DD52" s="160"/>
      <c r="DE52" s="160"/>
      <c r="DF52" s="160"/>
      <c r="DG52" s="160"/>
      <c r="DH52" s="160"/>
      <c r="DI52" s="160"/>
      <c r="DJ52" s="160"/>
      <c r="DK52" s="160"/>
      <c r="DL52" s="160"/>
      <c r="DM52" s="160"/>
      <c r="DN52" s="160"/>
      <c r="DO52" s="160"/>
      <c r="DP52" s="160"/>
      <c r="DQ52" s="160"/>
      <c r="DR52" s="160"/>
      <c r="DS52" s="160"/>
      <c r="DT52" s="160"/>
      <c r="DU52" s="160"/>
      <c r="DV52" s="160"/>
      <c r="DW52" s="160"/>
      <c r="DX52" s="160"/>
      <c r="DY52" s="160"/>
      <c r="DZ52" s="160"/>
      <c r="EA52" s="160"/>
      <c r="EB52" s="160"/>
      <c r="EC52" s="160"/>
      <c r="ED52" s="160"/>
      <c r="EE52" s="160"/>
      <c r="EF52" s="160"/>
      <c r="EG52" s="160"/>
      <c r="EH52" s="160"/>
      <c r="EI52" s="160"/>
      <c r="EJ52" s="160"/>
      <c r="EK52" s="160"/>
      <c r="EL52" s="160"/>
      <c r="EM52" s="160"/>
      <c r="EN52" s="160"/>
      <c r="EO52" s="160"/>
      <c r="EP52" s="160"/>
      <c r="EQ52" s="160"/>
      <c r="ER52" s="160"/>
      <c r="ES52" s="160"/>
      <c r="ET52" s="160"/>
      <c r="EU52" s="160"/>
      <c r="EV52" s="160"/>
      <c r="EW52" s="160"/>
      <c r="EX52" s="160"/>
      <c r="EY52" s="160"/>
      <c r="EZ52" s="160"/>
      <c r="FA52" s="160"/>
      <c r="FB52" s="160"/>
      <c r="FC52" s="160"/>
      <c r="FD52" s="160"/>
      <c r="FE52" s="160"/>
      <c r="FF52" s="160"/>
      <c r="FG52" s="160"/>
      <c r="FH52" s="160"/>
      <c r="FI52" s="160"/>
      <c r="FJ52" s="160"/>
      <c r="FK52" s="160"/>
      <c r="FL52" s="160"/>
      <c r="FM52" s="160"/>
      <c r="FN52" s="160"/>
      <c r="FO52" s="160"/>
      <c r="FP52" s="160"/>
      <c r="FQ52" s="160"/>
      <c r="FR52" s="160"/>
      <c r="FS52" s="160"/>
      <c r="FT52" s="160"/>
      <c r="FU52" s="160"/>
      <c r="FV52" s="160"/>
      <c r="FW52" s="160"/>
      <c r="FX52" s="160"/>
      <c r="FY52" s="160"/>
      <c r="FZ52" s="160"/>
      <c r="GA52" s="160"/>
      <c r="GB52" s="160"/>
      <c r="GC52" s="160"/>
      <c r="GD52" s="160"/>
      <c r="GE52" s="160"/>
      <c r="GF52" s="160"/>
      <c r="GG52" s="160"/>
      <c r="GH52" s="160"/>
      <c r="GI52" s="160"/>
      <c r="GJ52" s="160"/>
      <c r="GK52" s="160"/>
      <c r="GL52" s="160"/>
      <c r="GM52" s="160"/>
      <c r="GN52" s="160"/>
      <c r="GO52" s="160"/>
      <c r="GP52" s="160"/>
      <c r="GQ52" s="160"/>
      <c r="GR52" s="160"/>
      <c r="GS52" s="160"/>
      <c r="GT52" s="160"/>
      <c r="GU52" s="160"/>
      <c r="GV52" s="160"/>
      <c r="GW52" s="160"/>
      <c r="GX52" s="160"/>
      <c r="GY52" s="160"/>
      <c r="GZ52" s="160"/>
      <c r="HA52" s="160"/>
      <c r="HB52" s="160"/>
      <c r="HC52" s="160"/>
      <c r="HD52" s="160"/>
      <c r="HE52" s="160"/>
      <c r="HF52" s="160"/>
      <c r="HG52" s="160"/>
      <c r="HH52" s="160"/>
      <c r="HI52" s="160"/>
      <c r="HJ52" s="160"/>
      <c r="HK52" s="160"/>
      <c r="HL52" s="160"/>
      <c r="HM52" s="160"/>
      <c r="HN52" s="160"/>
      <c r="HO52" s="160"/>
      <c r="HP52" s="160"/>
      <c r="HQ52" s="160"/>
      <c r="HR52" s="160"/>
      <c r="HS52" s="160"/>
      <c r="HT52" s="160"/>
      <c r="HU52" s="160"/>
      <c r="HV52" s="160"/>
      <c r="HW52" s="160"/>
      <c r="HX52" s="160"/>
      <c r="HY52" s="160"/>
      <c r="HZ52" s="160"/>
      <c r="IA52" s="160"/>
      <c r="IB52" s="160"/>
      <c r="IC52" s="160"/>
      <c r="ID52" s="160"/>
      <c r="IE52" s="160"/>
      <c r="IF52" s="160"/>
      <c r="IG52" s="160"/>
      <c r="IH52" s="160"/>
      <c r="II52" s="160"/>
      <c r="IJ52" s="160"/>
      <c r="IK52" s="160"/>
      <c r="IL52" s="160"/>
      <c r="IM52" s="160"/>
      <c r="IN52" s="160"/>
      <c r="IO52" s="160"/>
      <c r="IP52" s="160"/>
      <c r="IQ52" s="160"/>
      <c r="IR52" s="160"/>
      <c r="IS52" s="160"/>
      <c r="IT52" s="160"/>
      <c r="IU52" s="160"/>
      <c r="IV52" s="160"/>
      <c r="IW52" s="160"/>
      <c r="IX52" s="160"/>
      <c r="IY52" s="160"/>
      <c r="IZ52" s="160"/>
      <c r="JA52" s="160"/>
      <c r="JB52" s="160"/>
      <c r="JC52" s="160"/>
      <c r="JD52" s="160"/>
      <c r="JE52" s="160"/>
      <c r="JF52" s="160"/>
      <c r="JG52" s="160"/>
      <c r="JH52" s="160"/>
      <c r="JI52" s="160"/>
      <c r="JJ52" s="160"/>
      <c r="JK52" s="160"/>
      <c r="JL52" s="160"/>
      <c r="JM52" s="160"/>
      <c r="JN52" s="160"/>
      <c r="JO52" s="160"/>
      <c r="JP52" s="160"/>
      <c r="JQ52" s="160"/>
      <c r="JR52" s="160"/>
      <c r="JS52" s="160"/>
      <c r="JT52" s="160"/>
      <c r="JU52" s="160"/>
      <c r="JV52" s="160"/>
    </row>
    <row r="53" spans="1:282" s="146" customFormat="1">
      <c r="A53" s="232"/>
      <c r="B53" s="173"/>
      <c r="C53" s="173"/>
      <c r="D53" s="233"/>
      <c r="E53" s="228"/>
      <c r="F53" s="234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277"/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173"/>
      <c r="BV53" s="173"/>
      <c r="BW53" s="173"/>
      <c r="BX53" s="173"/>
      <c r="BY53" s="173"/>
      <c r="BZ53" s="173"/>
      <c r="CA53" s="173"/>
      <c r="CB53" s="173"/>
      <c r="CC53" s="173"/>
      <c r="CD53" s="173"/>
      <c r="CE53" s="173"/>
      <c r="CF53" s="173"/>
      <c r="CG53" s="173"/>
      <c r="CH53" s="173"/>
      <c r="CI53" s="173"/>
      <c r="CJ53" s="173"/>
      <c r="CK53" s="173"/>
      <c r="CL53" s="173"/>
      <c r="CM53" s="173"/>
      <c r="CN53" s="173"/>
      <c r="CO53" s="173"/>
      <c r="CP53" s="173"/>
      <c r="CQ53" s="173"/>
      <c r="CR53" s="151"/>
      <c r="CS53" s="173"/>
      <c r="CT53" s="173"/>
      <c r="CU53" s="173"/>
      <c r="CV53" s="173"/>
      <c r="CW53" s="173"/>
      <c r="CX53" s="173"/>
      <c r="CY53" s="173"/>
      <c r="CZ53" s="173"/>
      <c r="DA53" s="222"/>
      <c r="DB53" s="222"/>
      <c r="DC53" s="222"/>
      <c r="DD53" s="222"/>
      <c r="DE53" s="222"/>
      <c r="DF53" s="222"/>
      <c r="DG53" s="222"/>
      <c r="DH53" s="222"/>
      <c r="DI53" s="222"/>
      <c r="DJ53" s="222"/>
      <c r="DK53" s="222"/>
      <c r="DL53" s="222"/>
      <c r="DM53" s="222"/>
      <c r="DN53" s="174"/>
      <c r="DO53" s="174"/>
      <c r="DP53" s="174"/>
      <c r="DQ53" s="174"/>
      <c r="DR53" s="174"/>
      <c r="DS53" s="174"/>
      <c r="DT53" s="174"/>
      <c r="DU53" s="174"/>
      <c r="DV53" s="174"/>
      <c r="DW53" s="174"/>
      <c r="DX53" s="174"/>
      <c r="DY53" s="174"/>
      <c r="DZ53" s="174"/>
      <c r="EA53" s="174"/>
      <c r="EB53" s="174"/>
      <c r="EC53" s="174"/>
      <c r="ED53" s="174"/>
      <c r="EE53" s="174"/>
      <c r="EF53" s="174"/>
      <c r="EG53" s="174"/>
      <c r="EH53" s="174"/>
      <c r="EI53" s="174"/>
      <c r="EJ53" s="174"/>
      <c r="EK53" s="174"/>
      <c r="EL53" s="174"/>
      <c r="EM53" s="174"/>
      <c r="EN53" s="174"/>
      <c r="EO53" s="174"/>
      <c r="EP53" s="174"/>
      <c r="EQ53" s="174"/>
      <c r="ER53" s="174"/>
      <c r="ES53" s="174"/>
      <c r="ET53" s="174"/>
      <c r="EU53" s="174"/>
      <c r="EV53" s="174"/>
      <c r="EW53" s="174"/>
      <c r="EX53" s="174"/>
      <c r="EY53" s="174"/>
      <c r="EZ53" s="174"/>
      <c r="FA53" s="174"/>
      <c r="FB53" s="174"/>
      <c r="FC53" s="174"/>
      <c r="FD53" s="174"/>
      <c r="FE53" s="174"/>
      <c r="FF53" s="174"/>
      <c r="FG53" s="174"/>
      <c r="FH53" s="174"/>
      <c r="FI53" s="174"/>
      <c r="FJ53" s="174"/>
      <c r="FK53" s="174"/>
      <c r="FL53" s="174"/>
      <c r="FM53" s="174"/>
      <c r="FN53" s="174"/>
      <c r="FO53" s="174"/>
      <c r="FP53" s="174"/>
      <c r="FQ53" s="174"/>
      <c r="FR53" s="174"/>
      <c r="FS53" s="174"/>
      <c r="FT53" s="174"/>
      <c r="FU53" s="174"/>
      <c r="FV53" s="174"/>
      <c r="FW53" s="174"/>
      <c r="FX53" s="174"/>
      <c r="FY53" s="174"/>
      <c r="FZ53" s="174"/>
      <c r="GA53" s="174"/>
      <c r="GB53" s="174"/>
      <c r="GC53" s="174"/>
      <c r="GD53" s="174"/>
      <c r="GE53" s="174"/>
      <c r="GF53" s="174"/>
      <c r="GG53" s="174"/>
      <c r="GH53" s="174"/>
      <c r="GI53" s="174"/>
      <c r="GJ53" s="174"/>
      <c r="GK53" s="174"/>
      <c r="GL53" s="174"/>
      <c r="GM53" s="174"/>
      <c r="GN53" s="174"/>
      <c r="GO53" s="174"/>
      <c r="GP53" s="174"/>
      <c r="GQ53" s="174"/>
      <c r="GR53" s="174"/>
      <c r="GS53" s="174"/>
      <c r="GT53" s="174"/>
      <c r="GU53" s="174"/>
      <c r="GV53" s="174"/>
      <c r="GW53" s="174"/>
      <c r="GX53" s="174"/>
      <c r="GY53" s="174"/>
      <c r="GZ53" s="174"/>
      <c r="HA53" s="174"/>
      <c r="HB53" s="174"/>
      <c r="HC53" s="174"/>
      <c r="HD53" s="174"/>
      <c r="HE53" s="174"/>
      <c r="HF53" s="174"/>
      <c r="HG53" s="174"/>
      <c r="HH53" s="174"/>
      <c r="HI53" s="174"/>
      <c r="HJ53" s="174"/>
      <c r="HK53" s="174"/>
      <c r="HL53" s="174"/>
      <c r="HM53" s="174"/>
      <c r="HN53" s="174"/>
      <c r="HO53" s="174"/>
      <c r="HP53" s="174"/>
      <c r="HQ53" s="174"/>
      <c r="HR53" s="174"/>
      <c r="HS53" s="174"/>
      <c r="HT53" s="174"/>
      <c r="HU53" s="174"/>
      <c r="HV53" s="174"/>
      <c r="HW53" s="174"/>
      <c r="HX53" s="174"/>
      <c r="HY53" s="174"/>
      <c r="HZ53" s="174"/>
      <c r="IA53" s="174"/>
      <c r="IB53" s="174"/>
      <c r="IC53" s="174"/>
      <c r="ID53" s="174"/>
      <c r="IE53" s="174"/>
      <c r="IF53" s="174"/>
      <c r="IG53" s="174"/>
      <c r="IH53" s="174"/>
      <c r="II53" s="174"/>
      <c r="IJ53" s="174"/>
      <c r="IK53" s="174"/>
      <c r="IL53" s="174"/>
      <c r="IM53" s="174"/>
      <c r="IN53" s="174"/>
      <c r="IO53" s="174"/>
      <c r="IP53" s="174"/>
      <c r="IQ53" s="174"/>
      <c r="IR53" s="174"/>
      <c r="IS53" s="174"/>
      <c r="IT53" s="174"/>
      <c r="IU53" s="174"/>
      <c r="IV53" s="174"/>
      <c r="IW53" s="174"/>
      <c r="IX53" s="174"/>
      <c r="IY53" s="174"/>
      <c r="IZ53" s="174"/>
      <c r="JA53" s="174"/>
      <c r="JB53" s="174"/>
      <c r="JC53" s="174"/>
      <c r="JD53" s="174"/>
      <c r="JE53" s="174"/>
      <c r="JF53" s="174"/>
      <c r="JG53" s="174"/>
      <c r="JH53" s="174"/>
      <c r="JI53" s="174"/>
      <c r="JJ53" s="174"/>
      <c r="JK53" s="174"/>
      <c r="JL53" s="174"/>
      <c r="JM53" s="174"/>
      <c r="JN53" s="174"/>
      <c r="JO53" s="174"/>
      <c r="JP53" s="174"/>
      <c r="JQ53" s="174"/>
      <c r="JR53" s="174"/>
      <c r="JS53" s="174"/>
      <c r="JT53" s="174"/>
      <c r="JU53" s="174"/>
      <c r="JV53" s="174"/>
    </row>
    <row r="54" spans="1:282" s="146" customFormat="1">
      <c r="A54" s="232"/>
      <c r="B54" s="173"/>
      <c r="C54" s="173"/>
      <c r="D54" s="233"/>
      <c r="E54" s="228"/>
      <c r="F54" s="234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3"/>
      <c r="AT54" s="228"/>
      <c r="AU54" s="173"/>
      <c r="AV54" s="173"/>
      <c r="AW54" s="173"/>
      <c r="AX54" s="173"/>
      <c r="AY54" s="173"/>
      <c r="AZ54" s="173"/>
      <c r="BA54" s="277"/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173"/>
      <c r="BV54" s="173"/>
      <c r="BW54" s="173"/>
      <c r="BX54" s="173"/>
      <c r="BY54" s="173"/>
      <c r="BZ54" s="173"/>
      <c r="CA54" s="173"/>
      <c r="CB54" s="173"/>
      <c r="CC54" s="173"/>
      <c r="CD54" s="173"/>
      <c r="CE54" s="173"/>
      <c r="CF54" s="173"/>
      <c r="CG54" s="173"/>
      <c r="CH54" s="173"/>
      <c r="CI54" s="173"/>
      <c r="CJ54" s="173"/>
      <c r="CK54" s="173"/>
      <c r="CL54" s="173"/>
      <c r="CM54" s="173"/>
      <c r="CN54" s="173"/>
      <c r="CO54" s="173"/>
      <c r="CP54" s="173"/>
      <c r="CQ54" s="173"/>
      <c r="CR54" s="151"/>
      <c r="CS54" s="173"/>
      <c r="CT54" s="173"/>
      <c r="CU54" s="173"/>
      <c r="CV54" s="173"/>
      <c r="CW54" s="173"/>
      <c r="CX54" s="173"/>
      <c r="CY54" s="173"/>
      <c r="CZ54" s="173"/>
      <c r="DA54" s="222"/>
      <c r="DB54" s="222"/>
      <c r="DC54" s="222"/>
      <c r="DD54" s="222"/>
      <c r="DE54" s="222"/>
      <c r="DF54" s="222"/>
      <c r="DG54" s="222"/>
      <c r="DH54" s="222"/>
      <c r="DI54" s="222"/>
      <c r="DJ54" s="222"/>
      <c r="DK54" s="222"/>
      <c r="DL54" s="222"/>
      <c r="DM54" s="222"/>
      <c r="DN54" s="174"/>
      <c r="DO54" s="174"/>
      <c r="DP54" s="174"/>
      <c r="DQ54" s="174"/>
      <c r="DR54" s="174"/>
      <c r="DS54" s="174"/>
      <c r="DT54" s="174"/>
      <c r="DU54" s="174"/>
      <c r="DV54" s="174"/>
      <c r="DW54" s="174"/>
      <c r="DX54" s="174"/>
      <c r="DY54" s="174"/>
      <c r="DZ54" s="174"/>
      <c r="EA54" s="174"/>
      <c r="EB54" s="174"/>
      <c r="EC54" s="174"/>
      <c r="ED54" s="174"/>
      <c r="EE54" s="174"/>
      <c r="EF54" s="174"/>
      <c r="EG54" s="174"/>
      <c r="EH54" s="174"/>
      <c r="EI54" s="174"/>
      <c r="EJ54" s="174"/>
      <c r="EK54" s="174"/>
      <c r="EL54" s="174"/>
      <c r="EM54" s="174"/>
      <c r="EN54" s="174"/>
      <c r="EO54" s="174"/>
      <c r="EP54" s="174"/>
      <c r="EQ54" s="174"/>
      <c r="ER54" s="174"/>
      <c r="ES54" s="174"/>
      <c r="ET54" s="174"/>
      <c r="EU54" s="174"/>
      <c r="EV54" s="174"/>
      <c r="EW54" s="174"/>
      <c r="EX54" s="174"/>
      <c r="EY54" s="174"/>
      <c r="EZ54" s="174"/>
      <c r="FA54" s="174"/>
      <c r="FB54" s="174"/>
      <c r="FC54" s="174"/>
      <c r="FD54" s="174"/>
      <c r="FE54" s="174"/>
      <c r="FF54" s="174"/>
      <c r="FG54" s="174"/>
      <c r="FH54" s="174"/>
      <c r="FI54" s="174"/>
      <c r="FJ54" s="174"/>
      <c r="FK54" s="174"/>
      <c r="FL54" s="174"/>
      <c r="FM54" s="174"/>
      <c r="FN54" s="174"/>
      <c r="FO54" s="174"/>
      <c r="FP54" s="174"/>
      <c r="FQ54" s="174"/>
      <c r="FR54" s="174"/>
      <c r="FS54" s="174"/>
      <c r="FT54" s="174"/>
      <c r="FU54" s="174"/>
      <c r="FV54" s="174"/>
      <c r="FW54" s="174"/>
      <c r="FX54" s="174"/>
      <c r="FY54" s="174"/>
      <c r="FZ54" s="174"/>
      <c r="GA54" s="174"/>
      <c r="GB54" s="174"/>
      <c r="GC54" s="174"/>
      <c r="GD54" s="174"/>
      <c r="GE54" s="174"/>
      <c r="GF54" s="174"/>
      <c r="GG54" s="174"/>
      <c r="GH54" s="174"/>
      <c r="GI54" s="174"/>
      <c r="GJ54" s="174"/>
      <c r="GK54" s="174"/>
      <c r="GL54" s="174"/>
      <c r="GM54" s="174"/>
      <c r="GN54" s="174"/>
      <c r="GO54" s="174"/>
      <c r="GP54" s="174"/>
      <c r="GQ54" s="174"/>
      <c r="GR54" s="174"/>
      <c r="GS54" s="174"/>
      <c r="GT54" s="174"/>
      <c r="GU54" s="174"/>
      <c r="GV54" s="174"/>
      <c r="GW54" s="174"/>
      <c r="GX54" s="174"/>
      <c r="GY54" s="174"/>
      <c r="GZ54" s="174"/>
      <c r="HA54" s="174"/>
      <c r="HB54" s="174"/>
      <c r="HC54" s="174"/>
      <c r="HD54" s="174"/>
      <c r="HE54" s="174"/>
      <c r="HF54" s="174"/>
      <c r="HG54" s="174"/>
      <c r="HH54" s="174"/>
      <c r="HI54" s="174"/>
      <c r="HJ54" s="174"/>
      <c r="HK54" s="174"/>
      <c r="HL54" s="174"/>
      <c r="HM54" s="174"/>
      <c r="HN54" s="174"/>
      <c r="HO54" s="174"/>
      <c r="HP54" s="174"/>
      <c r="HQ54" s="174"/>
      <c r="HR54" s="174"/>
      <c r="HS54" s="174"/>
      <c r="HT54" s="174"/>
      <c r="HU54" s="174"/>
      <c r="HV54" s="174"/>
      <c r="HW54" s="174"/>
      <c r="HX54" s="174"/>
      <c r="HY54" s="174"/>
      <c r="HZ54" s="174"/>
      <c r="IA54" s="174"/>
      <c r="IB54" s="174"/>
      <c r="IC54" s="174"/>
      <c r="ID54" s="174"/>
      <c r="IE54" s="174"/>
      <c r="IF54" s="174"/>
      <c r="IG54" s="174"/>
      <c r="IH54" s="174"/>
      <c r="II54" s="174"/>
      <c r="IJ54" s="174"/>
      <c r="IK54" s="174"/>
      <c r="IL54" s="174"/>
      <c r="IM54" s="174"/>
      <c r="IN54" s="174"/>
      <c r="IO54" s="174"/>
      <c r="IP54" s="174"/>
      <c r="IQ54" s="174"/>
      <c r="IR54" s="174"/>
      <c r="IS54" s="174"/>
      <c r="IT54" s="174"/>
      <c r="IU54" s="174"/>
      <c r="IV54" s="174"/>
      <c r="IW54" s="174"/>
      <c r="IX54" s="174"/>
      <c r="IY54" s="174"/>
      <c r="IZ54" s="174"/>
      <c r="JA54" s="174"/>
      <c r="JB54" s="174"/>
      <c r="JC54" s="174"/>
      <c r="JD54" s="174"/>
      <c r="JE54" s="174"/>
      <c r="JF54" s="174"/>
      <c r="JG54" s="174"/>
      <c r="JH54" s="174"/>
      <c r="JI54" s="174"/>
      <c r="JJ54" s="174"/>
      <c r="JK54" s="174"/>
      <c r="JL54" s="174"/>
      <c r="JM54" s="174"/>
      <c r="JN54" s="174"/>
      <c r="JO54" s="174"/>
      <c r="JP54" s="174"/>
      <c r="JQ54" s="174"/>
      <c r="JR54" s="174"/>
      <c r="JS54" s="174"/>
      <c r="JT54" s="174"/>
      <c r="JU54" s="174"/>
      <c r="JV54" s="174"/>
    </row>
    <row r="55" spans="1:282" s="151" customFormat="1">
      <c r="A55" s="232"/>
      <c r="D55" s="244"/>
      <c r="E55" s="245"/>
      <c r="F55" s="246"/>
      <c r="H55" s="247"/>
      <c r="BA55" s="257"/>
      <c r="CO55" s="150"/>
      <c r="CP55" s="150"/>
      <c r="CQ55" s="150"/>
      <c r="CS55" s="173"/>
      <c r="CU55" s="248"/>
      <c r="CV55" s="150"/>
      <c r="CW55" s="150"/>
      <c r="CX55" s="150"/>
      <c r="CY55" s="150"/>
      <c r="CZ55" s="150"/>
      <c r="DA55" s="150"/>
      <c r="DB55" s="150"/>
      <c r="DC55" s="150"/>
      <c r="DD55" s="150"/>
      <c r="DE55" s="150"/>
      <c r="DF55" s="150"/>
      <c r="DG55" s="150"/>
      <c r="DH55" s="150"/>
      <c r="DI55" s="150"/>
      <c r="DJ55" s="150"/>
      <c r="DK55" s="150"/>
      <c r="DL55" s="150"/>
      <c r="DM55" s="150"/>
      <c r="DN55" s="150"/>
      <c r="DO55" s="150"/>
      <c r="DP55" s="150"/>
      <c r="DQ55" s="150"/>
      <c r="DR55" s="150"/>
      <c r="DS55" s="150"/>
      <c r="DT55" s="150"/>
      <c r="DU55" s="150"/>
      <c r="DV55" s="150"/>
      <c r="DW55" s="150"/>
      <c r="DX55" s="150"/>
      <c r="DY55" s="150"/>
      <c r="DZ55" s="150"/>
      <c r="EA55" s="150"/>
      <c r="EB55" s="150"/>
      <c r="EC55" s="150"/>
      <c r="ED55" s="150"/>
      <c r="EE55" s="150"/>
      <c r="EF55" s="150"/>
      <c r="EG55" s="150"/>
      <c r="EH55" s="150"/>
      <c r="EI55" s="150"/>
      <c r="EJ55" s="150"/>
      <c r="EK55" s="150"/>
      <c r="EL55" s="150"/>
      <c r="EM55" s="150"/>
      <c r="EN55" s="150"/>
      <c r="EO55" s="150"/>
      <c r="EP55" s="150"/>
      <c r="EQ55" s="150"/>
      <c r="ER55" s="150"/>
      <c r="ES55" s="150"/>
      <c r="ET55" s="150"/>
      <c r="EU55" s="150"/>
      <c r="EV55" s="150"/>
      <c r="EW55" s="150"/>
      <c r="EX55" s="150"/>
      <c r="EY55" s="150"/>
      <c r="EZ55" s="150"/>
      <c r="FA55" s="150"/>
      <c r="FB55" s="150"/>
      <c r="FC55" s="150"/>
      <c r="FD55" s="150"/>
      <c r="FE55" s="150"/>
      <c r="FF55" s="150"/>
      <c r="FG55" s="150"/>
      <c r="FH55" s="150"/>
      <c r="FI55" s="150"/>
      <c r="FJ55" s="150"/>
      <c r="FK55" s="150"/>
      <c r="FL55" s="150"/>
      <c r="FM55" s="150"/>
      <c r="FN55" s="150"/>
      <c r="FO55" s="150"/>
      <c r="FP55" s="150"/>
      <c r="FQ55" s="150"/>
      <c r="FR55" s="150"/>
      <c r="FS55" s="150"/>
      <c r="FT55" s="150"/>
      <c r="FU55" s="150"/>
      <c r="FV55" s="150"/>
      <c r="FW55" s="150"/>
      <c r="FX55" s="150"/>
      <c r="FY55" s="150"/>
      <c r="FZ55" s="150"/>
      <c r="GA55" s="150"/>
      <c r="GB55" s="150"/>
      <c r="GC55" s="150"/>
      <c r="GD55" s="150"/>
      <c r="GE55" s="150"/>
      <c r="GF55" s="150"/>
      <c r="GG55" s="150"/>
      <c r="GH55" s="150"/>
      <c r="GI55" s="150"/>
      <c r="GJ55" s="150"/>
      <c r="GK55" s="150"/>
      <c r="GL55" s="150"/>
      <c r="GM55" s="150"/>
      <c r="GN55" s="150"/>
      <c r="GO55" s="150"/>
      <c r="GP55" s="150"/>
      <c r="GQ55" s="150"/>
      <c r="GR55" s="150"/>
      <c r="GS55" s="150"/>
      <c r="GT55" s="150"/>
      <c r="GU55" s="150"/>
      <c r="GV55" s="150"/>
      <c r="GW55" s="150"/>
      <c r="GX55" s="150"/>
      <c r="GY55" s="150"/>
      <c r="GZ55" s="150"/>
      <c r="HA55" s="150"/>
      <c r="HB55" s="150"/>
      <c r="HC55" s="150"/>
      <c r="HD55" s="150"/>
      <c r="HE55" s="150"/>
      <c r="HF55" s="150"/>
      <c r="HG55" s="150"/>
      <c r="HH55" s="150"/>
      <c r="HI55" s="150"/>
      <c r="HJ55" s="150"/>
      <c r="HK55" s="150"/>
      <c r="HL55" s="150"/>
      <c r="HM55" s="249"/>
      <c r="IC55" s="248"/>
      <c r="ID55" s="150"/>
      <c r="IE55" s="150"/>
      <c r="IF55" s="150"/>
      <c r="IG55" s="150"/>
      <c r="IH55" s="150"/>
      <c r="II55" s="150"/>
      <c r="IJ55" s="150"/>
      <c r="IK55" s="150"/>
      <c r="IL55" s="150"/>
      <c r="IM55" s="150"/>
      <c r="IN55" s="150"/>
      <c r="IO55" s="150"/>
      <c r="IP55" s="150"/>
      <c r="IQ55" s="150"/>
      <c r="IR55" s="150"/>
      <c r="IS55" s="150"/>
      <c r="IT55" s="150"/>
      <c r="IU55" s="150"/>
      <c r="IV55" s="150"/>
      <c r="IW55" s="150"/>
      <c r="IX55" s="150"/>
      <c r="IY55" s="150"/>
      <c r="IZ55" s="150"/>
      <c r="JA55" s="150"/>
      <c r="JB55" s="150"/>
      <c r="JC55" s="150"/>
      <c r="JD55" s="150"/>
      <c r="JE55" s="150"/>
      <c r="JF55" s="150"/>
      <c r="JG55" s="150"/>
      <c r="JH55" s="150"/>
      <c r="JI55" s="150"/>
      <c r="JJ55" s="150"/>
      <c r="JK55" s="150"/>
      <c r="JL55" s="150"/>
      <c r="JM55" s="150"/>
      <c r="JN55" s="150"/>
      <c r="JO55" s="150"/>
      <c r="JP55" s="150"/>
      <c r="JQ55" s="150"/>
      <c r="JR55" s="150"/>
      <c r="JS55" s="150"/>
      <c r="JT55" s="150"/>
      <c r="JU55" s="150"/>
      <c r="JV55" s="150"/>
    </row>
    <row r="56" spans="1:282" s="146" customFormat="1">
      <c r="A56" s="232"/>
      <c r="B56" s="173"/>
      <c r="C56" s="173"/>
      <c r="D56" s="233"/>
      <c r="E56" s="228"/>
      <c r="F56" s="235"/>
      <c r="G56" s="173"/>
      <c r="H56" s="173"/>
      <c r="I56" s="250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3"/>
      <c r="AV56" s="173"/>
      <c r="AW56" s="173"/>
      <c r="AX56" s="173"/>
      <c r="AY56" s="173"/>
      <c r="AZ56" s="173"/>
      <c r="BA56" s="277"/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3"/>
      <c r="BS56" s="173"/>
      <c r="BT56" s="173"/>
      <c r="BU56" s="173"/>
      <c r="BV56" s="173"/>
      <c r="BW56" s="173"/>
      <c r="BX56" s="173"/>
      <c r="BY56" s="173"/>
      <c r="BZ56" s="173"/>
      <c r="CA56" s="173"/>
      <c r="CB56" s="173"/>
      <c r="CC56" s="173"/>
      <c r="CD56" s="173"/>
      <c r="CE56" s="173"/>
      <c r="CF56" s="173"/>
      <c r="CG56" s="173"/>
      <c r="CH56" s="173"/>
      <c r="CI56" s="173"/>
      <c r="CJ56" s="173"/>
      <c r="CK56" s="173"/>
      <c r="CL56" s="173"/>
      <c r="CM56" s="173"/>
      <c r="CN56" s="173"/>
      <c r="CO56" s="173"/>
      <c r="CP56" s="173"/>
      <c r="CQ56" s="173"/>
      <c r="CR56" s="173"/>
      <c r="CS56" s="173"/>
      <c r="CT56" s="173"/>
      <c r="CU56" s="173"/>
      <c r="CV56" s="173"/>
      <c r="CW56" s="151"/>
      <c r="CX56" s="173"/>
      <c r="CY56" s="173"/>
      <c r="CZ56" s="173"/>
      <c r="DA56" s="222"/>
      <c r="DB56" s="222"/>
      <c r="DC56" s="222"/>
      <c r="DD56" s="222"/>
      <c r="DE56" s="222"/>
      <c r="DF56" s="222"/>
      <c r="DG56" s="222"/>
      <c r="DH56" s="222"/>
      <c r="DI56" s="222"/>
      <c r="DJ56" s="222"/>
      <c r="DK56" s="222"/>
      <c r="DL56" s="222"/>
      <c r="DM56" s="222"/>
      <c r="DN56" s="174"/>
      <c r="DO56" s="174"/>
      <c r="DP56" s="174"/>
      <c r="DQ56" s="174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174"/>
      <c r="EI56" s="174"/>
      <c r="EJ56" s="174"/>
      <c r="EK56" s="174"/>
      <c r="EL56" s="174"/>
      <c r="EM56" s="174"/>
      <c r="EN56" s="174"/>
      <c r="EO56" s="174"/>
      <c r="EP56" s="174"/>
      <c r="EQ56" s="174"/>
      <c r="ER56" s="174"/>
      <c r="ES56" s="174"/>
      <c r="ET56" s="174"/>
      <c r="EU56" s="174"/>
      <c r="EV56" s="174"/>
      <c r="EW56" s="174"/>
      <c r="EX56" s="174"/>
      <c r="EY56" s="174"/>
      <c r="EZ56" s="174"/>
      <c r="FA56" s="174"/>
      <c r="FB56" s="174"/>
      <c r="FC56" s="174"/>
      <c r="FD56" s="174"/>
      <c r="FE56" s="174"/>
      <c r="FF56" s="174"/>
      <c r="FG56" s="174"/>
      <c r="FH56" s="174"/>
      <c r="FI56" s="174"/>
      <c r="FJ56" s="174"/>
      <c r="FK56" s="174"/>
      <c r="FL56" s="174"/>
      <c r="FM56" s="174"/>
      <c r="FN56" s="174"/>
      <c r="FO56" s="174"/>
      <c r="FP56" s="174"/>
      <c r="FQ56" s="174"/>
      <c r="FR56" s="174"/>
      <c r="FS56" s="174"/>
      <c r="FT56" s="174"/>
      <c r="FU56" s="174"/>
      <c r="FV56" s="174"/>
      <c r="FW56" s="174"/>
      <c r="FX56" s="174"/>
      <c r="FY56" s="174"/>
      <c r="FZ56" s="174"/>
      <c r="GA56" s="174"/>
      <c r="GB56" s="174"/>
      <c r="GC56" s="174"/>
      <c r="GD56" s="174"/>
      <c r="GE56" s="174"/>
      <c r="GF56" s="174"/>
      <c r="GG56" s="174"/>
      <c r="GH56" s="174"/>
      <c r="GI56" s="174"/>
      <c r="GJ56" s="174"/>
      <c r="GK56" s="174"/>
      <c r="GL56" s="174"/>
      <c r="GM56" s="174"/>
      <c r="GN56" s="174"/>
      <c r="GO56" s="174"/>
      <c r="GP56" s="174"/>
      <c r="GQ56" s="174"/>
      <c r="GR56" s="174"/>
      <c r="GS56" s="174"/>
      <c r="GT56" s="174"/>
      <c r="GU56" s="174"/>
      <c r="GV56" s="174"/>
      <c r="GW56" s="174"/>
      <c r="GX56" s="174"/>
      <c r="GY56" s="174"/>
      <c r="GZ56" s="174"/>
      <c r="HA56" s="174"/>
      <c r="HB56" s="174"/>
      <c r="HC56" s="174"/>
      <c r="HD56" s="174"/>
      <c r="HE56" s="174"/>
      <c r="HF56" s="174"/>
      <c r="HG56" s="174"/>
      <c r="HH56" s="174"/>
      <c r="HI56" s="174"/>
      <c r="HJ56" s="174"/>
      <c r="HK56" s="174"/>
      <c r="HL56" s="174"/>
      <c r="HM56" s="174"/>
      <c r="HN56" s="174"/>
      <c r="HO56" s="174"/>
      <c r="HP56" s="174"/>
      <c r="HQ56" s="174"/>
      <c r="HR56" s="174"/>
      <c r="HS56" s="174"/>
      <c r="HT56" s="174"/>
      <c r="HU56" s="174"/>
      <c r="HV56" s="174"/>
      <c r="HW56" s="174"/>
      <c r="HX56" s="174"/>
      <c r="HY56" s="174"/>
      <c r="HZ56" s="174"/>
      <c r="IA56" s="174"/>
      <c r="IB56" s="174"/>
      <c r="IC56" s="174"/>
      <c r="ID56" s="174"/>
      <c r="IE56" s="174"/>
      <c r="IF56" s="174"/>
      <c r="IG56" s="174"/>
      <c r="IH56" s="174"/>
      <c r="II56" s="174"/>
      <c r="IJ56" s="174"/>
      <c r="IK56" s="174"/>
      <c r="IL56" s="174"/>
      <c r="IM56" s="174"/>
      <c r="IN56" s="174"/>
      <c r="IO56" s="174"/>
      <c r="IP56" s="174"/>
      <c r="IQ56" s="174"/>
      <c r="IR56" s="174"/>
      <c r="IS56" s="174"/>
      <c r="IT56" s="174"/>
      <c r="IU56" s="174"/>
      <c r="IV56" s="174"/>
      <c r="IW56" s="174"/>
      <c r="IX56" s="174"/>
      <c r="IY56" s="174"/>
      <c r="IZ56" s="174"/>
      <c r="JA56" s="174"/>
      <c r="JB56" s="174"/>
      <c r="JC56" s="174"/>
      <c r="JD56" s="174"/>
      <c r="JE56" s="174"/>
      <c r="JF56" s="174"/>
      <c r="JG56" s="174"/>
      <c r="JH56" s="174"/>
      <c r="JI56" s="174"/>
      <c r="JJ56" s="174"/>
      <c r="JK56" s="174"/>
      <c r="JL56" s="174"/>
      <c r="JM56" s="174"/>
      <c r="JN56" s="174"/>
      <c r="JO56" s="174"/>
      <c r="JP56" s="174"/>
      <c r="JQ56" s="174"/>
      <c r="JR56" s="174"/>
      <c r="JS56" s="174"/>
      <c r="JT56" s="174"/>
      <c r="JU56" s="174"/>
      <c r="JV56" s="174"/>
    </row>
    <row r="57" spans="1:282" s="173" customFormat="1">
      <c r="A57" s="232"/>
      <c r="D57" s="233"/>
      <c r="E57" s="228"/>
      <c r="F57" s="235"/>
      <c r="I57" s="250"/>
      <c r="J57" s="228"/>
      <c r="BA57" s="277"/>
      <c r="CW57" s="151"/>
      <c r="DA57" s="222"/>
      <c r="DB57" s="222"/>
      <c r="DC57" s="222"/>
      <c r="DD57" s="222"/>
      <c r="DE57" s="222"/>
      <c r="DF57" s="222"/>
      <c r="DG57" s="222"/>
      <c r="DH57" s="222"/>
      <c r="DI57" s="222"/>
      <c r="DJ57" s="222"/>
      <c r="DK57" s="222"/>
      <c r="DL57" s="222"/>
      <c r="DM57" s="222"/>
      <c r="DN57" s="222"/>
      <c r="DO57" s="222"/>
      <c r="DP57" s="222"/>
      <c r="DQ57" s="222"/>
      <c r="DR57" s="222"/>
      <c r="DS57" s="222"/>
      <c r="DT57" s="222"/>
      <c r="DU57" s="222"/>
      <c r="DV57" s="222"/>
      <c r="DW57" s="222"/>
      <c r="DX57" s="222"/>
      <c r="DY57" s="222"/>
      <c r="DZ57" s="222"/>
      <c r="EA57" s="222"/>
      <c r="EB57" s="222"/>
      <c r="EC57" s="222"/>
      <c r="ED57" s="222"/>
      <c r="EE57" s="222"/>
      <c r="EF57" s="222"/>
      <c r="EG57" s="222"/>
      <c r="EH57" s="222"/>
      <c r="EI57" s="222"/>
      <c r="EJ57" s="222"/>
      <c r="EK57" s="222"/>
      <c r="EL57" s="222"/>
      <c r="EM57" s="222"/>
      <c r="EN57" s="222"/>
      <c r="EO57" s="222"/>
      <c r="EP57" s="222"/>
      <c r="EQ57" s="222"/>
      <c r="ER57" s="222"/>
      <c r="ES57" s="222"/>
      <c r="ET57" s="222"/>
      <c r="EU57" s="222"/>
      <c r="EV57" s="222"/>
      <c r="EW57" s="222"/>
      <c r="EX57" s="222"/>
      <c r="EY57" s="222"/>
      <c r="EZ57" s="222"/>
      <c r="FA57" s="222"/>
      <c r="FB57" s="222"/>
      <c r="FC57" s="222"/>
      <c r="FD57" s="222"/>
      <c r="FE57" s="222"/>
      <c r="FF57" s="222"/>
      <c r="FG57" s="222"/>
      <c r="FH57" s="222"/>
      <c r="FI57" s="222"/>
      <c r="FJ57" s="222"/>
      <c r="FK57" s="222"/>
      <c r="FL57" s="222"/>
      <c r="FM57" s="222"/>
      <c r="FN57" s="222"/>
      <c r="FO57" s="222"/>
      <c r="FP57" s="222"/>
      <c r="FQ57" s="222"/>
      <c r="FR57" s="222"/>
      <c r="FS57" s="222"/>
      <c r="FT57" s="222"/>
      <c r="FU57" s="222"/>
      <c r="FV57" s="222"/>
      <c r="FW57" s="222"/>
      <c r="FX57" s="222"/>
      <c r="FY57" s="222"/>
      <c r="FZ57" s="222"/>
      <c r="GA57" s="222"/>
      <c r="GB57" s="222"/>
      <c r="GC57" s="222"/>
      <c r="GD57" s="222"/>
      <c r="GE57" s="222"/>
      <c r="GF57" s="222"/>
      <c r="GG57" s="222"/>
      <c r="GH57" s="222"/>
      <c r="GI57" s="222"/>
      <c r="GJ57" s="222"/>
      <c r="GK57" s="222"/>
      <c r="GL57" s="222"/>
      <c r="GM57" s="222"/>
      <c r="GN57" s="222"/>
      <c r="GO57" s="222"/>
      <c r="GP57" s="222"/>
      <c r="GQ57" s="222"/>
      <c r="GR57" s="222"/>
      <c r="GS57" s="222"/>
      <c r="GT57" s="222"/>
      <c r="GU57" s="222"/>
      <c r="GV57" s="222"/>
      <c r="GW57" s="222"/>
      <c r="GX57" s="222"/>
      <c r="GY57" s="222"/>
      <c r="GZ57" s="222"/>
      <c r="HA57" s="222"/>
      <c r="HB57" s="222"/>
      <c r="HC57" s="222"/>
      <c r="HD57" s="222"/>
      <c r="HE57" s="222"/>
      <c r="HF57" s="222"/>
      <c r="HG57" s="222"/>
      <c r="HH57" s="222"/>
      <c r="HI57" s="222"/>
      <c r="HJ57" s="222"/>
      <c r="HK57" s="222"/>
      <c r="HL57" s="222"/>
      <c r="HM57" s="222"/>
      <c r="HN57" s="222"/>
      <c r="HO57" s="222"/>
      <c r="HP57" s="222"/>
      <c r="HQ57" s="222"/>
      <c r="HR57" s="222"/>
      <c r="HS57" s="222"/>
      <c r="HT57" s="222"/>
      <c r="HU57" s="222"/>
      <c r="HV57" s="222"/>
      <c r="HW57" s="222"/>
      <c r="HX57" s="222"/>
      <c r="HY57" s="222"/>
      <c r="HZ57" s="222"/>
      <c r="IA57" s="222"/>
      <c r="IB57" s="222"/>
      <c r="IC57" s="222"/>
      <c r="ID57" s="222"/>
      <c r="IE57" s="222"/>
      <c r="IF57" s="222"/>
      <c r="IG57" s="222"/>
      <c r="IH57" s="222"/>
      <c r="II57" s="222"/>
      <c r="IJ57" s="222"/>
      <c r="IK57" s="222"/>
      <c r="IL57" s="222"/>
      <c r="IM57" s="222"/>
      <c r="IN57" s="222"/>
      <c r="IO57" s="222"/>
      <c r="IP57" s="222"/>
      <c r="IQ57" s="222"/>
      <c r="IR57" s="222"/>
      <c r="IS57" s="222"/>
      <c r="IT57" s="222"/>
      <c r="IU57" s="222"/>
      <c r="IV57" s="222"/>
      <c r="IW57" s="222"/>
      <c r="IX57" s="222"/>
      <c r="IY57" s="222"/>
      <c r="IZ57" s="222"/>
      <c r="JA57" s="222"/>
      <c r="JB57" s="222"/>
      <c r="JC57" s="222"/>
      <c r="JD57" s="222"/>
      <c r="JE57" s="222"/>
      <c r="JF57" s="222"/>
      <c r="JG57" s="222"/>
      <c r="JH57" s="222"/>
      <c r="JI57" s="222"/>
      <c r="JJ57" s="222"/>
      <c r="JK57" s="222"/>
      <c r="JL57" s="222"/>
      <c r="JM57" s="222"/>
      <c r="JN57" s="222"/>
      <c r="JO57" s="222"/>
      <c r="JP57" s="222"/>
      <c r="JQ57" s="222"/>
      <c r="JR57" s="222"/>
      <c r="JS57" s="222"/>
      <c r="JT57" s="222"/>
      <c r="JU57" s="222"/>
      <c r="JV57" s="222"/>
    </row>
    <row r="58" spans="1:282" s="146" customFormat="1">
      <c r="A58" s="232"/>
      <c r="B58" s="173"/>
      <c r="C58" s="173"/>
      <c r="D58" s="233"/>
      <c r="E58" s="228"/>
      <c r="F58" s="234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277"/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173"/>
      <c r="BV58" s="173"/>
      <c r="BW58" s="173"/>
      <c r="BX58" s="173"/>
      <c r="BY58" s="173"/>
      <c r="BZ58" s="173"/>
      <c r="CA58" s="173"/>
      <c r="CB58" s="173"/>
      <c r="CC58" s="173"/>
      <c r="CD58" s="173"/>
      <c r="CE58" s="173"/>
      <c r="CF58" s="173"/>
      <c r="CG58" s="173"/>
      <c r="CH58" s="173"/>
      <c r="CI58" s="173"/>
      <c r="CJ58" s="173"/>
      <c r="CK58" s="173"/>
      <c r="CL58" s="173"/>
      <c r="CM58" s="173"/>
      <c r="CN58" s="173"/>
      <c r="CO58" s="173"/>
      <c r="CP58" s="173"/>
      <c r="CQ58" s="173"/>
      <c r="CR58" s="151"/>
      <c r="CS58" s="173"/>
      <c r="CT58" s="173"/>
      <c r="CU58" s="173"/>
      <c r="CV58" s="173"/>
      <c r="CW58" s="173"/>
      <c r="CX58" s="173"/>
      <c r="CY58" s="173"/>
      <c r="CZ58" s="173"/>
      <c r="DA58" s="222"/>
      <c r="DB58" s="222"/>
      <c r="DC58" s="222"/>
      <c r="DD58" s="222"/>
      <c r="DE58" s="222"/>
      <c r="DF58" s="222"/>
      <c r="DG58" s="222"/>
      <c r="DH58" s="222"/>
      <c r="DI58" s="222"/>
      <c r="DJ58" s="222"/>
      <c r="DK58" s="222"/>
      <c r="DL58" s="222"/>
      <c r="DM58" s="222"/>
      <c r="DN58" s="174"/>
      <c r="DO58" s="174"/>
      <c r="DP58" s="174"/>
      <c r="DQ58" s="174"/>
      <c r="DR58" s="174"/>
      <c r="DS58" s="174"/>
      <c r="DT58" s="174"/>
      <c r="DU58" s="174"/>
      <c r="DV58" s="174"/>
      <c r="DW58" s="174"/>
      <c r="DX58" s="174"/>
      <c r="DY58" s="174"/>
      <c r="DZ58" s="174"/>
      <c r="EA58" s="174"/>
      <c r="EB58" s="174"/>
      <c r="EC58" s="174"/>
      <c r="ED58" s="174"/>
      <c r="EE58" s="174"/>
      <c r="EF58" s="174"/>
      <c r="EG58" s="174"/>
      <c r="EH58" s="174"/>
      <c r="EI58" s="174"/>
      <c r="EJ58" s="174"/>
      <c r="EK58" s="174"/>
      <c r="EL58" s="174"/>
      <c r="EM58" s="174"/>
      <c r="EN58" s="174"/>
      <c r="EO58" s="174"/>
      <c r="EP58" s="174"/>
      <c r="EQ58" s="174"/>
      <c r="ER58" s="174"/>
      <c r="ES58" s="174"/>
      <c r="ET58" s="174"/>
      <c r="EU58" s="174"/>
      <c r="EV58" s="174"/>
      <c r="EW58" s="174"/>
      <c r="EX58" s="174"/>
      <c r="EY58" s="174"/>
      <c r="EZ58" s="174"/>
      <c r="FA58" s="174"/>
      <c r="FB58" s="174"/>
      <c r="FC58" s="174"/>
      <c r="FD58" s="174"/>
      <c r="FE58" s="174"/>
      <c r="FF58" s="174"/>
      <c r="FG58" s="174"/>
      <c r="FH58" s="174"/>
      <c r="FI58" s="174"/>
      <c r="FJ58" s="174"/>
      <c r="FK58" s="174"/>
      <c r="FL58" s="174"/>
      <c r="FM58" s="174"/>
      <c r="FN58" s="174"/>
      <c r="FO58" s="174"/>
      <c r="FP58" s="174"/>
      <c r="FQ58" s="174"/>
      <c r="FR58" s="174"/>
      <c r="FS58" s="174"/>
      <c r="FT58" s="174"/>
      <c r="FU58" s="174"/>
      <c r="FV58" s="174"/>
      <c r="FW58" s="174"/>
      <c r="FX58" s="174"/>
      <c r="FY58" s="174"/>
      <c r="FZ58" s="174"/>
      <c r="GA58" s="174"/>
      <c r="GB58" s="174"/>
      <c r="GC58" s="174"/>
      <c r="GD58" s="174"/>
      <c r="GE58" s="174"/>
      <c r="GF58" s="174"/>
      <c r="GG58" s="174"/>
      <c r="GH58" s="174"/>
      <c r="GI58" s="174"/>
      <c r="GJ58" s="174"/>
      <c r="GK58" s="174"/>
      <c r="GL58" s="174"/>
      <c r="GM58" s="174"/>
      <c r="GN58" s="174"/>
      <c r="GO58" s="174"/>
      <c r="GP58" s="174"/>
      <c r="GQ58" s="174"/>
      <c r="GR58" s="174"/>
      <c r="GS58" s="174"/>
      <c r="GT58" s="174"/>
      <c r="GU58" s="174"/>
      <c r="GV58" s="174"/>
      <c r="GW58" s="174"/>
      <c r="GX58" s="174"/>
      <c r="GY58" s="174"/>
      <c r="GZ58" s="174"/>
      <c r="HA58" s="174"/>
      <c r="HB58" s="174"/>
      <c r="HC58" s="174"/>
      <c r="HD58" s="174"/>
      <c r="HE58" s="174"/>
      <c r="HF58" s="174"/>
      <c r="HG58" s="174"/>
      <c r="HH58" s="174"/>
      <c r="HI58" s="174"/>
      <c r="HJ58" s="174"/>
      <c r="HK58" s="174"/>
      <c r="HL58" s="174"/>
      <c r="HM58" s="174"/>
      <c r="HN58" s="174"/>
      <c r="HO58" s="174"/>
      <c r="HP58" s="174"/>
      <c r="HQ58" s="174"/>
      <c r="HR58" s="174"/>
      <c r="HS58" s="174"/>
      <c r="HT58" s="174"/>
      <c r="HU58" s="174"/>
      <c r="HV58" s="174"/>
      <c r="HW58" s="174"/>
      <c r="HX58" s="174"/>
      <c r="HY58" s="174"/>
      <c r="HZ58" s="174"/>
      <c r="IA58" s="174"/>
      <c r="IB58" s="174"/>
      <c r="IC58" s="174"/>
      <c r="ID58" s="174"/>
      <c r="IE58" s="174"/>
      <c r="IF58" s="174"/>
      <c r="IG58" s="174"/>
      <c r="IH58" s="174"/>
      <c r="II58" s="174"/>
      <c r="IJ58" s="174"/>
      <c r="IK58" s="174"/>
      <c r="IL58" s="174"/>
      <c r="IM58" s="174"/>
      <c r="IN58" s="174"/>
      <c r="IO58" s="174"/>
      <c r="IP58" s="174"/>
      <c r="IQ58" s="174"/>
      <c r="IR58" s="174"/>
      <c r="IS58" s="174"/>
      <c r="IT58" s="174"/>
      <c r="IU58" s="174"/>
      <c r="IV58" s="174"/>
      <c r="IW58" s="174"/>
      <c r="IX58" s="174"/>
      <c r="IY58" s="174"/>
      <c r="IZ58" s="174"/>
      <c r="JA58" s="174"/>
      <c r="JB58" s="174"/>
      <c r="JC58" s="174"/>
      <c r="JD58" s="174"/>
      <c r="JE58" s="174"/>
      <c r="JF58" s="174"/>
      <c r="JG58" s="174"/>
      <c r="JH58" s="174"/>
      <c r="JI58" s="174"/>
      <c r="JJ58" s="174"/>
      <c r="JK58" s="174"/>
      <c r="JL58" s="174"/>
      <c r="JM58" s="174"/>
      <c r="JN58" s="174"/>
      <c r="JO58" s="174"/>
      <c r="JP58" s="174"/>
      <c r="JQ58" s="174"/>
      <c r="JR58" s="174"/>
      <c r="JS58" s="174"/>
      <c r="JT58" s="174"/>
      <c r="JU58" s="174"/>
      <c r="JV58" s="174"/>
    </row>
    <row r="59" spans="1:282" s="159" customFormat="1">
      <c r="A59" s="232"/>
      <c r="B59" s="173"/>
      <c r="C59" s="173"/>
      <c r="D59" s="233"/>
      <c r="E59" s="228"/>
      <c r="F59" s="234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277"/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3"/>
      <c r="BS59" s="173"/>
      <c r="BT59" s="173"/>
      <c r="BU59" s="173"/>
      <c r="BV59" s="173"/>
      <c r="BW59" s="173"/>
      <c r="BX59" s="173"/>
      <c r="BY59" s="173"/>
      <c r="BZ59" s="173"/>
      <c r="CA59" s="173"/>
      <c r="CB59" s="173"/>
      <c r="CC59" s="173"/>
      <c r="CD59" s="173"/>
      <c r="CE59" s="173"/>
      <c r="CF59" s="173"/>
      <c r="CG59" s="173"/>
      <c r="CH59" s="173"/>
      <c r="CI59" s="173"/>
      <c r="CJ59" s="173"/>
      <c r="CK59" s="173"/>
      <c r="CL59" s="173"/>
      <c r="CM59" s="173"/>
      <c r="CN59" s="173"/>
      <c r="CO59" s="173"/>
      <c r="CP59" s="173"/>
      <c r="CQ59" s="173"/>
      <c r="CR59" s="151"/>
      <c r="CS59" s="173"/>
      <c r="CT59" s="173"/>
      <c r="CU59" s="173"/>
      <c r="CV59" s="173"/>
      <c r="CW59" s="173"/>
      <c r="CX59" s="173"/>
      <c r="CY59" s="173"/>
      <c r="CZ59" s="251"/>
      <c r="DA59" s="222"/>
      <c r="DB59" s="222"/>
      <c r="DC59" s="222"/>
      <c r="DD59" s="222"/>
      <c r="DE59" s="222"/>
      <c r="DF59" s="222"/>
      <c r="DG59" s="222"/>
      <c r="DH59" s="222"/>
      <c r="DI59" s="222"/>
      <c r="DJ59" s="222"/>
      <c r="DK59" s="222"/>
      <c r="DL59" s="222"/>
      <c r="DM59" s="222"/>
      <c r="DN59" s="160"/>
      <c r="DO59" s="160"/>
      <c r="DP59" s="160"/>
      <c r="DQ59" s="160"/>
      <c r="DR59" s="160"/>
      <c r="DS59" s="160"/>
      <c r="DT59" s="160"/>
      <c r="DU59" s="160"/>
      <c r="DV59" s="160"/>
      <c r="DW59" s="160"/>
      <c r="DX59" s="160"/>
      <c r="DY59" s="160"/>
      <c r="DZ59" s="160"/>
      <c r="EA59" s="160"/>
      <c r="EB59" s="160"/>
      <c r="EC59" s="160"/>
      <c r="ED59" s="160"/>
      <c r="EE59" s="160"/>
      <c r="EF59" s="160"/>
      <c r="EG59" s="160"/>
      <c r="EH59" s="160"/>
      <c r="EI59" s="160"/>
      <c r="EJ59" s="160"/>
      <c r="EK59" s="160"/>
      <c r="EL59" s="160"/>
      <c r="EM59" s="160"/>
      <c r="EN59" s="160"/>
      <c r="EO59" s="160"/>
      <c r="EP59" s="160"/>
      <c r="EQ59" s="160"/>
      <c r="ER59" s="160"/>
      <c r="ES59" s="160"/>
      <c r="ET59" s="160"/>
      <c r="EU59" s="160"/>
      <c r="EV59" s="160"/>
      <c r="EW59" s="160"/>
      <c r="EX59" s="160"/>
      <c r="EY59" s="160"/>
      <c r="EZ59" s="160"/>
      <c r="FA59" s="160"/>
      <c r="FB59" s="160"/>
      <c r="FC59" s="160"/>
      <c r="FD59" s="160"/>
      <c r="FE59" s="160"/>
      <c r="FF59" s="160"/>
      <c r="FG59" s="160"/>
      <c r="FH59" s="160"/>
      <c r="FI59" s="160"/>
      <c r="FJ59" s="160"/>
      <c r="FK59" s="160"/>
      <c r="FL59" s="160"/>
      <c r="FM59" s="160"/>
      <c r="FN59" s="160"/>
      <c r="FO59" s="160"/>
      <c r="FP59" s="160"/>
      <c r="FQ59" s="160"/>
      <c r="FR59" s="160"/>
      <c r="FS59" s="160"/>
      <c r="FT59" s="160"/>
      <c r="FU59" s="160"/>
      <c r="FV59" s="160"/>
      <c r="FW59" s="160"/>
      <c r="FX59" s="160"/>
      <c r="FY59" s="160"/>
      <c r="FZ59" s="160"/>
      <c r="GA59" s="160"/>
      <c r="GB59" s="160"/>
      <c r="GC59" s="160"/>
      <c r="GD59" s="160"/>
      <c r="GE59" s="160"/>
      <c r="GF59" s="160"/>
      <c r="GG59" s="160"/>
      <c r="GH59" s="160"/>
      <c r="GI59" s="160"/>
      <c r="GJ59" s="160"/>
      <c r="GK59" s="160"/>
      <c r="GL59" s="160"/>
      <c r="GM59" s="160"/>
      <c r="GN59" s="160"/>
      <c r="GO59" s="160"/>
      <c r="GP59" s="160"/>
      <c r="GQ59" s="160"/>
      <c r="GR59" s="160"/>
      <c r="GS59" s="160"/>
      <c r="GT59" s="160"/>
      <c r="GU59" s="160"/>
      <c r="GV59" s="160"/>
      <c r="GW59" s="160"/>
      <c r="GX59" s="160"/>
      <c r="GY59" s="160"/>
      <c r="GZ59" s="160"/>
      <c r="HA59" s="160"/>
      <c r="HB59" s="160"/>
      <c r="HC59" s="160"/>
      <c r="HD59" s="160"/>
      <c r="HE59" s="160"/>
      <c r="HF59" s="160"/>
      <c r="HG59" s="160"/>
      <c r="HH59" s="160"/>
      <c r="HI59" s="160"/>
      <c r="HJ59" s="160"/>
      <c r="HK59" s="160"/>
      <c r="HL59" s="160"/>
      <c r="HM59" s="160"/>
      <c r="HN59" s="160"/>
      <c r="HO59" s="160"/>
      <c r="HP59" s="160"/>
      <c r="HQ59" s="160"/>
      <c r="HR59" s="160"/>
      <c r="HS59" s="160"/>
      <c r="HT59" s="160"/>
      <c r="HU59" s="160"/>
      <c r="HV59" s="160"/>
      <c r="HW59" s="160"/>
      <c r="HX59" s="160"/>
      <c r="HY59" s="160"/>
      <c r="HZ59" s="160"/>
      <c r="IA59" s="160"/>
      <c r="IB59" s="160"/>
      <c r="IC59" s="160"/>
      <c r="ID59" s="160"/>
      <c r="IE59" s="160"/>
      <c r="IF59" s="160"/>
      <c r="IG59" s="160"/>
      <c r="IH59" s="160"/>
      <c r="II59" s="160"/>
      <c r="IJ59" s="160"/>
      <c r="IK59" s="160"/>
      <c r="IL59" s="160"/>
      <c r="IM59" s="160"/>
      <c r="IN59" s="160"/>
      <c r="IO59" s="160"/>
      <c r="IP59" s="160"/>
      <c r="IQ59" s="160"/>
      <c r="IR59" s="160"/>
      <c r="IS59" s="160"/>
      <c r="IT59" s="160"/>
      <c r="IU59" s="160"/>
      <c r="IV59" s="160"/>
      <c r="IW59" s="160"/>
      <c r="IX59" s="160"/>
      <c r="IY59" s="160"/>
      <c r="IZ59" s="160"/>
      <c r="JA59" s="160"/>
      <c r="JB59" s="160"/>
      <c r="JC59" s="160"/>
      <c r="JD59" s="160"/>
      <c r="JE59" s="160"/>
      <c r="JF59" s="160"/>
      <c r="JG59" s="160"/>
      <c r="JH59" s="160"/>
      <c r="JI59" s="160"/>
      <c r="JJ59" s="160"/>
      <c r="JK59" s="160"/>
      <c r="JL59" s="160"/>
      <c r="JM59" s="160"/>
      <c r="JN59" s="160"/>
      <c r="JO59" s="160"/>
      <c r="JP59" s="160"/>
      <c r="JQ59" s="160"/>
      <c r="JR59" s="160"/>
      <c r="JS59" s="160"/>
      <c r="JT59" s="160"/>
      <c r="JU59" s="160"/>
      <c r="JV59" s="160"/>
    </row>
    <row r="60" spans="1:282" s="159" customFormat="1">
      <c r="A60" s="232"/>
      <c r="B60" s="173"/>
      <c r="C60" s="173"/>
      <c r="D60" s="233"/>
      <c r="E60" s="228"/>
      <c r="F60" s="234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277"/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173"/>
      <c r="CC60" s="173"/>
      <c r="CD60" s="173"/>
      <c r="CE60" s="173"/>
      <c r="CF60" s="173"/>
      <c r="CG60" s="173"/>
      <c r="CH60" s="173"/>
      <c r="CI60" s="173"/>
      <c r="CJ60" s="173"/>
      <c r="CK60" s="173"/>
      <c r="CL60" s="173"/>
      <c r="CM60" s="173"/>
      <c r="CN60" s="173"/>
      <c r="CO60" s="173"/>
      <c r="CP60" s="173"/>
      <c r="CQ60" s="173"/>
      <c r="CR60" s="151"/>
      <c r="CS60" s="173"/>
      <c r="CT60" s="173"/>
      <c r="CU60" s="173"/>
      <c r="CV60" s="173"/>
      <c r="CW60" s="173"/>
      <c r="CX60" s="173"/>
      <c r="CY60" s="173"/>
      <c r="CZ60" s="173"/>
      <c r="DA60" s="222"/>
      <c r="DB60" s="222"/>
      <c r="DC60" s="222"/>
      <c r="DD60" s="222"/>
      <c r="DE60" s="222"/>
      <c r="DF60" s="222"/>
      <c r="DG60" s="222"/>
      <c r="DH60" s="222"/>
      <c r="DI60" s="222"/>
      <c r="DJ60" s="222"/>
      <c r="DK60" s="222"/>
      <c r="DL60" s="222"/>
      <c r="DM60" s="222"/>
      <c r="DN60" s="160"/>
      <c r="DO60" s="160"/>
      <c r="DP60" s="160"/>
      <c r="DQ60" s="160"/>
      <c r="DR60" s="160"/>
      <c r="DS60" s="160"/>
      <c r="DT60" s="160"/>
      <c r="DU60" s="160"/>
      <c r="DV60" s="160"/>
      <c r="DW60" s="160"/>
      <c r="DX60" s="160"/>
      <c r="DY60" s="160"/>
      <c r="DZ60" s="160"/>
      <c r="EA60" s="160"/>
      <c r="EB60" s="160"/>
      <c r="EC60" s="160"/>
      <c r="ED60" s="160"/>
      <c r="EE60" s="160"/>
      <c r="EF60" s="160"/>
      <c r="EG60" s="160"/>
      <c r="EH60" s="160"/>
      <c r="EI60" s="160"/>
      <c r="EJ60" s="160"/>
      <c r="EK60" s="160"/>
      <c r="EL60" s="160"/>
      <c r="EM60" s="160"/>
      <c r="EN60" s="160"/>
      <c r="EO60" s="160"/>
      <c r="EP60" s="160"/>
      <c r="EQ60" s="160"/>
      <c r="ER60" s="160"/>
      <c r="ES60" s="160"/>
      <c r="ET60" s="160"/>
      <c r="EU60" s="160"/>
      <c r="EV60" s="160"/>
      <c r="EW60" s="160"/>
      <c r="EX60" s="160"/>
      <c r="EY60" s="160"/>
      <c r="EZ60" s="160"/>
      <c r="FA60" s="160"/>
      <c r="FB60" s="160"/>
      <c r="FC60" s="160"/>
      <c r="FD60" s="160"/>
      <c r="FE60" s="160"/>
      <c r="FF60" s="160"/>
      <c r="FG60" s="160"/>
      <c r="FH60" s="160"/>
      <c r="FI60" s="160"/>
      <c r="FJ60" s="160"/>
      <c r="FK60" s="160"/>
      <c r="FL60" s="160"/>
      <c r="FM60" s="160"/>
      <c r="FN60" s="160"/>
      <c r="FO60" s="160"/>
      <c r="FP60" s="160"/>
      <c r="FQ60" s="160"/>
      <c r="FR60" s="160"/>
      <c r="FS60" s="160"/>
      <c r="FT60" s="160"/>
      <c r="FU60" s="160"/>
      <c r="FV60" s="160"/>
      <c r="FW60" s="160"/>
      <c r="FX60" s="160"/>
      <c r="FY60" s="160"/>
      <c r="FZ60" s="160"/>
      <c r="GA60" s="160"/>
      <c r="GB60" s="160"/>
      <c r="GC60" s="160"/>
      <c r="GD60" s="160"/>
      <c r="GE60" s="160"/>
      <c r="GF60" s="160"/>
      <c r="GG60" s="160"/>
      <c r="GH60" s="160"/>
      <c r="GI60" s="160"/>
      <c r="GJ60" s="160"/>
      <c r="GK60" s="160"/>
      <c r="GL60" s="160"/>
      <c r="GM60" s="160"/>
      <c r="GN60" s="160"/>
      <c r="GO60" s="160"/>
      <c r="GP60" s="160"/>
      <c r="GQ60" s="160"/>
      <c r="GR60" s="160"/>
      <c r="GS60" s="160"/>
      <c r="GT60" s="160"/>
      <c r="GU60" s="160"/>
      <c r="GV60" s="160"/>
      <c r="GW60" s="160"/>
      <c r="GX60" s="160"/>
      <c r="GY60" s="160"/>
      <c r="GZ60" s="160"/>
      <c r="HA60" s="160"/>
      <c r="HB60" s="160"/>
      <c r="HC60" s="160"/>
      <c r="HD60" s="160"/>
      <c r="HE60" s="160"/>
      <c r="HF60" s="160"/>
      <c r="HG60" s="160"/>
      <c r="HH60" s="160"/>
      <c r="HI60" s="160"/>
      <c r="HJ60" s="160"/>
      <c r="HK60" s="160"/>
      <c r="HL60" s="160"/>
      <c r="HM60" s="160"/>
      <c r="HN60" s="160"/>
      <c r="HO60" s="160"/>
      <c r="HP60" s="160"/>
      <c r="HQ60" s="160"/>
      <c r="HR60" s="160"/>
      <c r="HS60" s="160"/>
      <c r="HT60" s="160"/>
      <c r="HU60" s="160"/>
      <c r="HV60" s="160"/>
      <c r="HW60" s="160"/>
      <c r="HX60" s="160"/>
      <c r="HY60" s="160"/>
      <c r="HZ60" s="160"/>
      <c r="IA60" s="160"/>
      <c r="IB60" s="160"/>
      <c r="IC60" s="160"/>
      <c r="ID60" s="160"/>
      <c r="IE60" s="160"/>
      <c r="IF60" s="160"/>
      <c r="IG60" s="160"/>
      <c r="IH60" s="160"/>
      <c r="II60" s="160"/>
      <c r="IJ60" s="160"/>
      <c r="IK60" s="160"/>
      <c r="IL60" s="160"/>
      <c r="IM60" s="160"/>
      <c r="IN60" s="160"/>
      <c r="IO60" s="160"/>
      <c r="IP60" s="160"/>
      <c r="IQ60" s="160"/>
      <c r="IR60" s="160"/>
      <c r="IS60" s="160"/>
      <c r="IT60" s="160"/>
      <c r="IU60" s="160"/>
      <c r="IV60" s="160"/>
      <c r="IW60" s="160"/>
      <c r="IX60" s="160"/>
      <c r="IY60" s="160"/>
      <c r="IZ60" s="160"/>
      <c r="JA60" s="160"/>
      <c r="JB60" s="160"/>
      <c r="JC60" s="160"/>
      <c r="JD60" s="160"/>
      <c r="JE60" s="160"/>
      <c r="JF60" s="160"/>
      <c r="JG60" s="160"/>
      <c r="JH60" s="160"/>
      <c r="JI60" s="160"/>
      <c r="JJ60" s="160"/>
      <c r="JK60" s="160"/>
      <c r="JL60" s="160"/>
      <c r="JM60" s="160"/>
      <c r="JN60" s="160"/>
      <c r="JO60" s="160"/>
      <c r="JP60" s="160"/>
      <c r="JQ60" s="160"/>
      <c r="JR60" s="160"/>
      <c r="JS60" s="160"/>
      <c r="JT60" s="160"/>
      <c r="JU60" s="160"/>
      <c r="JV60" s="160"/>
    </row>
    <row r="61" spans="1:282" s="146" customFormat="1">
      <c r="A61" s="232"/>
      <c r="B61" s="173"/>
      <c r="C61" s="173"/>
      <c r="D61" s="233"/>
      <c r="E61" s="228"/>
      <c r="F61" s="234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3"/>
      <c r="AT61" s="173"/>
      <c r="AU61" s="173"/>
      <c r="AV61" s="173"/>
      <c r="AW61" s="173"/>
      <c r="AX61" s="173"/>
      <c r="AY61" s="173"/>
      <c r="AZ61" s="173"/>
      <c r="BA61" s="276"/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B61" s="173"/>
      <c r="CC61" s="173"/>
      <c r="CD61" s="173"/>
      <c r="CE61" s="173"/>
      <c r="CF61" s="173"/>
      <c r="CG61" s="173"/>
      <c r="CH61" s="173"/>
      <c r="CI61" s="173"/>
      <c r="CJ61" s="173"/>
      <c r="CK61" s="173"/>
      <c r="CL61" s="173"/>
      <c r="CM61" s="173"/>
      <c r="CN61" s="173"/>
      <c r="CO61" s="173"/>
      <c r="CP61" s="173"/>
      <c r="CQ61" s="173"/>
      <c r="CR61" s="151"/>
      <c r="CS61" s="173"/>
      <c r="CT61" s="173"/>
      <c r="CU61" s="173"/>
      <c r="CV61" s="173"/>
      <c r="CW61" s="173"/>
      <c r="CX61" s="173"/>
      <c r="CY61" s="173"/>
      <c r="CZ61" s="173"/>
      <c r="DA61" s="222"/>
      <c r="DB61" s="222"/>
      <c r="DC61" s="222"/>
      <c r="DD61" s="222"/>
      <c r="DE61" s="222"/>
      <c r="DF61" s="222"/>
      <c r="DG61" s="222"/>
      <c r="DH61" s="222"/>
      <c r="DI61" s="222"/>
      <c r="DJ61" s="222"/>
      <c r="DK61" s="222"/>
      <c r="DL61" s="222"/>
      <c r="DM61" s="222"/>
      <c r="DN61" s="174"/>
      <c r="DO61" s="174"/>
      <c r="DP61" s="174"/>
      <c r="DQ61" s="174"/>
      <c r="DR61" s="174"/>
      <c r="DS61" s="174"/>
      <c r="DT61" s="174"/>
      <c r="DU61" s="174"/>
      <c r="DV61" s="174"/>
      <c r="DW61" s="174"/>
      <c r="DX61" s="174"/>
      <c r="DY61" s="174"/>
      <c r="DZ61" s="174"/>
      <c r="EA61" s="174"/>
      <c r="EB61" s="174"/>
      <c r="EC61" s="174"/>
      <c r="ED61" s="174"/>
      <c r="EE61" s="174"/>
      <c r="EF61" s="174"/>
      <c r="EG61" s="174"/>
      <c r="EH61" s="174"/>
      <c r="EI61" s="174"/>
      <c r="EJ61" s="174"/>
      <c r="EK61" s="174"/>
      <c r="EL61" s="174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  <c r="FC61" s="174"/>
      <c r="FD61" s="174"/>
      <c r="FE61" s="174"/>
      <c r="FF61" s="174"/>
      <c r="FG61" s="174"/>
      <c r="FH61" s="174"/>
      <c r="FI61" s="174"/>
      <c r="FJ61" s="174"/>
      <c r="FK61" s="174"/>
      <c r="FL61" s="174"/>
      <c r="FM61" s="174"/>
      <c r="FN61" s="174"/>
      <c r="FO61" s="174"/>
      <c r="FP61" s="174"/>
      <c r="FQ61" s="174"/>
      <c r="FR61" s="174"/>
      <c r="FS61" s="174"/>
      <c r="FT61" s="174"/>
      <c r="FU61" s="174"/>
      <c r="FV61" s="174"/>
      <c r="FW61" s="174"/>
      <c r="FX61" s="174"/>
      <c r="FY61" s="174"/>
      <c r="FZ61" s="174"/>
      <c r="GA61" s="174"/>
      <c r="GB61" s="174"/>
      <c r="GC61" s="174"/>
      <c r="GD61" s="174"/>
      <c r="GE61" s="174"/>
      <c r="GF61" s="174"/>
      <c r="GG61" s="174"/>
      <c r="GH61" s="174"/>
      <c r="GI61" s="174"/>
      <c r="GJ61" s="174"/>
      <c r="GK61" s="174"/>
      <c r="GL61" s="174"/>
      <c r="GM61" s="174"/>
      <c r="GN61" s="174"/>
      <c r="GO61" s="174"/>
      <c r="GP61" s="174"/>
      <c r="GQ61" s="174"/>
      <c r="GR61" s="174"/>
      <c r="GS61" s="174"/>
      <c r="GT61" s="174"/>
      <c r="GU61" s="174"/>
      <c r="GV61" s="174"/>
      <c r="GW61" s="174"/>
      <c r="GX61" s="174"/>
      <c r="GY61" s="174"/>
      <c r="GZ61" s="174"/>
      <c r="HA61" s="174"/>
      <c r="HB61" s="174"/>
      <c r="HC61" s="174"/>
      <c r="HD61" s="174"/>
      <c r="HE61" s="174"/>
      <c r="HF61" s="174"/>
      <c r="HG61" s="174"/>
      <c r="HH61" s="174"/>
      <c r="HI61" s="174"/>
      <c r="HJ61" s="174"/>
      <c r="HK61" s="174"/>
      <c r="HL61" s="174"/>
      <c r="HM61" s="174"/>
      <c r="HN61" s="174"/>
      <c r="HO61" s="174"/>
      <c r="HP61" s="174"/>
      <c r="HQ61" s="174"/>
      <c r="HR61" s="174"/>
      <c r="HS61" s="174"/>
      <c r="HT61" s="174"/>
      <c r="HU61" s="174"/>
      <c r="HV61" s="174"/>
      <c r="HW61" s="174"/>
      <c r="HX61" s="174"/>
      <c r="HY61" s="174"/>
      <c r="HZ61" s="174"/>
      <c r="IA61" s="174"/>
      <c r="IB61" s="174"/>
      <c r="IC61" s="174"/>
      <c r="ID61" s="174"/>
      <c r="IE61" s="174"/>
      <c r="IF61" s="174"/>
      <c r="IG61" s="174"/>
      <c r="IH61" s="174"/>
      <c r="II61" s="174"/>
      <c r="IJ61" s="174"/>
      <c r="IK61" s="174"/>
      <c r="IL61" s="174"/>
      <c r="IM61" s="174"/>
      <c r="IN61" s="174"/>
      <c r="IO61" s="174"/>
      <c r="IP61" s="174"/>
      <c r="IQ61" s="174"/>
      <c r="IR61" s="174"/>
      <c r="IS61" s="174"/>
      <c r="IT61" s="174"/>
      <c r="IU61" s="174"/>
      <c r="IV61" s="174"/>
      <c r="IW61" s="174"/>
      <c r="IX61" s="174"/>
      <c r="IY61" s="174"/>
      <c r="IZ61" s="174"/>
      <c r="JA61" s="174"/>
      <c r="JB61" s="174"/>
      <c r="JC61" s="174"/>
      <c r="JD61" s="174"/>
      <c r="JE61" s="174"/>
      <c r="JF61" s="174"/>
      <c r="JG61" s="174"/>
      <c r="JH61" s="174"/>
      <c r="JI61" s="174"/>
      <c r="JJ61" s="174"/>
      <c r="JK61" s="174"/>
      <c r="JL61" s="174"/>
      <c r="JM61" s="174"/>
      <c r="JN61" s="174"/>
      <c r="JO61" s="174"/>
      <c r="JP61" s="174"/>
      <c r="JQ61" s="174"/>
      <c r="JR61" s="174"/>
      <c r="JS61" s="174"/>
      <c r="JT61" s="174"/>
      <c r="JU61" s="174"/>
      <c r="JV61" s="174"/>
    </row>
    <row r="62" spans="1:282" s="146" customFormat="1">
      <c r="A62" s="232"/>
      <c r="B62" s="173"/>
      <c r="C62" s="173"/>
      <c r="D62" s="233"/>
      <c r="E62" s="228"/>
      <c r="F62" s="234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3"/>
      <c r="AP62" s="173"/>
      <c r="AQ62" s="173"/>
      <c r="AR62" s="173"/>
      <c r="AS62" s="173"/>
      <c r="AT62" s="173"/>
      <c r="AU62" s="173"/>
      <c r="AV62" s="173"/>
      <c r="AW62" s="173"/>
      <c r="AX62" s="173"/>
      <c r="AY62" s="173"/>
      <c r="AZ62" s="173"/>
      <c r="BA62" s="277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173"/>
      <c r="CC62" s="173"/>
      <c r="CD62" s="173"/>
      <c r="CE62" s="173"/>
      <c r="CF62" s="173"/>
      <c r="CG62" s="173"/>
      <c r="CH62" s="173"/>
      <c r="CI62" s="173"/>
      <c r="CJ62" s="173"/>
      <c r="CK62" s="173"/>
      <c r="CL62" s="173"/>
      <c r="CM62" s="173"/>
      <c r="CN62" s="173"/>
      <c r="CO62" s="173"/>
      <c r="CP62" s="173"/>
      <c r="CQ62" s="173"/>
      <c r="CR62" s="151"/>
      <c r="CS62" s="173"/>
      <c r="CT62" s="173"/>
      <c r="CU62" s="173"/>
      <c r="CV62" s="173"/>
      <c r="CW62" s="173"/>
      <c r="CX62" s="173"/>
      <c r="CY62" s="173"/>
      <c r="CZ62" s="173"/>
      <c r="DA62" s="222"/>
      <c r="DB62" s="222"/>
      <c r="DC62" s="222"/>
      <c r="DD62" s="222"/>
      <c r="DE62" s="222"/>
      <c r="DF62" s="222"/>
      <c r="DG62" s="222"/>
      <c r="DH62" s="222"/>
      <c r="DI62" s="222"/>
      <c r="DJ62" s="222"/>
      <c r="DK62" s="222"/>
      <c r="DL62" s="222"/>
      <c r="DM62" s="222"/>
      <c r="DN62" s="174"/>
      <c r="DO62" s="174"/>
      <c r="DP62" s="174"/>
      <c r="DQ62" s="174"/>
      <c r="DR62" s="174"/>
      <c r="DS62" s="174"/>
      <c r="DT62" s="174"/>
      <c r="DU62" s="174"/>
      <c r="DV62" s="174"/>
      <c r="DW62" s="174"/>
      <c r="DX62" s="174"/>
      <c r="DY62" s="174"/>
      <c r="DZ62" s="174"/>
      <c r="EA62" s="174"/>
      <c r="EB62" s="174"/>
      <c r="EC62" s="174"/>
      <c r="ED62" s="174"/>
      <c r="EE62" s="174"/>
      <c r="EF62" s="174"/>
      <c r="EG62" s="174"/>
      <c r="EH62" s="174"/>
      <c r="EI62" s="174"/>
      <c r="EJ62" s="174"/>
      <c r="EK62" s="174"/>
      <c r="EL62" s="174"/>
      <c r="EM62" s="174"/>
      <c r="EN62" s="174"/>
      <c r="EO62" s="174"/>
      <c r="EP62" s="174"/>
      <c r="EQ62" s="174"/>
      <c r="ER62" s="174"/>
      <c r="ES62" s="174"/>
      <c r="ET62" s="174"/>
      <c r="EU62" s="174"/>
      <c r="EV62" s="174"/>
      <c r="EW62" s="174"/>
      <c r="EX62" s="174"/>
      <c r="EY62" s="174"/>
      <c r="EZ62" s="174"/>
      <c r="FA62" s="174"/>
      <c r="FB62" s="174"/>
      <c r="FC62" s="174"/>
      <c r="FD62" s="174"/>
      <c r="FE62" s="174"/>
      <c r="FF62" s="174"/>
      <c r="FG62" s="174"/>
      <c r="FH62" s="174"/>
      <c r="FI62" s="174"/>
      <c r="FJ62" s="174"/>
      <c r="FK62" s="174"/>
      <c r="FL62" s="174"/>
      <c r="FM62" s="174"/>
      <c r="FN62" s="174"/>
      <c r="FO62" s="174"/>
      <c r="FP62" s="174"/>
      <c r="FQ62" s="174"/>
      <c r="FR62" s="174"/>
      <c r="FS62" s="174"/>
      <c r="FT62" s="174"/>
      <c r="FU62" s="174"/>
      <c r="FV62" s="174"/>
      <c r="FW62" s="174"/>
      <c r="FX62" s="174"/>
      <c r="FY62" s="174"/>
      <c r="FZ62" s="174"/>
      <c r="GA62" s="174"/>
      <c r="GB62" s="174"/>
      <c r="GC62" s="174"/>
      <c r="GD62" s="174"/>
      <c r="GE62" s="174"/>
      <c r="GF62" s="174"/>
      <c r="GG62" s="174"/>
      <c r="GH62" s="174"/>
      <c r="GI62" s="174"/>
      <c r="GJ62" s="174"/>
      <c r="GK62" s="174"/>
      <c r="GL62" s="174"/>
      <c r="GM62" s="174"/>
      <c r="GN62" s="174"/>
      <c r="GO62" s="174"/>
      <c r="GP62" s="174"/>
      <c r="GQ62" s="174"/>
      <c r="GR62" s="174"/>
      <c r="GS62" s="174"/>
      <c r="GT62" s="174"/>
      <c r="GU62" s="174"/>
      <c r="GV62" s="174"/>
      <c r="GW62" s="174"/>
      <c r="GX62" s="174"/>
      <c r="GY62" s="174"/>
      <c r="GZ62" s="174"/>
      <c r="HA62" s="174"/>
      <c r="HB62" s="174"/>
      <c r="HC62" s="174"/>
      <c r="HD62" s="174"/>
      <c r="HE62" s="174"/>
      <c r="HF62" s="174"/>
      <c r="HG62" s="174"/>
      <c r="HH62" s="174"/>
      <c r="HI62" s="174"/>
      <c r="HJ62" s="174"/>
      <c r="HK62" s="174"/>
      <c r="HL62" s="174"/>
      <c r="HM62" s="174"/>
      <c r="HN62" s="174"/>
      <c r="HO62" s="174"/>
      <c r="HP62" s="174"/>
      <c r="HQ62" s="174"/>
      <c r="HR62" s="174"/>
      <c r="HS62" s="174"/>
      <c r="HT62" s="174"/>
      <c r="HU62" s="174"/>
      <c r="HV62" s="174"/>
      <c r="HW62" s="174"/>
      <c r="HX62" s="174"/>
      <c r="HY62" s="174"/>
      <c r="HZ62" s="174"/>
      <c r="IA62" s="174"/>
      <c r="IB62" s="174"/>
      <c r="IC62" s="174"/>
      <c r="ID62" s="174"/>
      <c r="IE62" s="174"/>
      <c r="IF62" s="174"/>
      <c r="IG62" s="174"/>
      <c r="IH62" s="174"/>
      <c r="II62" s="174"/>
      <c r="IJ62" s="174"/>
      <c r="IK62" s="174"/>
      <c r="IL62" s="174"/>
      <c r="IM62" s="174"/>
      <c r="IN62" s="174"/>
      <c r="IO62" s="174"/>
      <c r="IP62" s="174"/>
      <c r="IQ62" s="174"/>
      <c r="IR62" s="174"/>
      <c r="IS62" s="174"/>
      <c r="IT62" s="174"/>
      <c r="IU62" s="174"/>
      <c r="IV62" s="174"/>
      <c r="IW62" s="174"/>
      <c r="IX62" s="174"/>
      <c r="IY62" s="174"/>
      <c r="IZ62" s="174"/>
      <c r="JA62" s="174"/>
      <c r="JB62" s="174"/>
      <c r="JC62" s="174"/>
      <c r="JD62" s="174"/>
      <c r="JE62" s="174"/>
      <c r="JF62" s="174"/>
      <c r="JG62" s="174"/>
      <c r="JH62" s="174"/>
      <c r="JI62" s="174"/>
      <c r="JJ62" s="174"/>
      <c r="JK62" s="174"/>
      <c r="JL62" s="174"/>
      <c r="JM62" s="174"/>
      <c r="JN62" s="174"/>
      <c r="JO62" s="174"/>
      <c r="JP62" s="174"/>
      <c r="JQ62" s="174"/>
      <c r="JR62" s="174"/>
      <c r="JS62" s="174"/>
      <c r="JT62" s="174"/>
      <c r="JU62" s="174"/>
      <c r="JV62" s="174"/>
    </row>
    <row r="63" spans="1:282" s="146" customFormat="1">
      <c r="A63" s="232"/>
      <c r="B63" s="173"/>
      <c r="C63" s="173"/>
      <c r="D63" s="233"/>
      <c r="E63" s="228"/>
      <c r="F63" s="234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228"/>
      <c r="AU63" s="228"/>
      <c r="AV63" s="173"/>
      <c r="AW63" s="173"/>
      <c r="AX63" s="173"/>
      <c r="AY63" s="173"/>
      <c r="AZ63" s="173"/>
      <c r="BA63" s="277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173"/>
      <c r="CC63" s="173"/>
      <c r="CD63" s="173"/>
      <c r="CE63" s="173"/>
      <c r="CF63" s="173"/>
      <c r="CG63" s="173"/>
      <c r="CH63" s="173"/>
      <c r="CI63" s="173"/>
      <c r="CJ63" s="173"/>
      <c r="CK63" s="173"/>
      <c r="CL63" s="173"/>
      <c r="CM63" s="173"/>
      <c r="CN63" s="173"/>
      <c r="CO63" s="173"/>
      <c r="CP63" s="173"/>
      <c r="CQ63" s="173"/>
      <c r="CR63" s="151"/>
      <c r="CS63" s="173"/>
      <c r="CT63" s="173"/>
      <c r="CU63" s="173"/>
      <c r="CV63" s="173"/>
      <c r="CW63" s="173"/>
      <c r="CX63" s="173"/>
      <c r="CY63" s="173"/>
      <c r="CZ63" s="173"/>
      <c r="DA63" s="222"/>
      <c r="DB63" s="222"/>
      <c r="DC63" s="222"/>
      <c r="DD63" s="222"/>
      <c r="DE63" s="222"/>
      <c r="DF63" s="222"/>
      <c r="DG63" s="222"/>
      <c r="DH63" s="222"/>
      <c r="DI63" s="222"/>
      <c r="DJ63" s="222"/>
      <c r="DK63" s="222"/>
      <c r="DL63" s="222"/>
      <c r="DM63" s="222"/>
      <c r="DN63" s="174"/>
      <c r="DO63" s="174"/>
      <c r="DP63" s="174"/>
      <c r="DQ63" s="174"/>
      <c r="DR63" s="174"/>
      <c r="DS63" s="174"/>
      <c r="DT63" s="174"/>
      <c r="DU63" s="174"/>
      <c r="DV63" s="174"/>
      <c r="DW63" s="174"/>
      <c r="DX63" s="174"/>
      <c r="DY63" s="174"/>
      <c r="DZ63" s="174"/>
      <c r="EA63" s="174"/>
      <c r="EB63" s="174"/>
      <c r="EC63" s="174"/>
      <c r="ED63" s="174"/>
      <c r="EE63" s="174"/>
      <c r="EF63" s="174"/>
      <c r="EG63" s="174"/>
      <c r="EH63" s="174"/>
      <c r="EI63" s="174"/>
      <c r="EJ63" s="174"/>
      <c r="EK63" s="174"/>
      <c r="EL63" s="174"/>
      <c r="EM63" s="174"/>
      <c r="EN63" s="174"/>
      <c r="EO63" s="174"/>
      <c r="EP63" s="174"/>
      <c r="EQ63" s="174"/>
      <c r="ER63" s="174"/>
      <c r="ES63" s="174"/>
      <c r="ET63" s="174"/>
      <c r="EU63" s="174"/>
      <c r="EV63" s="174"/>
      <c r="EW63" s="174"/>
      <c r="EX63" s="174"/>
      <c r="EY63" s="174"/>
      <c r="EZ63" s="174"/>
      <c r="FA63" s="174"/>
      <c r="FB63" s="174"/>
      <c r="FC63" s="174"/>
      <c r="FD63" s="174"/>
      <c r="FE63" s="174"/>
      <c r="FF63" s="174"/>
      <c r="FG63" s="174"/>
      <c r="FH63" s="174"/>
      <c r="FI63" s="174"/>
      <c r="FJ63" s="174"/>
      <c r="FK63" s="174"/>
      <c r="FL63" s="174"/>
      <c r="FM63" s="174"/>
      <c r="FN63" s="174"/>
      <c r="FO63" s="174"/>
      <c r="FP63" s="174"/>
      <c r="FQ63" s="174"/>
      <c r="FR63" s="174"/>
      <c r="FS63" s="174"/>
      <c r="FT63" s="174"/>
      <c r="FU63" s="174"/>
      <c r="FV63" s="174"/>
      <c r="FW63" s="174"/>
      <c r="FX63" s="174"/>
      <c r="FY63" s="174"/>
      <c r="FZ63" s="174"/>
      <c r="GA63" s="174"/>
      <c r="GB63" s="174"/>
      <c r="GC63" s="174"/>
      <c r="GD63" s="174"/>
      <c r="GE63" s="174"/>
      <c r="GF63" s="174"/>
      <c r="GG63" s="174"/>
      <c r="GH63" s="174"/>
      <c r="GI63" s="174"/>
      <c r="GJ63" s="174"/>
      <c r="GK63" s="174"/>
      <c r="GL63" s="174"/>
      <c r="GM63" s="174"/>
      <c r="GN63" s="174"/>
      <c r="GO63" s="174"/>
      <c r="GP63" s="174"/>
      <c r="GQ63" s="174"/>
      <c r="GR63" s="174"/>
      <c r="GS63" s="174"/>
      <c r="GT63" s="174"/>
      <c r="GU63" s="174"/>
      <c r="GV63" s="174"/>
      <c r="GW63" s="174"/>
      <c r="GX63" s="174"/>
      <c r="GY63" s="174"/>
      <c r="GZ63" s="174"/>
      <c r="HA63" s="174"/>
      <c r="HB63" s="174"/>
      <c r="HC63" s="174"/>
      <c r="HD63" s="174"/>
      <c r="HE63" s="174"/>
      <c r="HF63" s="174"/>
      <c r="HG63" s="174"/>
      <c r="HH63" s="174"/>
      <c r="HI63" s="174"/>
      <c r="HJ63" s="174"/>
      <c r="HK63" s="174"/>
      <c r="HL63" s="174"/>
      <c r="HM63" s="174"/>
      <c r="HN63" s="174"/>
      <c r="HO63" s="174"/>
      <c r="HP63" s="174"/>
      <c r="HQ63" s="174"/>
      <c r="HR63" s="174"/>
      <c r="HS63" s="174"/>
      <c r="HT63" s="174"/>
      <c r="HU63" s="174"/>
      <c r="HV63" s="174"/>
      <c r="HW63" s="174"/>
      <c r="HX63" s="174"/>
      <c r="HY63" s="174"/>
      <c r="HZ63" s="174"/>
      <c r="IA63" s="174"/>
      <c r="IB63" s="174"/>
      <c r="IC63" s="174"/>
      <c r="ID63" s="174"/>
      <c r="IE63" s="174"/>
      <c r="IF63" s="174"/>
      <c r="IG63" s="174"/>
      <c r="IH63" s="174"/>
      <c r="II63" s="174"/>
      <c r="IJ63" s="174"/>
      <c r="IK63" s="174"/>
      <c r="IL63" s="174"/>
      <c r="IM63" s="174"/>
      <c r="IN63" s="174"/>
      <c r="IO63" s="174"/>
      <c r="IP63" s="174"/>
      <c r="IQ63" s="174"/>
      <c r="IR63" s="174"/>
      <c r="IS63" s="174"/>
      <c r="IT63" s="174"/>
      <c r="IU63" s="174"/>
      <c r="IV63" s="174"/>
      <c r="IW63" s="174"/>
      <c r="IX63" s="174"/>
      <c r="IY63" s="174"/>
      <c r="IZ63" s="174"/>
      <c r="JA63" s="174"/>
      <c r="JB63" s="174"/>
      <c r="JC63" s="174"/>
      <c r="JD63" s="174"/>
      <c r="JE63" s="174"/>
      <c r="JF63" s="174"/>
      <c r="JG63" s="174"/>
      <c r="JH63" s="174"/>
      <c r="JI63" s="174"/>
      <c r="JJ63" s="174"/>
      <c r="JK63" s="174"/>
      <c r="JL63" s="174"/>
      <c r="JM63" s="174"/>
      <c r="JN63" s="174"/>
      <c r="JO63" s="174"/>
      <c r="JP63" s="174"/>
      <c r="JQ63" s="174"/>
      <c r="JR63" s="174"/>
      <c r="JS63" s="174"/>
      <c r="JT63" s="174"/>
      <c r="JU63" s="174"/>
      <c r="JV63" s="174"/>
    </row>
    <row r="64" spans="1:282" s="146" customFormat="1">
      <c r="A64" s="232"/>
      <c r="B64" s="173"/>
      <c r="C64" s="173"/>
      <c r="D64" s="233"/>
      <c r="E64" s="228"/>
      <c r="F64" s="234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277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73"/>
      <c r="CC64" s="173"/>
      <c r="CD64" s="173"/>
      <c r="CE64" s="173"/>
      <c r="CF64" s="173"/>
      <c r="CG64" s="173"/>
      <c r="CH64" s="173"/>
      <c r="CI64" s="173"/>
      <c r="CJ64" s="173"/>
      <c r="CK64" s="173"/>
      <c r="CL64" s="173"/>
      <c r="CM64" s="173"/>
      <c r="CN64" s="173"/>
      <c r="CO64" s="173"/>
      <c r="CP64" s="173"/>
      <c r="CQ64" s="173"/>
      <c r="CR64" s="151"/>
      <c r="CS64" s="173"/>
      <c r="CT64" s="173"/>
      <c r="CU64" s="173"/>
      <c r="CV64" s="173"/>
      <c r="CW64" s="173"/>
      <c r="CX64" s="173"/>
      <c r="CY64" s="173"/>
      <c r="CZ64" s="173"/>
      <c r="DA64" s="222"/>
      <c r="DB64" s="222"/>
      <c r="DC64" s="222"/>
      <c r="DD64" s="222"/>
      <c r="DE64" s="222"/>
      <c r="DF64" s="222"/>
      <c r="DG64" s="222"/>
      <c r="DH64" s="222"/>
      <c r="DI64" s="222"/>
      <c r="DJ64" s="222"/>
      <c r="DK64" s="222"/>
      <c r="DL64" s="222"/>
      <c r="DM64" s="222"/>
      <c r="DN64" s="174"/>
      <c r="DO64" s="174"/>
      <c r="DP64" s="174"/>
      <c r="DQ64" s="174"/>
      <c r="DR64" s="174"/>
      <c r="DS64" s="174"/>
      <c r="DT64" s="174"/>
      <c r="DU64" s="174"/>
      <c r="DV64" s="174"/>
      <c r="DW64" s="174"/>
      <c r="DX64" s="174"/>
      <c r="DY64" s="174"/>
      <c r="DZ64" s="174"/>
      <c r="EA64" s="174"/>
      <c r="EB64" s="174"/>
      <c r="EC64" s="174"/>
      <c r="ED64" s="174"/>
      <c r="EE64" s="174"/>
      <c r="EF64" s="174"/>
      <c r="EG64" s="174"/>
      <c r="EH64" s="174"/>
      <c r="EI64" s="174"/>
      <c r="EJ64" s="174"/>
      <c r="EK64" s="174"/>
      <c r="EL64" s="174"/>
      <c r="EM64" s="174"/>
      <c r="EN64" s="174"/>
      <c r="EO64" s="174"/>
      <c r="EP64" s="174"/>
      <c r="EQ64" s="174"/>
      <c r="ER64" s="174"/>
      <c r="ES64" s="174"/>
      <c r="ET64" s="174"/>
      <c r="EU64" s="174"/>
      <c r="EV64" s="174"/>
      <c r="EW64" s="174"/>
      <c r="EX64" s="174"/>
      <c r="EY64" s="174"/>
      <c r="EZ64" s="174"/>
      <c r="FA64" s="174"/>
      <c r="FB64" s="174"/>
      <c r="FC64" s="174"/>
      <c r="FD64" s="174"/>
      <c r="FE64" s="174"/>
      <c r="FF64" s="174"/>
      <c r="FG64" s="174"/>
      <c r="FH64" s="174"/>
      <c r="FI64" s="174"/>
      <c r="FJ64" s="174"/>
      <c r="FK64" s="174"/>
      <c r="FL64" s="174"/>
      <c r="FM64" s="174"/>
      <c r="FN64" s="174"/>
      <c r="FO64" s="174"/>
      <c r="FP64" s="174"/>
      <c r="FQ64" s="174"/>
      <c r="FR64" s="174"/>
      <c r="FS64" s="174"/>
      <c r="FT64" s="174"/>
      <c r="FU64" s="174"/>
      <c r="FV64" s="174"/>
      <c r="FW64" s="174"/>
      <c r="FX64" s="174"/>
      <c r="FY64" s="174"/>
      <c r="FZ64" s="174"/>
      <c r="GA64" s="174"/>
      <c r="GB64" s="174"/>
      <c r="GC64" s="174"/>
      <c r="GD64" s="174"/>
      <c r="GE64" s="174"/>
      <c r="GF64" s="174"/>
      <c r="GG64" s="174"/>
      <c r="GH64" s="174"/>
      <c r="GI64" s="174"/>
      <c r="GJ64" s="174"/>
      <c r="GK64" s="174"/>
      <c r="GL64" s="174"/>
      <c r="GM64" s="174"/>
      <c r="GN64" s="174"/>
      <c r="GO64" s="174"/>
      <c r="GP64" s="174"/>
      <c r="GQ64" s="174"/>
      <c r="GR64" s="174"/>
      <c r="GS64" s="174"/>
      <c r="GT64" s="174"/>
      <c r="GU64" s="174"/>
      <c r="GV64" s="174"/>
      <c r="GW64" s="174"/>
      <c r="GX64" s="174"/>
      <c r="GY64" s="174"/>
      <c r="GZ64" s="174"/>
      <c r="HA64" s="174"/>
      <c r="HB64" s="174"/>
      <c r="HC64" s="174"/>
      <c r="HD64" s="174"/>
      <c r="HE64" s="174"/>
      <c r="HF64" s="174"/>
      <c r="HG64" s="174"/>
      <c r="HH64" s="174"/>
      <c r="HI64" s="174"/>
      <c r="HJ64" s="174"/>
      <c r="HK64" s="174"/>
      <c r="HL64" s="174"/>
      <c r="HM64" s="174"/>
      <c r="HN64" s="174"/>
      <c r="HO64" s="174"/>
      <c r="HP64" s="174"/>
      <c r="HQ64" s="174"/>
      <c r="HR64" s="174"/>
      <c r="HS64" s="174"/>
      <c r="HT64" s="174"/>
      <c r="HU64" s="174"/>
      <c r="HV64" s="174"/>
      <c r="HW64" s="174"/>
      <c r="HX64" s="174"/>
      <c r="HY64" s="174"/>
      <c r="HZ64" s="174"/>
      <c r="IA64" s="174"/>
      <c r="IB64" s="174"/>
      <c r="IC64" s="174"/>
      <c r="ID64" s="174"/>
      <c r="IE64" s="174"/>
      <c r="IF64" s="174"/>
      <c r="IG64" s="174"/>
      <c r="IH64" s="174"/>
      <c r="II64" s="174"/>
      <c r="IJ64" s="174"/>
      <c r="IK64" s="174"/>
      <c r="IL64" s="174"/>
      <c r="IM64" s="174"/>
      <c r="IN64" s="174"/>
      <c r="IO64" s="174"/>
      <c r="IP64" s="174"/>
      <c r="IQ64" s="174"/>
      <c r="IR64" s="174"/>
      <c r="IS64" s="174"/>
      <c r="IT64" s="174"/>
      <c r="IU64" s="174"/>
      <c r="IV64" s="174"/>
      <c r="IW64" s="174"/>
      <c r="IX64" s="174"/>
      <c r="IY64" s="174"/>
      <c r="IZ64" s="174"/>
      <c r="JA64" s="174"/>
      <c r="JB64" s="174"/>
      <c r="JC64" s="174"/>
      <c r="JD64" s="174"/>
      <c r="JE64" s="174"/>
      <c r="JF64" s="174"/>
      <c r="JG64" s="174"/>
      <c r="JH64" s="174"/>
      <c r="JI64" s="174"/>
      <c r="JJ64" s="174"/>
      <c r="JK64" s="174"/>
      <c r="JL64" s="174"/>
      <c r="JM64" s="174"/>
      <c r="JN64" s="174"/>
      <c r="JO64" s="174"/>
      <c r="JP64" s="174"/>
      <c r="JQ64" s="174"/>
      <c r="JR64" s="174"/>
      <c r="JS64" s="174"/>
      <c r="JT64" s="174"/>
      <c r="JU64" s="174"/>
      <c r="JV64" s="174"/>
    </row>
    <row r="65" spans="1:282" s="146" customFormat="1">
      <c r="A65" s="232"/>
      <c r="B65" s="173"/>
      <c r="C65" s="173"/>
      <c r="D65" s="233"/>
      <c r="E65" s="228"/>
      <c r="F65" s="234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3"/>
      <c r="AT65" s="173"/>
      <c r="AU65" s="173"/>
      <c r="AV65" s="173"/>
      <c r="AW65" s="173"/>
      <c r="AX65" s="173"/>
      <c r="AY65" s="173"/>
      <c r="AZ65" s="173"/>
      <c r="BA65" s="277"/>
      <c r="BB65" s="173"/>
      <c r="BC65" s="173"/>
      <c r="BD65" s="173"/>
      <c r="BE65" s="173"/>
      <c r="BF65" s="173"/>
      <c r="BG65" s="173"/>
      <c r="BH65" s="173"/>
      <c r="BI65" s="173"/>
      <c r="BJ65" s="173"/>
      <c r="BK65" s="173"/>
      <c r="BL65" s="173"/>
      <c r="BM65" s="173"/>
      <c r="BN65" s="173"/>
      <c r="BO65" s="173"/>
      <c r="BP65" s="173"/>
      <c r="BQ65" s="173"/>
      <c r="BR65" s="173"/>
      <c r="BS65" s="173"/>
      <c r="BT65" s="173"/>
      <c r="BU65" s="173"/>
      <c r="BV65" s="173"/>
      <c r="BW65" s="173"/>
      <c r="BX65" s="173"/>
      <c r="BY65" s="173"/>
      <c r="BZ65" s="173"/>
      <c r="CA65" s="173"/>
      <c r="CB65" s="173"/>
      <c r="CC65" s="173"/>
      <c r="CD65" s="173"/>
      <c r="CE65" s="173"/>
      <c r="CF65" s="173"/>
      <c r="CG65" s="173"/>
      <c r="CH65" s="173"/>
      <c r="CI65" s="173"/>
      <c r="CJ65" s="173"/>
      <c r="CK65" s="173"/>
      <c r="CL65" s="173"/>
      <c r="CM65" s="173"/>
      <c r="CN65" s="173"/>
      <c r="CO65" s="173"/>
      <c r="CP65" s="173"/>
      <c r="CQ65" s="173"/>
      <c r="CR65" s="151"/>
      <c r="CS65" s="173"/>
      <c r="CT65" s="173"/>
      <c r="CU65" s="173"/>
      <c r="CV65" s="173"/>
      <c r="CW65" s="173"/>
      <c r="CX65" s="173"/>
      <c r="CY65" s="173"/>
      <c r="CZ65" s="173"/>
      <c r="DA65" s="222"/>
      <c r="DB65" s="222"/>
      <c r="DC65" s="222"/>
      <c r="DD65" s="222"/>
      <c r="DE65" s="222"/>
      <c r="DF65" s="222"/>
      <c r="DG65" s="222"/>
      <c r="DH65" s="222"/>
      <c r="DI65" s="222"/>
      <c r="DJ65" s="222"/>
      <c r="DK65" s="222"/>
      <c r="DL65" s="222"/>
      <c r="DM65" s="222"/>
      <c r="DN65" s="174"/>
      <c r="DO65" s="174"/>
      <c r="DP65" s="174"/>
      <c r="DQ65" s="174"/>
      <c r="DR65" s="174"/>
      <c r="DS65" s="174"/>
      <c r="DT65" s="174"/>
      <c r="DU65" s="174"/>
      <c r="DV65" s="174"/>
      <c r="DW65" s="174"/>
      <c r="DX65" s="174"/>
      <c r="DY65" s="174"/>
      <c r="DZ65" s="174"/>
      <c r="EA65" s="174"/>
      <c r="EB65" s="174"/>
      <c r="EC65" s="174"/>
      <c r="ED65" s="174"/>
      <c r="EE65" s="174"/>
      <c r="EF65" s="174"/>
      <c r="EG65" s="174"/>
      <c r="EH65" s="174"/>
      <c r="EI65" s="174"/>
      <c r="EJ65" s="174"/>
      <c r="EK65" s="174"/>
      <c r="EL65" s="174"/>
      <c r="EM65" s="174"/>
      <c r="EN65" s="174"/>
      <c r="EO65" s="174"/>
      <c r="EP65" s="174"/>
      <c r="EQ65" s="174"/>
      <c r="ER65" s="174"/>
      <c r="ES65" s="174"/>
      <c r="ET65" s="174"/>
      <c r="EU65" s="174"/>
      <c r="EV65" s="174"/>
      <c r="EW65" s="174"/>
      <c r="EX65" s="174"/>
      <c r="EY65" s="174"/>
      <c r="EZ65" s="174"/>
      <c r="FA65" s="174"/>
      <c r="FB65" s="174"/>
      <c r="FC65" s="174"/>
      <c r="FD65" s="174"/>
      <c r="FE65" s="174"/>
      <c r="FF65" s="174"/>
      <c r="FG65" s="174"/>
      <c r="FH65" s="174"/>
      <c r="FI65" s="174"/>
      <c r="FJ65" s="174"/>
      <c r="FK65" s="174"/>
      <c r="FL65" s="174"/>
      <c r="FM65" s="174"/>
      <c r="FN65" s="174"/>
      <c r="FO65" s="174"/>
      <c r="FP65" s="174"/>
      <c r="FQ65" s="174"/>
      <c r="FR65" s="174"/>
      <c r="FS65" s="174"/>
      <c r="FT65" s="174"/>
      <c r="FU65" s="174"/>
      <c r="FV65" s="174"/>
      <c r="FW65" s="174"/>
      <c r="FX65" s="174"/>
      <c r="FY65" s="174"/>
      <c r="FZ65" s="174"/>
      <c r="GA65" s="174"/>
      <c r="GB65" s="174"/>
      <c r="GC65" s="174"/>
      <c r="GD65" s="174"/>
      <c r="GE65" s="174"/>
      <c r="GF65" s="174"/>
      <c r="GG65" s="174"/>
      <c r="GH65" s="174"/>
      <c r="GI65" s="174"/>
      <c r="GJ65" s="174"/>
      <c r="GK65" s="174"/>
      <c r="GL65" s="174"/>
      <c r="GM65" s="174"/>
      <c r="GN65" s="174"/>
      <c r="GO65" s="174"/>
      <c r="GP65" s="174"/>
      <c r="GQ65" s="174"/>
      <c r="GR65" s="174"/>
      <c r="GS65" s="174"/>
      <c r="GT65" s="174"/>
      <c r="GU65" s="174"/>
      <c r="GV65" s="174"/>
      <c r="GW65" s="174"/>
      <c r="GX65" s="174"/>
      <c r="GY65" s="174"/>
      <c r="GZ65" s="174"/>
      <c r="HA65" s="174"/>
      <c r="HB65" s="174"/>
      <c r="HC65" s="174"/>
      <c r="HD65" s="174"/>
      <c r="HE65" s="174"/>
      <c r="HF65" s="174"/>
      <c r="HG65" s="174"/>
      <c r="HH65" s="174"/>
      <c r="HI65" s="174"/>
      <c r="HJ65" s="174"/>
      <c r="HK65" s="174"/>
      <c r="HL65" s="174"/>
      <c r="HM65" s="174"/>
      <c r="HN65" s="174"/>
      <c r="HO65" s="174"/>
      <c r="HP65" s="174"/>
      <c r="HQ65" s="174"/>
      <c r="HR65" s="174"/>
      <c r="HS65" s="174"/>
      <c r="HT65" s="174"/>
      <c r="HU65" s="174"/>
      <c r="HV65" s="174"/>
      <c r="HW65" s="174"/>
      <c r="HX65" s="174"/>
      <c r="HY65" s="174"/>
      <c r="HZ65" s="174"/>
      <c r="IA65" s="174"/>
      <c r="IB65" s="174"/>
      <c r="IC65" s="174"/>
      <c r="ID65" s="174"/>
      <c r="IE65" s="174"/>
      <c r="IF65" s="174"/>
      <c r="IG65" s="174"/>
      <c r="IH65" s="174"/>
      <c r="II65" s="174"/>
      <c r="IJ65" s="174"/>
      <c r="IK65" s="174"/>
      <c r="IL65" s="174"/>
      <c r="IM65" s="174"/>
      <c r="IN65" s="174"/>
      <c r="IO65" s="174"/>
      <c r="IP65" s="174"/>
      <c r="IQ65" s="174"/>
      <c r="IR65" s="174"/>
      <c r="IS65" s="174"/>
      <c r="IT65" s="174"/>
      <c r="IU65" s="174"/>
      <c r="IV65" s="174"/>
      <c r="IW65" s="174"/>
      <c r="IX65" s="174"/>
      <c r="IY65" s="174"/>
      <c r="IZ65" s="174"/>
      <c r="JA65" s="174"/>
      <c r="JB65" s="174"/>
      <c r="JC65" s="174"/>
      <c r="JD65" s="174"/>
      <c r="JE65" s="174"/>
      <c r="JF65" s="174"/>
      <c r="JG65" s="174"/>
      <c r="JH65" s="174"/>
      <c r="JI65" s="174"/>
      <c r="JJ65" s="174"/>
      <c r="JK65" s="174"/>
      <c r="JL65" s="174"/>
      <c r="JM65" s="174"/>
      <c r="JN65" s="174"/>
      <c r="JO65" s="174"/>
      <c r="JP65" s="174"/>
      <c r="JQ65" s="174"/>
      <c r="JR65" s="174"/>
      <c r="JS65" s="174"/>
      <c r="JT65" s="174"/>
      <c r="JU65" s="174"/>
      <c r="JV65" s="174"/>
    </row>
    <row r="66" spans="1:282" s="146" customFormat="1">
      <c r="A66" s="232"/>
      <c r="B66" s="173"/>
      <c r="C66" s="173"/>
      <c r="D66" s="233"/>
      <c r="E66" s="228"/>
      <c r="F66" s="234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  <c r="AY66" s="173"/>
      <c r="AZ66" s="173"/>
      <c r="BA66" s="277"/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173"/>
      <c r="BV66" s="173"/>
      <c r="BW66" s="173"/>
      <c r="BX66" s="173"/>
      <c r="BY66" s="173"/>
      <c r="BZ66" s="173"/>
      <c r="CA66" s="173"/>
      <c r="CB66" s="173"/>
      <c r="CC66" s="173"/>
      <c r="CD66" s="173"/>
      <c r="CE66" s="173"/>
      <c r="CF66" s="173"/>
      <c r="CG66" s="173"/>
      <c r="CH66" s="173"/>
      <c r="CI66" s="173"/>
      <c r="CJ66" s="173"/>
      <c r="CK66" s="173"/>
      <c r="CL66" s="173"/>
      <c r="CM66" s="173"/>
      <c r="CN66" s="173"/>
      <c r="CO66" s="173"/>
      <c r="CP66" s="173"/>
      <c r="CQ66" s="173"/>
      <c r="CR66" s="151"/>
      <c r="CS66" s="173"/>
      <c r="CT66" s="173"/>
      <c r="CU66" s="173"/>
      <c r="CV66" s="173"/>
      <c r="CW66" s="173"/>
      <c r="CX66" s="173"/>
      <c r="CY66" s="173"/>
      <c r="CZ66" s="173"/>
      <c r="DA66" s="222"/>
      <c r="DB66" s="222"/>
      <c r="DC66" s="222"/>
      <c r="DD66" s="222"/>
      <c r="DE66" s="222"/>
      <c r="DF66" s="222"/>
      <c r="DG66" s="222"/>
      <c r="DH66" s="222"/>
      <c r="DI66" s="222"/>
      <c r="DJ66" s="222"/>
      <c r="DK66" s="222"/>
      <c r="DL66" s="222"/>
      <c r="DM66" s="222"/>
      <c r="DN66" s="174"/>
      <c r="DO66" s="174"/>
      <c r="DP66" s="174"/>
      <c r="DQ66" s="174"/>
      <c r="DR66" s="174"/>
      <c r="DS66" s="174"/>
      <c r="DT66" s="174"/>
      <c r="DU66" s="174"/>
      <c r="DV66" s="174"/>
      <c r="DW66" s="174"/>
      <c r="DX66" s="174"/>
      <c r="DY66" s="174"/>
      <c r="DZ66" s="174"/>
      <c r="EA66" s="174"/>
      <c r="EB66" s="174"/>
      <c r="EC66" s="174"/>
      <c r="ED66" s="174"/>
      <c r="EE66" s="174"/>
      <c r="EF66" s="174"/>
      <c r="EG66" s="174"/>
      <c r="EH66" s="174"/>
      <c r="EI66" s="174"/>
      <c r="EJ66" s="174"/>
      <c r="EK66" s="174"/>
      <c r="EL66" s="174"/>
      <c r="EM66" s="174"/>
      <c r="EN66" s="174"/>
      <c r="EO66" s="174"/>
      <c r="EP66" s="174"/>
      <c r="EQ66" s="174"/>
      <c r="ER66" s="174"/>
      <c r="ES66" s="174"/>
      <c r="ET66" s="174"/>
      <c r="EU66" s="174"/>
      <c r="EV66" s="174"/>
      <c r="EW66" s="174"/>
      <c r="EX66" s="174"/>
      <c r="EY66" s="174"/>
      <c r="EZ66" s="174"/>
      <c r="FA66" s="174"/>
      <c r="FB66" s="174"/>
      <c r="FC66" s="174"/>
      <c r="FD66" s="174"/>
      <c r="FE66" s="174"/>
      <c r="FF66" s="174"/>
      <c r="FG66" s="174"/>
      <c r="FH66" s="174"/>
      <c r="FI66" s="174"/>
      <c r="FJ66" s="174"/>
      <c r="FK66" s="174"/>
      <c r="FL66" s="174"/>
      <c r="FM66" s="174"/>
      <c r="FN66" s="174"/>
      <c r="FO66" s="174"/>
      <c r="FP66" s="174"/>
      <c r="FQ66" s="174"/>
      <c r="FR66" s="174"/>
      <c r="FS66" s="174"/>
      <c r="FT66" s="174"/>
      <c r="FU66" s="174"/>
      <c r="FV66" s="174"/>
      <c r="FW66" s="174"/>
      <c r="FX66" s="174"/>
      <c r="FY66" s="174"/>
      <c r="FZ66" s="174"/>
      <c r="GA66" s="174"/>
      <c r="GB66" s="174"/>
      <c r="GC66" s="174"/>
      <c r="GD66" s="174"/>
      <c r="GE66" s="174"/>
      <c r="GF66" s="174"/>
      <c r="GG66" s="174"/>
      <c r="GH66" s="174"/>
      <c r="GI66" s="174"/>
      <c r="GJ66" s="174"/>
      <c r="GK66" s="174"/>
      <c r="GL66" s="174"/>
      <c r="GM66" s="174"/>
      <c r="GN66" s="174"/>
      <c r="GO66" s="174"/>
      <c r="GP66" s="174"/>
      <c r="GQ66" s="174"/>
      <c r="GR66" s="174"/>
      <c r="GS66" s="174"/>
      <c r="GT66" s="174"/>
      <c r="GU66" s="174"/>
      <c r="GV66" s="174"/>
      <c r="GW66" s="174"/>
      <c r="GX66" s="174"/>
      <c r="GY66" s="174"/>
      <c r="GZ66" s="174"/>
      <c r="HA66" s="174"/>
      <c r="HB66" s="174"/>
      <c r="HC66" s="174"/>
      <c r="HD66" s="174"/>
      <c r="HE66" s="174"/>
      <c r="HF66" s="174"/>
      <c r="HG66" s="174"/>
      <c r="HH66" s="174"/>
      <c r="HI66" s="174"/>
      <c r="HJ66" s="174"/>
      <c r="HK66" s="174"/>
      <c r="HL66" s="174"/>
      <c r="HM66" s="174"/>
      <c r="HN66" s="174"/>
      <c r="HO66" s="174"/>
      <c r="HP66" s="174"/>
      <c r="HQ66" s="174"/>
      <c r="HR66" s="174"/>
      <c r="HS66" s="174"/>
      <c r="HT66" s="174"/>
      <c r="HU66" s="174"/>
      <c r="HV66" s="174"/>
      <c r="HW66" s="174"/>
      <c r="HX66" s="174"/>
      <c r="HY66" s="174"/>
      <c r="HZ66" s="174"/>
      <c r="IA66" s="174"/>
      <c r="IB66" s="174"/>
      <c r="IC66" s="174"/>
      <c r="ID66" s="174"/>
      <c r="IE66" s="174"/>
      <c r="IF66" s="174"/>
      <c r="IG66" s="174"/>
      <c r="IH66" s="174"/>
      <c r="II66" s="174"/>
      <c r="IJ66" s="174"/>
      <c r="IK66" s="174"/>
      <c r="IL66" s="174"/>
      <c r="IM66" s="174"/>
      <c r="IN66" s="174"/>
      <c r="IO66" s="174"/>
      <c r="IP66" s="174"/>
      <c r="IQ66" s="174"/>
      <c r="IR66" s="174"/>
      <c r="IS66" s="174"/>
      <c r="IT66" s="174"/>
      <c r="IU66" s="174"/>
      <c r="IV66" s="174"/>
      <c r="IW66" s="174"/>
      <c r="IX66" s="174"/>
      <c r="IY66" s="174"/>
      <c r="IZ66" s="174"/>
      <c r="JA66" s="174"/>
      <c r="JB66" s="174"/>
      <c r="JC66" s="174"/>
      <c r="JD66" s="174"/>
      <c r="JE66" s="174"/>
      <c r="JF66" s="174"/>
      <c r="JG66" s="174"/>
      <c r="JH66" s="174"/>
      <c r="JI66" s="174"/>
      <c r="JJ66" s="174"/>
      <c r="JK66" s="174"/>
      <c r="JL66" s="174"/>
      <c r="JM66" s="174"/>
      <c r="JN66" s="174"/>
      <c r="JO66" s="174"/>
      <c r="JP66" s="174"/>
      <c r="JQ66" s="174"/>
      <c r="JR66" s="174"/>
      <c r="JS66" s="174"/>
      <c r="JT66" s="174"/>
      <c r="JU66" s="174"/>
      <c r="JV66" s="174"/>
    </row>
    <row r="67" spans="1:282" s="146" customFormat="1">
      <c r="A67" s="232"/>
      <c r="B67" s="173"/>
      <c r="C67" s="173"/>
      <c r="D67" s="233"/>
      <c r="E67" s="228"/>
      <c r="F67" s="234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277"/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173"/>
      <c r="BV67" s="173"/>
      <c r="BW67" s="173"/>
      <c r="BX67" s="173"/>
      <c r="BY67" s="173"/>
      <c r="BZ67" s="173"/>
      <c r="CA67" s="173"/>
      <c r="CB67" s="173"/>
      <c r="CC67" s="173"/>
      <c r="CD67" s="173"/>
      <c r="CE67" s="173"/>
      <c r="CF67" s="173"/>
      <c r="CG67" s="173"/>
      <c r="CH67" s="173"/>
      <c r="CI67" s="173"/>
      <c r="CJ67" s="173"/>
      <c r="CK67" s="173"/>
      <c r="CL67" s="173"/>
      <c r="CM67" s="173"/>
      <c r="CN67" s="173"/>
      <c r="CO67" s="173"/>
      <c r="CP67" s="173"/>
      <c r="CQ67" s="173"/>
      <c r="CR67" s="151"/>
      <c r="CS67" s="173"/>
      <c r="CT67" s="173"/>
      <c r="CU67" s="173"/>
      <c r="CV67" s="173"/>
      <c r="CW67" s="173"/>
      <c r="CX67" s="173"/>
      <c r="CY67" s="173"/>
      <c r="CZ67" s="173"/>
      <c r="DA67" s="222"/>
      <c r="DB67" s="222"/>
      <c r="DC67" s="222"/>
      <c r="DD67" s="222"/>
      <c r="DE67" s="222"/>
      <c r="DF67" s="222"/>
      <c r="DG67" s="222"/>
      <c r="DH67" s="222"/>
      <c r="DI67" s="222"/>
      <c r="DJ67" s="222"/>
      <c r="DK67" s="222"/>
      <c r="DL67" s="222"/>
      <c r="DM67" s="222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  <c r="EB67" s="174"/>
      <c r="EC67" s="174"/>
      <c r="ED67" s="174"/>
      <c r="EE67" s="174"/>
      <c r="EF67" s="174"/>
      <c r="EG67" s="174"/>
      <c r="EH67" s="174"/>
      <c r="EI67" s="174"/>
      <c r="EJ67" s="174"/>
      <c r="EK67" s="174"/>
      <c r="EL67" s="174"/>
      <c r="EM67" s="174"/>
      <c r="EN67" s="174"/>
      <c r="EO67" s="174"/>
      <c r="EP67" s="174"/>
      <c r="EQ67" s="174"/>
      <c r="ER67" s="174"/>
      <c r="ES67" s="174"/>
      <c r="ET67" s="174"/>
      <c r="EU67" s="174"/>
      <c r="EV67" s="174"/>
      <c r="EW67" s="174"/>
      <c r="EX67" s="174"/>
      <c r="EY67" s="174"/>
      <c r="EZ67" s="174"/>
      <c r="FA67" s="174"/>
      <c r="FB67" s="174"/>
      <c r="FC67" s="174"/>
      <c r="FD67" s="174"/>
      <c r="FE67" s="174"/>
      <c r="FF67" s="174"/>
      <c r="FG67" s="174"/>
      <c r="FH67" s="174"/>
      <c r="FI67" s="174"/>
      <c r="FJ67" s="174"/>
      <c r="FK67" s="174"/>
      <c r="FL67" s="174"/>
      <c r="FM67" s="174"/>
      <c r="FN67" s="174"/>
      <c r="FO67" s="174"/>
      <c r="FP67" s="174"/>
      <c r="FQ67" s="174"/>
      <c r="FR67" s="174"/>
      <c r="FS67" s="174"/>
      <c r="FT67" s="174"/>
      <c r="FU67" s="174"/>
      <c r="FV67" s="174"/>
      <c r="FW67" s="174"/>
      <c r="FX67" s="174"/>
      <c r="FY67" s="174"/>
      <c r="FZ67" s="174"/>
      <c r="GA67" s="174"/>
      <c r="GB67" s="174"/>
      <c r="GC67" s="174"/>
      <c r="GD67" s="174"/>
      <c r="GE67" s="174"/>
      <c r="GF67" s="174"/>
      <c r="GG67" s="174"/>
      <c r="GH67" s="174"/>
      <c r="GI67" s="174"/>
      <c r="GJ67" s="174"/>
      <c r="GK67" s="174"/>
      <c r="GL67" s="174"/>
      <c r="GM67" s="174"/>
      <c r="GN67" s="174"/>
      <c r="GO67" s="174"/>
      <c r="GP67" s="174"/>
      <c r="GQ67" s="174"/>
      <c r="GR67" s="174"/>
      <c r="GS67" s="174"/>
      <c r="GT67" s="174"/>
      <c r="GU67" s="174"/>
      <c r="GV67" s="174"/>
      <c r="GW67" s="174"/>
      <c r="GX67" s="174"/>
      <c r="GY67" s="174"/>
      <c r="GZ67" s="174"/>
      <c r="HA67" s="174"/>
      <c r="HB67" s="174"/>
      <c r="HC67" s="174"/>
      <c r="HD67" s="174"/>
      <c r="HE67" s="174"/>
      <c r="HF67" s="174"/>
      <c r="HG67" s="174"/>
      <c r="HH67" s="174"/>
      <c r="HI67" s="174"/>
      <c r="HJ67" s="174"/>
      <c r="HK67" s="174"/>
      <c r="HL67" s="174"/>
      <c r="HM67" s="174"/>
      <c r="HN67" s="174"/>
      <c r="HO67" s="174"/>
      <c r="HP67" s="174"/>
      <c r="HQ67" s="174"/>
      <c r="HR67" s="174"/>
      <c r="HS67" s="174"/>
      <c r="HT67" s="174"/>
      <c r="HU67" s="174"/>
      <c r="HV67" s="174"/>
      <c r="HW67" s="174"/>
      <c r="HX67" s="174"/>
      <c r="HY67" s="174"/>
      <c r="HZ67" s="174"/>
      <c r="IA67" s="174"/>
      <c r="IB67" s="174"/>
      <c r="IC67" s="174"/>
      <c r="ID67" s="174"/>
      <c r="IE67" s="174"/>
      <c r="IF67" s="174"/>
      <c r="IG67" s="174"/>
      <c r="IH67" s="174"/>
      <c r="II67" s="174"/>
      <c r="IJ67" s="174"/>
      <c r="IK67" s="174"/>
      <c r="IL67" s="174"/>
      <c r="IM67" s="174"/>
      <c r="IN67" s="174"/>
      <c r="IO67" s="174"/>
      <c r="IP67" s="174"/>
      <c r="IQ67" s="174"/>
      <c r="IR67" s="174"/>
      <c r="IS67" s="174"/>
      <c r="IT67" s="174"/>
      <c r="IU67" s="174"/>
      <c r="IV67" s="174"/>
      <c r="IW67" s="174"/>
      <c r="IX67" s="174"/>
      <c r="IY67" s="174"/>
      <c r="IZ67" s="174"/>
      <c r="JA67" s="174"/>
      <c r="JB67" s="174"/>
      <c r="JC67" s="174"/>
      <c r="JD67" s="174"/>
      <c r="JE67" s="174"/>
      <c r="JF67" s="174"/>
      <c r="JG67" s="174"/>
      <c r="JH67" s="174"/>
      <c r="JI67" s="174"/>
      <c r="JJ67" s="174"/>
      <c r="JK67" s="174"/>
      <c r="JL67" s="174"/>
      <c r="JM67" s="174"/>
      <c r="JN67" s="174"/>
      <c r="JO67" s="174"/>
      <c r="JP67" s="174"/>
      <c r="JQ67" s="174"/>
      <c r="JR67" s="174"/>
      <c r="JS67" s="174"/>
      <c r="JT67" s="174"/>
      <c r="JU67" s="174"/>
      <c r="JV67" s="174"/>
    </row>
    <row r="68" spans="1:282" s="146" customFormat="1">
      <c r="A68" s="232"/>
      <c r="B68" s="173"/>
      <c r="C68" s="173"/>
      <c r="D68" s="233"/>
      <c r="E68" s="228"/>
      <c r="F68" s="234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3"/>
      <c r="AT68" s="173"/>
      <c r="AU68" s="173"/>
      <c r="AV68" s="173"/>
      <c r="AW68" s="173"/>
      <c r="AX68" s="173"/>
      <c r="AY68" s="173"/>
      <c r="AZ68" s="173"/>
      <c r="BA68" s="277"/>
      <c r="BB68" s="173"/>
      <c r="BC68" s="173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173"/>
      <c r="BQ68" s="173"/>
      <c r="BR68" s="173"/>
      <c r="BS68" s="173"/>
      <c r="BT68" s="173"/>
      <c r="BU68" s="173"/>
      <c r="BV68" s="173"/>
      <c r="BW68" s="173"/>
      <c r="BX68" s="173"/>
      <c r="BY68" s="173"/>
      <c r="BZ68" s="173"/>
      <c r="CA68" s="173"/>
      <c r="CB68" s="173"/>
      <c r="CC68" s="173"/>
      <c r="CD68" s="173"/>
      <c r="CE68" s="173"/>
      <c r="CF68" s="173"/>
      <c r="CG68" s="173"/>
      <c r="CH68" s="173"/>
      <c r="CI68" s="173"/>
      <c r="CJ68" s="173"/>
      <c r="CK68" s="173"/>
      <c r="CL68" s="173"/>
      <c r="CM68" s="173"/>
      <c r="CN68" s="173"/>
      <c r="CO68" s="173"/>
      <c r="CP68" s="173"/>
      <c r="CQ68" s="173"/>
      <c r="CR68" s="151"/>
      <c r="CS68" s="173"/>
      <c r="CT68" s="173"/>
      <c r="CU68" s="173"/>
      <c r="CV68" s="173"/>
      <c r="CW68" s="173"/>
      <c r="CX68" s="173"/>
      <c r="CY68" s="173"/>
      <c r="CZ68" s="173"/>
      <c r="DA68" s="222"/>
      <c r="DB68" s="222"/>
      <c r="DC68" s="222"/>
      <c r="DD68" s="222"/>
      <c r="DE68" s="222"/>
      <c r="DF68" s="222"/>
      <c r="DG68" s="222"/>
      <c r="DH68" s="222"/>
      <c r="DI68" s="222"/>
      <c r="DJ68" s="222"/>
      <c r="DK68" s="222"/>
      <c r="DL68" s="222"/>
      <c r="DM68" s="222"/>
      <c r="DN68" s="174"/>
      <c r="DO68" s="174"/>
      <c r="DP68" s="174"/>
      <c r="DQ68" s="174"/>
      <c r="DR68" s="174"/>
      <c r="DS68" s="174"/>
      <c r="DT68" s="174"/>
      <c r="DU68" s="174"/>
      <c r="DV68" s="174"/>
      <c r="DW68" s="174"/>
      <c r="DX68" s="174"/>
      <c r="DY68" s="174"/>
      <c r="DZ68" s="174"/>
      <c r="EA68" s="174"/>
      <c r="EB68" s="174"/>
      <c r="EC68" s="174"/>
      <c r="ED68" s="174"/>
      <c r="EE68" s="174"/>
      <c r="EF68" s="174"/>
      <c r="EG68" s="174"/>
      <c r="EH68" s="174"/>
      <c r="EI68" s="174"/>
      <c r="EJ68" s="174"/>
      <c r="EK68" s="174"/>
      <c r="EL68" s="174"/>
      <c r="EM68" s="174"/>
      <c r="EN68" s="174"/>
      <c r="EO68" s="174"/>
      <c r="EP68" s="174"/>
      <c r="EQ68" s="174"/>
      <c r="ER68" s="174"/>
      <c r="ES68" s="174"/>
      <c r="ET68" s="174"/>
      <c r="EU68" s="174"/>
      <c r="EV68" s="174"/>
      <c r="EW68" s="174"/>
      <c r="EX68" s="174"/>
      <c r="EY68" s="174"/>
      <c r="EZ68" s="174"/>
      <c r="FA68" s="174"/>
      <c r="FB68" s="174"/>
      <c r="FC68" s="174"/>
      <c r="FD68" s="174"/>
      <c r="FE68" s="174"/>
      <c r="FF68" s="174"/>
      <c r="FG68" s="174"/>
      <c r="FH68" s="174"/>
      <c r="FI68" s="174"/>
      <c r="FJ68" s="174"/>
      <c r="FK68" s="174"/>
      <c r="FL68" s="174"/>
      <c r="FM68" s="174"/>
      <c r="FN68" s="174"/>
      <c r="FO68" s="174"/>
      <c r="FP68" s="174"/>
      <c r="FQ68" s="174"/>
      <c r="FR68" s="174"/>
      <c r="FS68" s="174"/>
      <c r="FT68" s="174"/>
      <c r="FU68" s="174"/>
      <c r="FV68" s="174"/>
      <c r="FW68" s="174"/>
      <c r="FX68" s="174"/>
      <c r="FY68" s="174"/>
      <c r="FZ68" s="174"/>
      <c r="GA68" s="174"/>
      <c r="GB68" s="174"/>
      <c r="GC68" s="174"/>
      <c r="GD68" s="174"/>
      <c r="GE68" s="174"/>
      <c r="GF68" s="174"/>
      <c r="GG68" s="174"/>
      <c r="GH68" s="174"/>
      <c r="GI68" s="174"/>
      <c r="GJ68" s="174"/>
      <c r="GK68" s="174"/>
      <c r="GL68" s="174"/>
      <c r="GM68" s="174"/>
      <c r="GN68" s="174"/>
      <c r="GO68" s="174"/>
      <c r="GP68" s="174"/>
      <c r="GQ68" s="174"/>
      <c r="GR68" s="174"/>
      <c r="GS68" s="174"/>
      <c r="GT68" s="174"/>
      <c r="GU68" s="174"/>
      <c r="GV68" s="174"/>
      <c r="GW68" s="174"/>
      <c r="GX68" s="174"/>
      <c r="GY68" s="174"/>
      <c r="GZ68" s="174"/>
      <c r="HA68" s="174"/>
      <c r="HB68" s="174"/>
      <c r="HC68" s="174"/>
      <c r="HD68" s="174"/>
      <c r="HE68" s="174"/>
      <c r="HF68" s="174"/>
      <c r="HG68" s="174"/>
      <c r="HH68" s="174"/>
      <c r="HI68" s="174"/>
      <c r="HJ68" s="174"/>
      <c r="HK68" s="174"/>
      <c r="HL68" s="174"/>
      <c r="HM68" s="174"/>
      <c r="HN68" s="174"/>
      <c r="HO68" s="174"/>
      <c r="HP68" s="174"/>
      <c r="HQ68" s="174"/>
      <c r="HR68" s="174"/>
      <c r="HS68" s="174"/>
      <c r="HT68" s="174"/>
      <c r="HU68" s="174"/>
      <c r="HV68" s="174"/>
      <c r="HW68" s="174"/>
      <c r="HX68" s="174"/>
      <c r="HY68" s="174"/>
      <c r="HZ68" s="174"/>
      <c r="IA68" s="174"/>
      <c r="IB68" s="174"/>
      <c r="IC68" s="174"/>
      <c r="ID68" s="174"/>
      <c r="IE68" s="174"/>
      <c r="IF68" s="174"/>
      <c r="IG68" s="174"/>
      <c r="IH68" s="174"/>
      <c r="II68" s="174"/>
      <c r="IJ68" s="174"/>
      <c r="IK68" s="174"/>
      <c r="IL68" s="174"/>
      <c r="IM68" s="174"/>
      <c r="IN68" s="174"/>
      <c r="IO68" s="174"/>
      <c r="IP68" s="174"/>
      <c r="IQ68" s="174"/>
      <c r="IR68" s="174"/>
      <c r="IS68" s="174"/>
      <c r="IT68" s="174"/>
      <c r="IU68" s="174"/>
      <c r="IV68" s="174"/>
      <c r="IW68" s="174"/>
      <c r="IX68" s="174"/>
      <c r="IY68" s="174"/>
      <c r="IZ68" s="174"/>
      <c r="JA68" s="174"/>
      <c r="JB68" s="174"/>
      <c r="JC68" s="174"/>
      <c r="JD68" s="174"/>
      <c r="JE68" s="174"/>
      <c r="JF68" s="174"/>
      <c r="JG68" s="174"/>
      <c r="JH68" s="174"/>
      <c r="JI68" s="174"/>
      <c r="JJ68" s="174"/>
      <c r="JK68" s="174"/>
      <c r="JL68" s="174"/>
      <c r="JM68" s="174"/>
      <c r="JN68" s="174"/>
      <c r="JO68" s="174"/>
      <c r="JP68" s="174"/>
      <c r="JQ68" s="174"/>
      <c r="JR68" s="174"/>
      <c r="JS68" s="174"/>
      <c r="JT68" s="174"/>
      <c r="JU68" s="174"/>
      <c r="JV68" s="174"/>
    </row>
    <row r="69" spans="1:282" s="146" customFormat="1">
      <c r="A69" s="232"/>
      <c r="B69" s="173"/>
      <c r="C69" s="173"/>
      <c r="D69" s="233"/>
      <c r="E69" s="228"/>
      <c r="F69" s="234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  <c r="AP69" s="173"/>
      <c r="AQ69" s="173"/>
      <c r="AR69" s="173"/>
      <c r="AS69" s="173"/>
      <c r="AT69" s="173"/>
      <c r="AU69" s="173"/>
      <c r="AV69" s="173"/>
      <c r="AW69" s="173"/>
      <c r="AX69" s="173"/>
      <c r="AY69" s="173"/>
      <c r="AZ69" s="173"/>
      <c r="BA69" s="277"/>
      <c r="BB69" s="173"/>
      <c r="BC69" s="173"/>
      <c r="BD69" s="173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173"/>
      <c r="BP69" s="173"/>
      <c r="BQ69" s="173"/>
      <c r="BR69" s="173"/>
      <c r="BS69" s="173"/>
      <c r="BT69" s="173"/>
      <c r="BU69" s="173"/>
      <c r="BV69" s="173"/>
      <c r="BW69" s="173"/>
      <c r="BX69" s="173"/>
      <c r="BY69" s="173"/>
      <c r="BZ69" s="173"/>
      <c r="CA69" s="173"/>
      <c r="CB69" s="173"/>
      <c r="CC69" s="173"/>
      <c r="CD69" s="173"/>
      <c r="CE69" s="173"/>
      <c r="CF69" s="173"/>
      <c r="CG69" s="173"/>
      <c r="CH69" s="173"/>
      <c r="CI69" s="173"/>
      <c r="CJ69" s="173"/>
      <c r="CK69" s="173"/>
      <c r="CL69" s="173"/>
      <c r="CM69" s="173"/>
      <c r="CN69" s="173"/>
      <c r="CO69" s="173"/>
      <c r="CP69" s="173"/>
      <c r="CQ69" s="173"/>
      <c r="CR69" s="151"/>
      <c r="CS69" s="173"/>
      <c r="CT69" s="173"/>
      <c r="CU69" s="173"/>
      <c r="CV69" s="173"/>
      <c r="CW69" s="173"/>
      <c r="CX69" s="173"/>
      <c r="CY69" s="173"/>
      <c r="CZ69" s="173"/>
      <c r="DA69" s="222"/>
      <c r="DB69" s="222"/>
      <c r="DC69" s="222"/>
      <c r="DD69" s="222"/>
      <c r="DE69" s="222"/>
      <c r="DF69" s="222"/>
      <c r="DG69" s="222"/>
      <c r="DH69" s="222"/>
      <c r="DI69" s="222"/>
      <c r="DJ69" s="222"/>
      <c r="DK69" s="222"/>
      <c r="DL69" s="222"/>
      <c r="DM69" s="222"/>
      <c r="DN69" s="174"/>
      <c r="DO69" s="174"/>
      <c r="DP69" s="174"/>
      <c r="DQ69" s="174"/>
      <c r="DR69" s="174"/>
      <c r="DS69" s="174"/>
      <c r="DT69" s="174"/>
      <c r="DU69" s="174"/>
      <c r="DV69" s="174"/>
      <c r="DW69" s="174"/>
      <c r="DX69" s="174"/>
      <c r="DY69" s="174"/>
      <c r="DZ69" s="174"/>
      <c r="EA69" s="174"/>
      <c r="EB69" s="174"/>
      <c r="EC69" s="174"/>
      <c r="ED69" s="174"/>
      <c r="EE69" s="174"/>
      <c r="EF69" s="174"/>
      <c r="EG69" s="174"/>
      <c r="EH69" s="174"/>
      <c r="EI69" s="174"/>
      <c r="EJ69" s="174"/>
      <c r="EK69" s="174"/>
      <c r="EL69" s="174"/>
      <c r="EM69" s="174"/>
      <c r="EN69" s="174"/>
      <c r="EO69" s="174"/>
      <c r="EP69" s="174"/>
      <c r="EQ69" s="174"/>
      <c r="ER69" s="174"/>
      <c r="ES69" s="174"/>
      <c r="ET69" s="174"/>
      <c r="EU69" s="174"/>
      <c r="EV69" s="174"/>
      <c r="EW69" s="174"/>
      <c r="EX69" s="174"/>
      <c r="EY69" s="174"/>
      <c r="EZ69" s="174"/>
      <c r="FA69" s="174"/>
      <c r="FB69" s="174"/>
      <c r="FC69" s="174"/>
      <c r="FD69" s="174"/>
      <c r="FE69" s="174"/>
      <c r="FF69" s="174"/>
      <c r="FG69" s="174"/>
      <c r="FH69" s="174"/>
      <c r="FI69" s="174"/>
      <c r="FJ69" s="174"/>
      <c r="FK69" s="174"/>
      <c r="FL69" s="174"/>
      <c r="FM69" s="174"/>
      <c r="FN69" s="174"/>
      <c r="FO69" s="174"/>
      <c r="FP69" s="174"/>
      <c r="FQ69" s="174"/>
      <c r="FR69" s="174"/>
      <c r="FS69" s="174"/>
      <c r="FT69" s="174"/>
      <c r="FU69" s="174"/>
      <c r="FV69" s="174"/>
      <c r="FW69" s="174"/>
      <c r="FX69" s="174"/>
      <c r="FY69" s="174"/>
      <c r="FZ69" s="174"/>
      <c r="GA69" s="174"/>
      <c r="GB69" s="174"/>
      <c r="GC69" s="174"/>
      <c r="GD69" s="174"/>
      <c r="GE69" s="174"/>
      <c r="GF69" s="174"/>
      <c r="GG69" s="174"/>
      <c r="GH69" s="174"/>
      <c r="GI69" s="174"/>
      <c r="GJ69" s="174"/>
      <c r="GK69" s="174"/>
      <c r="GL69" s="174"/>
      <c r="GM69" s="174"/>
      <c r="GN69" s="174"/>
      <c r="GO69" s="174"/>
      <c r="GP69" s="174"/>
      <c r="GQ69" s="174"/>
      <c r="GR69" s="174"/>
      <c r="GS69" s="174"/>
      <c r="GT69" s="174"/>
      <c r="GU69" s="174"/>
      <c r="GV69" s="174"/>
      <c r="GW69" s="174"/>
      <c r="GX69" s="174"/>
      <c r="GY69" s="174"/>
      <c r="GZ69" s="174"/>
      <c r="HA69" s="174"/>
      <c r="HB69" s="174"/>
      <c r="HC69" s="174"/>
      <c r="HD69" s="174"/>
      <c r="HE69" s="174"/>
      <c r="HF69" s="174"/>
      <c r="HG69" s="174"/>
      <c r="HH69" s="174"/>
      <c r="HI69" s="174"/>
      <c r="HJ69" s="174"/>
      <c r="HK69" s="174"/>
      <c r="HL69" s="174"/>
      <c r="HM69" s="174"/>
      <c r="HN69" s="174"/>
      <c r="HO69" s="174"/>
      <c r="HP69" s="174"/>
      <c r="HQ69" s="174"/>
      <c r="HR69" s="174"/>
      <c r="HS69" s="174"/>
      <c r="HT69" s="174"/>
      <c r="HU69" s="174"/>
      <c r="HV69" s="174"/>
      <c r="HW69" s="174"/>
      <c r="HX69" s="174"/>
      <c r="HY69" s="174"/>
      <c r="HZ69" s="174"/>
      <c r="IA69" s="174"/>
      <c r="IB69" s="174"/>
      <c r="IC69" s="174"/>
      <c r="ID69" s="174"/>
      <c r="IE69" s="174"/>
      <c r="IF69" s="174"/>
      <c r="IG69" s="174"/>
      <c r="IH69" s="174"/>
      <c r="II69" s="174"/>
      <c r="IJ69" s="174"/>
      <c r="IK69" s="174"/>
      <c r="IL69" s="174"/>
      <c r="IM69" s="174"/>
      <c r="IN69" s="174"/>
      <c r="IO69" s="174"/>
      <c r="IP69" s="174"/>
      <c r="IQ69" s="174"/>
      <c r="IR69" s="174"/>
      <c r="IS69" s="174"/>
      <c r="IT69" s="174"/>
      <c r="IU69" s="174"/>
      <c r="IV69" s="174"/>
      <c r="IW69" s="174"/>
      <c r="IX69" s="174"/>
      <c r="IY69" s="174"/>
      <c r="IZ69" s="174"/>
      <c r="JA69" s="174"/>
      <c r="JB69" s="174"/>
      <c r="JC69" s="174"/>
      <c r="JD69" s="174"/>
      <c r="JE69" s="174"/>
      <c r="JF69" s="174"/>
      <c r="JG69" s="174"/>
      <c r="JH69" s="174"/>
      <c r="JI69" s="174"/>
      <c r="JJ69" s="174"/>
      <c r="JK69" s="174"/>
      <c r="JL69" s="174"/>
      <c r="JM69" s="174"/>
      <c r="JN69" s="174"/>
      <c r="JO69" s="174"/>
      <c r="JP69" s="174"/>
      <c r="JQ69" s="174"/>
      <c r="JR69" s="174"/>
      <c r="JS69" s="174"/>
      <c r="JT69" s="174"/>
      <c r="JU69" s="174"/>
      <c r="JV69" s="174"/>
    </row>
    <row r="70" spans="1:282" s="146" customFormat="1">
      <c r="A70" s="232"/>
      <c r="B70" s="173"/>
      <c r="C70" s="173"/>
      <c r="D70" s="233"/>
      <c r="E70" s="228"/>
      <c r="F70" s="234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  <c r="AM70" s="173"/>
      <c r="AN70" s="173"/>
      <c r="AO70" s="173"/>
      <c r="AP70" s="173"/>
      <c r="AQ70" s="173"/>
      <c r="AR70" s="173"/>
      <c r="AS70" s="173"/>
      <c r="AT70" s="173"/>
      <c r="AU70" s="228"/>
      <c r="AV70" s="228"/>
      <c r="AW70" s="173"/>
      <c r="AX70" s="173"/>
      <c r="AY70" s="173"/>
      <c r="AZ70" s="173"/>
      <c r="BA70" s="277"/>
      <c r="BB70" s="173"/>
      <c r="BC70" s="173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173"/>
      <c r="BP70" s="173"/>
      <c r="BQ70" s="173"/>
      <c r="BR70" s="173"/>
      <c r="BS70" s="173"/>
      <c r="BT70" s="173"/>
      <c r="BU70" s="173"/>
      <c r="BV70" s="173"/>
      <c r="BW70" s="173"/>
      <c r="BX70" s="173"/>
      <c r="BY70" s="173"/>
      <c r="BZ70" s="173"/>
      <c r="CA70" s="173"/>
      <c r="CB70" s="173"/>
      <c r="CC70" s="173"/>
      <c r="CD70" s="173"/>
      <c r="CE70" s="173"/>
      <c r="CF70" s="173"/>
      <c r="CG70" s="173"/>
      <c r="CH70" s="173"/>
      <c r="CI70" s="173"/>
      <c r="CJ70" s="173"/>
      <c r="CK70" s="173"/>
      <c r="CL70" s="173"/>
      <c r="CM70" s="173"/>
      <c r="CN70" s="173"/>
      <c r="CO70" s="173"/>
      <c r="CP70" s="173"/>
      <c r="CQ70" s="173"/>
      <c r="CR70" s="151"/>
      <c r="CS70" s="173"/>
      <c r="CT70" s="173"/>
      <c r="CU70" s="173"/>
      <c r="CV70" s="173"/>
      <c r="CW70" s="173"/>
      <c r="CX70" s="173"/>
      <c r="CY70" s="173"/>
      <c r="CZ70" s="173"/>
      <c r="DA70" s="222"/>
      <c r="DB70" s="222"/>
      <c r="DC70" s="222"/>
      <c r="DD70" s="222"/>
      <c r="DE70" s="222"/>
      <c r="DF70" s="222"/>
      <c r="DG70" s="222"/>
      <c r="DH70" s="222"/>
      <c r="DI70" s="222"/>
      <c r="DJ70" s="222"/>
      <c r="DK70" s="222"/>
      <c r="DL70" s="222"/>
      <c r="DM70" s="222"/>
      <c r="DN70" s="174"/>
      <c r="DO70" s="174"/>
      <c r="DP70" s="174"/>
      <c r="DQ70" s="174"/>
      <c r="DR70" s="174"/>
      <c r="DS70" s="174"/>
      <c r="DT70" s="174"/>
      <c r="DU70" s="174"/>
      <c r="DV70" s="174"/>
      <c r="DW70" s="174"/>
      <c r="DX70" s="174"/>
      <c r="DY70" s="174"/>
      <c r="DZ70" s="174"/>
      <c r="EA70" s="174"/>
      <c r="EB70" s="174"/>
      <c r="EC70" s="174"/>
      <c r="ED70" s="174"/>
      <c r="EE70" s="174"/>
      <c r="EF70" s="174"/>
      <c r="EG70" s="174"/>
      <c r="EH70" s="174"/>
      <c r="EI70" s="174"/>
      <c r="EJ70" s="174"/>
      <c r="EK70" s="174"/>
      <c r="EL70" s="174"/>
      <c r="EM70" s="174"/>
      <c r="EN70" s="174"/>
      <c r="EO70" s="174"/>
      <c r="EP70" s="174"/>
      <c r="EQ70" s="174"/>
      <c r="ER70" s="174"/>
      <c r="ES70" s="174"/>
      <c r="ET70" s="174"/>
      <c r="EU70" s="174"/>
      <c r="EV70" s="174"/>
      <c r="EW70" s="174"/>
      <c r="EX70" s="174"/>
      <c r="EY70" s="174"/>
      <c r="EZ70" s="174"/>
      <c r="FA70" s="174"/>
      <c r="FB70" s="174"/>
      <c r="FC70" s="174"/>
      <c r="FD70" s="174"/>
      <c r="FE70" s="174"/>
      <c r="FF70" s="174"/>
      <c r="FG70" s="174"/>
      <c r="FH70" s="174"/>
      <c r="FI70" s="174"/>
      <c r="FJ70" s="174"/>
      <c r="FK70" s="174"/>
      <c r="FL70" s="174"/>
      <c r="FM70" s="174"/>
      <c r="FN70" s="174"/>
      <c r="FO70" s="174"/>
      <c r="FP70" s="174"/>
      <c r="FQ70" s="174"/>
      <c r="FR70" s="174"/>
      <c r="FS70" s="174"/>
      <c r="FT70" s="174"/>
      <c r="FU70" s="174"/>
      <c r="FV70" s="174"/>
      <c r="FW70" s="174"/>
      <c r="FX70" s="174"/>
      <c r="FY70" s="174"/>
      <c r="FZ70" s="174"/>
      <c r="GA70" s="174"/>
      <c r="GB70" s="174"/>
      <c r="GC70" s="174"/>
      <c r="GD70" s="174"/>
      <c r="GE70" s="174"/>
      <c r="GF70" s="174"/>
      <c r="GG70" s="174"/>
      <c r="GH70" s="174"/>
      <c r="GI70" s="174"/>
      <c r="GJ70" s="174"/>
      <c r="GK70" s="174"/>
      <c r="GL70" s="174"/>
      <c r="GM70" s="174"/>
      <c r="GN70" s="174"/>
      <c r="GO70" s="174"/>
      <c r="GP70" s="174"/>
      <c r="GQ70" s="174"/>
      <c r="GR70" s="174"/>
      <c r="GS70" s="174"/>
      <c r="GT70" s="174"/>
      <c r="GU70" s="174"/>
      <c r="GV70" s="174"/>
      <c r="GW70" s="174"/>
      <c r="GX70" s="174"/>
      <c r="GY70" s="174"/>
      <c r="GZ70" s="174"/>
      <c r="HA70" s="174"/>
      <c r="HB70" s="174"/>
      <c r="HC70" s="174"/>
      <c r="HD70" s="174"/>
      <c r="HE70" s="174"/>
      <c r="HF70" s="174"/>
      <c r="HG70" s="174"/>
      <c r="HH70" s="174"/>
      <c r="HI70" s="174"/>
      <c r="HJ70" s="174"/>
      <c r="HK70" s="174"/>
      <c r="HL70" s="174"/>
      <c r="HM70" s="174"/>
      <c r="HN70" s="174"/>
      <c r="HO70" s="174"/>
      <c r="HP70" s="174"/>
      <c r="HQ70" s="174"/>
      <c r="HR70" s="174"/>
      <c r="HS70" s="174"/>
      <c r="HT70" s="174"/>
      <c r="HU70" s="174"/>
      <c r="HV70" s="174"/>
      <c r="HW70" s="174"/>
      <c r="HX70" s="174"/>
      <c r="HY70" s="174"/>
      <c r="HZ70" s="174"/>
      <c r="IA70" s="174"/>
      <c r="IB70" s="174"/>
      <c r="IC70" s="174"/>
      <c r="ID70" s="174"/>
      <c r="IE70" s="174"/>
      <c r="IF70" s="174"/>
      <c r="IG70" s="174"/>
      <c r="IH70" s="174"/>
      <c r="II70" s="174"/>
      <c r="IJ70" s="174"/>
      <c r="IK70" s="174"/>
      <c r="IL70" s="174"/>
      <c r="IM70" s="174"/>
      <c r="IN70" s="174"/>
      <c r="IO70" s="174"/>
      <c r="IP70" s="174"/>
      <c r="IQ70" s="174"/>
      <c r="IR70" s="174"/>
      <c r="IS70" s="174"/>
      <c r="IT70" s="174"/>
      <c r="IU70" s="174"/>
      <c r="IV70" s="174"/>
      <c r="IW70" s="174"/>
      <c r="IX70" s="174"/>
      <c r="IY70" s="174"/>
      <c r="IZ70" s="174"/>
      <c r="JA70" s="174"/>
      <c r="JB70" s="174"/>
      <c r="JC70" s="174"/>
      <c r="JD70" s="174"/>
      <c r="JE70" s="174"/>
      <c r="JF70" s="174"/>
      <c r="JG70" s="174"/>
      <c r="JH70" s="174"/>
      <c r="JI70" s="174"/>
      <c r="JJ70" s="174"/>
      <c r="JK70" s="174"/>
      <c r="JL70" s="174"/>
      <c r="JM70" s="174"/>
      <c r="JN70" s="174"/>
      <c r="JO70" s="174"/>
      <c r="JP70" s="174"/>
      <c r="JQ70" s="174"/>
      <c r="JR70" s="174"/>
      <c r="JS70" s="174"/>
      <c r="JT70" s="174"/>
      <c r="JU70" s="174"/>
      <c r="JV70" s="174"/>
    </row>
    <row r="71" spans="1:282" s="146" customFormat="1">
      <c r="A71" s="232"/>
      <c r="B71" s="173"/>
      <c r="C71" s="173"/>
      <c r="D71" s="233"/>
      <c r="E71" s="228"/>
      <c r="F71" s="234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277"/>
      <c r="BB71" s="173"/>
      <c r="BC71" s="173"/>
      <c r="BD71" s="173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173"/>
      <c r="BP71" s="173"/>
      <c r="BQ71" s="173"/>
      <c r="BR71" s="173"/>
      <c r="BS71" s="173"/>
      <c r="BT71" s="173"/>
      <c r="BU71" s="173"/>
      <c r="BV71" s="173"/>
      <c r="BW71" s="173"/>
      <c r="BX71" s="173"/>
      <c r="BY71" s="173"/>
      <c r="BZ71" s="173"/>
      <c r="CA71" s="173"/>
      <c r="CB71" s="173"/>
      <c r="CC71" s="173"/>
      <c r="CD71" s="173"/>
      <c r="CE71" s="173"/>
      <c r="CF71" s="173"/>
      <c r="CG71" s="173"/>
      <c r="CH71" s="173"/>
      <c r="CI71" s="173"/>
      <c r="CJ71" s="173"/>
      <c r="CK71" s="173"/>
      <c r="CL71" s="173"/>
      <c r="CM71" s="173"/>
      <c r="CN71" s="173"/>
      <c r="CO71" s="173"/>
      <c r="CP71" s="173"/>
      <c r="CQ71" s="173"/>
      <c r="CR71" s="151"/>
      <c r="CS71" s="173"/>
      <c r="CT71" s="173"/>
      <c r="CU71" s="173"/>
      <c r="CV71" s="173"/>
      <c r="CW71" s="173"/>
      <c r="CX71" s="173"/>
      <c r="CY71" s="173"/>
      <c r="CZ71" s="173"/>
      <c r="DA71" s="222"/>
      <c r="DB71" s="222"/>
      <c r="DC71" s="222"/>
      <c r="DD71" s="222"/>
      <c r="DE71" s="222"/>
      <c r="DF71" s="222"/>
      <c r="DG71" s="222"/>
      <c r="DH71" s="222"/>
      <c r="DI71" s="222"/>
      <c r="DJ71" s="222"/>
      <c r="DK71" s="222"/>
      <c r="DL71" s="222"/>
      <c r="DM71" s="222"/>
      <c r="DN71" s="174"/>
      <c r="DO71" s="174"/>
      <c r="DP71" s="174"/>
      <c r="DQ71" s="174"/>
      <c r="DR71" s="174"/>
      <c r="DS71" s="174"/>
      <c r="DT71" s="174"/>
      <c r="DU71" s="174"/>
      <c r="DV71" s="174"/>
      <c r="DW71" s="174"/>
      <c r="DX71" s="174"/>
      <c r="DY71" s="174"/>
      <c r="DZ71" s="174"/>
      <c r="EA71" s="174"/>
      <c r="EB71" s="174"/>
      <c r="EC71" s="174"/>
      <c r="ED71" s="174"/>
      <c r="EE71" s="174"/>
      <c r="EF71" s="174"/>
      <c r="EG71" s="174"/>
      <c r="EH71" s="174"/>
      <c r="EI71" s="174"/>
      <c r="EJ71" s="174"/>
      <c r="EK71" s="174"/>
      <c r="EL71" s="174"/>
      <c r="EM71" s="174"/>
      <c r="EN71" s="174"/>
      <c r="EO71" s="174"/>
      <c r="EP71" s="174"/>
      <c r="EQ71" s="174"/>
      <c r="ER71" s="174"/>
      <c r="ES71" s="174"/>
      <c r="ET71" s="174"/>
      <c r="EU71" s="174"/>
      <c r="EV71" s="174"/>
      <c r="EW71" s="174"/>
      <c r="EX71" s="174"/>
      <c r="EY71" s="174"/>
      <c r="EZ71" s="174"/>
      <c r="FA71" s="174"/>
      <c r="FB71" s="174"/>
      <c r="FC71" s="174"/>
      <c r="FD71" s="174"/>
      <c r="FE71" s="174"/>
      <c r="FF71" s="174"/>
      <c r="FG71" s="174"/>
      <c r="FH71" s="174"/>
      <c r="FI71" s="174"/>
      <c r="FJ71" s="174"/>
      <c r="FK71" s="174"/>
      <c r="FL71" s="174"/>
      <c r="FM71" s="174"/>
      <c r="FN71" s="174"/>
      <c r="FO71" s="174"/>
      <c r="FP71" s="174"/>
      <c r="FQ71" s="174"/>
      <c r="FR71" s="174"/>
      <c r="FS71" s="174"/>
      <c r="FT71" s="174"/>
      <c r="FU71" s="174"/>
      <c r="FV71" s="174"/>
      <c r="FW71" s="174"/>
      <c r="FX71" s="174"/>
      <c r="FY71" s="174"/>
      <c r="FZ71" s="174"/>
      <c r="GA71" s="174"/>
      <c r="GB71" s="174"/>
      <c r="GC71" s="174"/>
      <c r="GD71" s="174"/>
      <c r="GE71" s="174"/>
      <c r="GF71" s="174"/>
      <c r="GG71" s="174"/>
      <c r="GH71" s="174"/>
      <c r="GI71" s="174"/>
      <c r="GJ71" s="174"/>
      <c r="GK71" s="174"/>
      <c r="GL71" s="174"/>
      <c r="GM71" s="174"/>
      <c r="GN71" s="174"/>
      <c r="GO71" s="174"/>
      <c r="GP71" s="174"/>
      <c r="GQ71" s="174"/>
      <c r="GR71" s="174"/>
      <c r="GS71" s="174"/>
      <c r="GT71" s="174"/>
      <c r="GU71" s="174"/>
      <c r="GV71" s="174"/>
      <c r="GW71" s="174"/>
      <c r="GX71" s="174"/>
      <c r="GY71" s="174"/>
      <c r="GZ71" s="174"/>
      <c r="HA71" s="174"/>
      <c r="HB71" s="174"/>
      <c r="HC71" s="174"/>
      <c r="HD71" s="174"/>
      <c r="HE71" s="174"/>
      <c r="HF71" s="174"/>
      <c r="HG71" s="174"/>
      <c r="HH71" s="174"/>
      <c r="HI71" s="174"/>
      <c r="HJ71" s="174"/>
      <c r="HK71" s="174"/>
      <c r="HL71" s="174"/>
      <c r="HM71" s="174"/>
      <c r="HN71" s="174"/>
      <c r="HO71" s="174"/>
      <c r="HP71" s="174"/>
      <c r="HQ71" s="174"/>
      <c r="HR71" s="174"/>
      <c r="HS71" s="174"/>
      <c r="HT71" s="174"/>
      <c r="HU71" s="174"/>
      <c r="HV71" s="174"/>
      <c r="HW71" s="174"/>
      <c r="HX71" s="174"/>
      <c r="HY71" s="174"/>
      <c r="HZ71" s="174"/>
      <c r="IA71" s="174"/>
      <c r="IB71" s="174"/>
      <c r="IC71" s="174"/>
      <c r="ID71" s="174"/>
      <c r="IE71" s="174"/>
      <c r="IF71" s="174"/>
      <c r="IG71" s="174"/>
      <c r="IH71" s="174"/>
      <c r="II71" s="174"/>
      <c r="IJ71" s="174"/>
      <c r="IK71" s="174"/>
      <c r="IL71" s="174"/>
      <c r="IM71" s="174"/>
      <c r="IN71" s="174"/>
      <c r="IO71" s="174"/>
      <c r="IP71" s="174"/>
      <c r="IQ71" s="174"/>
      <c r="IR71" s="174"/>
      <c r="IS71" s="174"/>
      <c r="IT71" s="174"/>
      <c r="IU71" s="174"/>
      <c r="IV71" s="174"/>
      <c r="IW71" s="174"/>
      <c r="IX71" s="174"/>
      <c r="IY71" s="174"/>
      <c r="IZ71" s="174"/>
      <c r="JA71" s="174"/>
      <c r="JB71" s="174"/>
      <c r="JC71" s="174"/>
      <c r="JD71" s="174"/>
      <c r="JE71" s="174"/>
      <c r="JF71" s="174"/>
      <c r="JG71" s="174"/>
      <c r="JH71" s="174"/>
      <c r="JI71" s="174"/>
      <c r="JJ71" s="174"/>
      <c r="JK71" s="174"/>
      <c r="JL71" s="174"/>
      <c r="JM71" s="174"/>
      <c r="JN71" s="174"/>
      <c r="JO71" s="174"/>
      <c r="JP71" s="174"/>
      <c r="JQ71" s="174"/>
      <c r="JR71" s="174"/>
      <c r="JS71" s="174"/>
      <c r="JT71" s="174"/>
      <c r="JU71" s="174"/>
      <c r="JV71" s="174"/>
    </row>
    <row r="72" spans="1:282" s="146" customFormat="1">
      <c r="A72" s="232"/>
      <c r="B72" s="173"/>
      <c r="C72" s="173"/>
      <c r="D72" s="233"/>
      <c r="E72" s="228"/>
      <c r="F72" s="234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3"/>
      <c r="AU72" s="173"/>
      <c r="AV72" s="173"/>
      <c r="AW72" s="173"/>
      <c r="AX72" s="173"/>
      <c r="AY72" s="173"/>
      <c r="AZ72" s="173"/>
      <c r="BA72" s="277"/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73"/>
      <c r="BP72" s="173"/>
      <c r="BQ72" s="173"/>
      <c r="BR72" s="173"/>
      <c r="BS72" s="173"/>
      <c r="BT72" s="173"/>
      <c r="BU72" s="173"/>
      <c r="BV72" s="173"/>
      <c r="BW72" s="173"/>
      <c r="BX72" s="173"/>
      <c r="BY72" s="173"/>
      <c r="BZ72" s="173"/>
      <c r="CA72" s="173"/>
      <c r="CB72" s="173"/>
      <c r="CC72" s="173"/>
      <c r="CD72" s="173"/>
      <c r="CE72" s="173"/>
      <c r="CF72" s="173"/>
      <c r="CG72" s="173"/>
      <c r="CH72" s="173"/>
      <c r="CI72" s="173"/>
      <c r="CJ72" s="173"/>
      <c r="CK72" s="173"/>
      <c r="CL72" s="173"/>
      <c r="CM72" s="173"/>
      <c r="CN72" s="173"/>
      <c r="CO72" s="173"/>
      <c r="CP72" s="173"/>
      <c r="CQ72" s="173"/>
      <c r="CR72" s="151"/>
      <c r="CS72" s="151"/>
      <c r="CT72" s="173"/>
      <c r="CU72" s="173"/>
      <c r="CV72" s="173"/>
      <c r="CW72" s="173"/>
      <c r="CX72" s="173"/>
      <c r="CY72" s="173"/>
      <c r="CZ72" s="173"/>
      <c r="DA72" s="222"/>
      <c r="DB72" s="222"/>
      <c r="DC72" s="222"/>
      <c r="DD72" s="222"/>
      <c r="DE72" s="222"/>
      <c r="DF72" s="222"/>
      <c r="DG72" s="222"/>
      <c r="DH72" s="222"/>
      <c r="DI72" s="222"/>
      <c r="DJ72" s="222"/>
      <c r="DK72" s="222"/>
      <c r="DL72" s="222"/>
      <c r="DM72" s="222"/>
      <c r="DN72" s="174"/>
      <c r="DO72" s="174"/>
      <c r="DP72" s="174"/>
      <c r="DQ72" s="174"/>
      <c r="DR72" s="174"/>
      <c r="DS72" s="174"/>
      <c r="DT72" s="174"/>
      <c r="DU72" s="174"/>
      <c r="DV72" s="174"/>
      <c r="DW72" s="174"/>
      <c r="DX72" s="174"/>
      <c r="DY72" s="174"/>
      <c r="DZ72" s="174"/>
      <c r="EA72" s="174"/>
      <c r="EB72" s="174"/>
      <c r="EC72" s="174"/>
      <c r="ED72" s="174"/>
      <c r="EE72" s="174"/>
      <c r="EF72" s="174"/>
      <c r="EG72" s="174"/>
      <c r="EH72" s="174"/>
      <c r="EI72" s="174"/>
      <c r="EJ72" s="174"/>
      <c r="EK72" s="174"/>
      <c r="EL72" s="174"/>
      <c r="EM72" s="174"/>
      <c r="EN72" s="174"/>
      <c r="EO72" s="174"/>
      <c r="EP72" s="174"/>
      <c r="EQ72" s="174"/>
      <c r="ER72" s="174"/>
      <c r="ES72" s="174"/>
      <c r="ET72" s="174"/>
      <c r="EU72" s="174"/>
      <c r="EV72" s="174"/>
      <c r="EW72" s="174"/>
      <c r="EX72" s="174"/>
      <c r="EY72" s="174"/>
      <c r="EZ72" s="174"/>
      <c r="FA72" s="174"/>
      <c r="FB72" s="174"/>
      <c r="FC72" s="174"/>
      <c r="FD72" s="174"/>
      <c r="FE72" s="174"/>
      <c r="FF72" s="174"/>
      <c r="FG72" s="174"/>
      <c r="FH72" s="174"/>
      <c r="FI72" s="174"/>
      <c r="FJ72" s="174"/>
      <c r="FK72" s="174"/>
      <c r="FL72" s="174"/>
      <c r="FM72" s="174"/>
      <c r="FN72" s="174"/>
      <c r="FO72" s="174"/>
      <c r="FP72" s="174"/>
      <c r="FQ72" s="174"/>
      <c r="FR72" s="174"/>
      <c r="FS72" s="174"/>
      <c r="FT72" s="174"/>
      <c r="FU72" s="174"/>
      <c r="FV72" s="174"/>
      <c r="FW72" s="174"/>
      <c r="FX72" s="174"/>
      <c r="FY72" s="174"/>
      <c r="FZ72" s="174"/>
      <c r="GA72" s="174"/>
      <c r="GB72" s="174"/>
      <c r="GC72" s="174"/>
      <c r="GD72" s="174"/>
      <c r="GE72" s="174"/>
      <c r="GF72" s="174"/>
      <c r="GG72" s="174"/>
      <c r="GH72" s="174"/>
      <c r="GI72" s="174"/>
      <c r="GJ72" s="174"/>
      <c r="GK72" s="174"/>
      <c r="GL72" s="174"/>
      <c r="GM72" s="174"/>
      <c r="GN72" s="174"/>
      <c r="GO72" s="174"/>
      <c r="GP72" s="174"/>
      <c r="GQ72" s="174"/>
      <c r="GR72" s="174"/>
      <c r="GS72" s="174"/>
      <c r="GT72" s="174"/>
      <c r="GU72" s="174"/>
      <c r="GV72" s="174"/>
      <c r="GW72" s="174"/>
      <c r="GX72" s="174"/>
      <c r="GY72" s="174"/>
      <c r="GZ72" s="174"/>
      <c r="HA72" s="174"/>
      <c r="HB72" s="174"/>
      <c r="HC72" s="174"/>
      <c r="HD72" s="174"/>
      <c r="HE72" s="174"/>
      <c r="HF72" s="174"/>
      <c r="HG72" s="174"/>
      <c r="HH72" s="174"/>
      <c r="HI72" s="174"/>
      <c r="HJ72" s="174"/>
      <c r="HK72" s="174"/>
      <c r="HL72" s="174"/>
      <c r="HM72" s="174"/>
      <c r="HN72" s="174"/>
      <c r="HO72" s="174"/>
      <c r="HP72" s="174"/>
      <c r="HQ72" s="174"/>
      <c r="HR72" s="174"/>
      <c r="HS72" s="174"/>
      <c r="HT72" s="174"/>
      <c r="HU72" s="174"/>
      <c r="HV72" s="174"/>
      <c r="HW72" s="174"/>
      <c r="HX72" s="174"/>
      <c r="HY72" s="174"/>
      <c r="HZ72" s="174"/>
      <c r="IA72" s="174"/>
      <c r="IB72" s="174"/>
      <c r="IC72" s="174"/>
      <c r="ID72" s="174"/>
      <c r="IE72" s="174"/>
      <c r="IF72" s="174"/>
      <c r="IG72" s="174"/>
      <c r="IH72" s="174"/>
      <c r="II72" s="174"/>
      <c r="IJ72" s="174"/>
      <c r="IK72" s="174"/>
      <c r="IL72" s="174"/>
      <c r="IM72" s="174"/>
      <c r="IN72" s="174"/>
      <c r="IO72" s="174"/>
      <c r="IP72" s="174"/>
      <c r="IQ72" s="174"/>
      <c r="IR72" s="174"/>
      <c r="IS72" s="174"/>
      <c r="IT72" s="174"/>
      <c r="IU72" s="174"/>
      <c r="IV72" s="174"/>
      <c r="IW72" s="174"/>
      <c r="IX72" s="174"/>
      <c r="IY72" s="174"/>
      <c r="IZ72" s="174"/>
      <c r="JA72" s="174"/>
      <c r="JB72" s="174"/>
      <c r="JC72" s="174"/>
      <c r="JD72" s="174"/>
      <c r="JE72" s="174"/>
      <c r="JF72" s="174"/>
      <c r="JG72" s="174"/>
      <c r="JH72" s="174"/>
      <c r="JI72" s="174"/>
      <c r="JJ72" s="174"/>
      <c r="JK72" s="174"/>
      <c r="JL72" s="174"/>
      <c r="JM72" s="174"/>
      <c r="JN72" s="174"/>
      <c r="JO72" s="174"/>
      <c r="JP72" s="174"/>
      <c r="JQ72" s="174"/>
      <c r="JR72" s="174"/>
      <c r="JS72" s="174"/>
      <c r="JT72" s="174"/>
      <c r="JU72" s="174"/>
      <c r="JV72" s="174"/>
    </row>
    <row r="73" spans="1:282" s="146" customFormat="1">
      <c r="A73" s="232"/>
      <c r="B73" s="173"/>
      <c r="C73" s="173"/>
      <c r="D73" s="233"/>
      <c r="E73" s="228"/>
      <c r="F73" s="234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277"/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3"/>
      <c r="BV73" s="173"/>
      <c r="BW73" s="173"/>
      <c r="BX73" s="173"/>
      <c r="BY73" s="173"/>
      <c r="BZ73" s="173"/>
      <c r="CA73" s="173"/>
      <c r="CB73" s="173"/>
      <c r="CC73" s="173"/>
      <c r="CD73" s="173"/>
      <c r="CE73" s="173"/>
      <c r="CF73" s="173"/>
      <c r="CG73" s="173"/>
      <c r="CH73" s="173"/>
      <c r="CI73" s="173"/>
      <c r="CJ73" s="173"/>
      <c r="CK73" s="173"/>
      <c r="CL73" s="173"/>
      <c r="CM73" s="173"/>
      <c r="CN73" s="173"/>
      <c r="CO73" s="173"/>
      <c r="CP73" s="173"/>
      <c r="CQ73" s="173"/>
      <c r="CR73" s="151"/>
      <c r="CS73" s="173"/>
      <c r="CT73" s="173"/>
      <c r="CU73" s="173"/>
      <c r="CV73" s="173"/>
      <c r="CW73" s="173"/>
      <c r="CX73" s="173"/>
      <c r="CY73" s="173"/>
      <c r="CZ73" s="173"/>
      <c r="DA73" s="222"/>
      <c r="DB73" s="222"/>
      <c r="DC73" s="222"/>
      <c r="DD73" s="222"/>
      <c r="DE73" s="222"/>
      <c r="DF73" s="222"/>
      <c r="DG73" s="222"/>
      <c r="DH73" s="222"/>
      <c r="DI73" s="222"/>
      <c r="DJ73" s="222"/>
      <c r="DK73" s="222"/>
      <c r="DL73" s="222"/>
      <c r="DM73" s="222"/>
      <c r="DN73" s="174"/>
      <c r="DO73" s="174"/>
      <c r="DP73" s="174"/>
      <c r="DQ73" s="174"/>
      <c r="DR73" s="174"/>
      <c r="DS73" s="174"/>
      <c r="DT73" s="174"/>
      <c r="DU73" s="174"/>
      <c r="DV73" s="174"/>
      <c r="DW73" s="174"/>
      <c r="DX73" s="174"/>
      <c r="DY73" s="174"/>
      <c r="DZ73" s="174"/>
      <c r="EA73" s="174"/>
      <c r="EB73" s="174"/>
      <c r="EC73" s="174"/>
      <c r="ED73" s="174"/>
      <c r="EE73" s="174"/>
      <c r="EF73" s="174"/>
      <c r="EG73" s="174"/>
      <c r="EH73" s="174"/>
      <c r="EI73" s="174"/>
      <c r="EJ73" s="174"/>
      <c r="EK73" s="174"/>
      <c r="EL73" s="174"/>
      <c r="EM73" s="174"/>
      <c r="EN73" s="174"/>
      <c r="EO73" s="174"/>
      <c r="EP73" s="174"/>
      <c r="EQ73" s="174"/>
      <c r="ER73" s="174"/>
      <c r="ES73" s="174"/>
      <c r="ET73" s="174"/>
      <c r="EU73" s="174"/>
      <c r="EV73" s="174"/>
      <c r="EW73" s="174"/>
      <c r="EX73" s="174"/>
      <c r="EY73" s="174"/>
      <c r="EZ73" s="174"/>
      <c r="FA73" s="174"/>
      <c r="FB73" s="174"/>
      <c r="FC73" s="174"/>
      <c r="FD73" s="174"/>
      <c r="FE73" s="174"/>
      <c r="FF73" s="174"/>
      <c r="FG73" s="174"/>
      <c r="FH73" s="174"/>
      <c r="FI73" s="174"/>
      <c r="FJ73" s="174"/>
      <c r="FK73" s="174"/>
      <c r="FL73" s="174"/>
      <c r="FM73" s="174"/>
      <c r="FN73" s="174"/>
      <c r="FO73" s="174"/>
      <c r="FP73" s="174"/>
      <c r="FQ73" s="174"/>
      <c r="FR73" s="174"/>
      <c r="FS73" s="174"/>
      <c r="FT73" s="174"/>
      <c r="FU73" s="174"/>
      <c r="FV73" s="174"/>
      <c r="FW73" s="174"/>
      <c r="FX73" s="174"/>
      <c r="FY73" s="174"/>
      <c r="FZ73" s="174"/>
      <c r="GA73" s="174"/>
      <c r="GB73" s="174"/>
      <c r="GC73" s="174"/>
      <c r="GD73" s="174"/>
      <c r="GE73" s="174"/>
      <c r="GF73" s="174"/>
      <c r="GG73" s="174"/>
      <c r="GH73" s="174"/>
      <c r="GI73" s="174"/>
      <c r="GJ73" s="174"/>
      <c r="GK73" s="174"/>
      <c r="GL73" s="174"/>
      <c r="GM73" s="174"/>
      <c r="GN73" s="174"/>
      <c r="GO73" s="174"/>
      <c r="GP73" s="174"/>
      <c r="GQ73" s="174"/>
      <c r="GR73" s="174"/>
      <c r="GS73" s="174"/>
      <c r="GT73" s="174"/>
      <c r="GU73" s="174"/>
      <c r="GV73" s="174"/>
      <c r="GW73" s="174"/>
      <c r="GX73" s="174"/>
      <c r="GY73" s="174"/>
      <c r="GZ73" s="174"/>
      <c r="HA73" s="174"/>
      <c r="HB73" s="174"/>
      <c r="HC73" s="174"/>
      <c r="HD73" s="174"/>
      <c r="HE73" s="174"/>
      <c r="HF73" s="174"/>
      <c r="HG73" s="174"/>
      <c r="HH73" s="174"/>
      <c r="HI73" s="174"/>
      <c r="HJ73" s="174"/>
      <c r="HK73" s="174"/>
      <c r="HL73" s="174"/>
      <c r="HM73" s="174"/>
      <c r="HN73" s="174"/>
      <c r="HO73" s="174"/>
      <c r="HP73" s="174"/>
      <c r="HQ73" s="174"/>
      <c r="HR73" s="174"/>
      <c r="HS73" s="174"/>
      <c r="HT73" s="174"/>
      <c r="HU73" s="174"/>
      <c r="HV73" s="174"/>
      <c r="HW73" s="174"/>
      <c r="HX73" s="174"/>
      <c r="HY73" s="174"/>
      <c r="HZ73" s="174"/>
      <c r="IA73" s="174"/>
      <c r="IB73" s="174"/>
      <c r="IC73" s="174"/>
      <c r="ID73" s="174"/>
      <c r="IE73" s="174"/>
      <c r="IF73" s="174"/>
      <c r="IG73" s="174"/>
      <c r="IH73" s="174"/>
      <c r="II73" s="174"/>
      <c r="IJ73" s="174"/>
      <c r="IK73" s="174"/>
      <c r="IL73" s="174"/>
      <c r="IM73" s="174"/>
      <c r="IN73" s="174"/>
      <c r="IO73" s="174"/>
      <c r="IP73" s="174"/>
      <c r="IQ73" s="174"/>
      <c r="IR73" s="174"/>
      <c r="IS73" s="174"/>
      <c r="IT73" s="174"/>
      <c r="IU73" s="174"/>
      <c r="IV73" s="174"/>
      <c r="IW73" s="174"/>
      <c r="IX73" s="174"/>
      <c r="IY73" s="174"/>
      <c r="IZ73" s="174"/>
      <c r="JA73" s="174"/>
      <c r="JB73" s="174"/>
      <c r="JC73" s="174"/>
      <c r="JD73" s="174"/>
      <c r="JE73" s="174"/>
      <c r="JF73" s="174"/>
      <c r="JG73" s="174"/>
      <c r="JH73" s="174"/>
      <c r="JI73" s="174"/>
      <c r="JJ73" s="174"/>
      <c r="JK73" s="174"/>
      <c r="JL73" s="174"/>
      <c r="JM73" s="174"/>
      <c r="JN73" s="174"/>
      <c r="JO73" s="174"/>
      <c r="JP73" s="174"/>
      <c r="JQ73" s="174"/>
      <c r="JR73" s="174"/>
      <c r="JS73" s="174"/>
      <c r="JT73" s="174"/>
      <c r="JU73" s="174"/>
      <c r="JV73" s="174"/>
    </row>
    <row r="74" spans="1:282" s="146" customFormat="1">
      <c r="A74" s="232"/>
      <c r="B74" s="173"/>
      <c r="C74" s="173"/>
      <c r="D74" s="233"/>
      <c r="E74" s="228"/>
      <c r="F74" s="234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  <c r="AT74" s="173"/>
      <c r="AU74" s="173"/>
      <c r="AV74" s="173"/>
      <c r="AW74" s="173"/>
      <c r="AX74" s="173"/>
      <c r="AY74" s="173"/>
      <c r="AZ74" s="173"/>
      <c r="BA74" s="276"/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73"/>
      <c r="BP74" s="173"/>
      <c r="BQ74" s="173"/>
      <c r="BR74" s="173"/>
      <c r="BS74" s="173"/>
      <c r="BT74" s="173"/>
      <c r="BU74" s="173"/>
      <c r="BV74" s="173"/>
      <c r="BW74" s="173"/>
      <c r="BX74" s="173"/>
      <c r="BY74" s="173"/>
      <c r="BZ74" s="173"/>
      <c r="CA74" s="173"/>
      <c r="CB74" s="173"/>
      <c r="CC74" s="173"/>
      <c r="CD74" s="173"/>
      <c r="CE74" s="173"/>
      <c r="CF74" s="173"/>
      <c r="CG74" s="173"/>
      <c r="CH74" s="173"/>
      <c r="CI74" s="173"/>
      <c r="CJ74" s="173"/>
      <c r="CK74" s="173"/>
      <c r="CL74" s="173"/>
      <c r="CM74" s="173"/>
      <c r="CN74" s="173"/>
      <c r="CO74" s="173"/>
      <c r="CP74" s="173"/>
      <c r="CQ74" s="173"/>
      <c r="CR74" s="151"/>
      <c r="CS74" s="173"/>
      <c r="CT74" s="173"/>
      <c r="CU74" s="173"/>
      <c r="CV74" s="173"/>
      <c r="CW74" s="173"/>
      <c r="CX74" s="173"/>
      <c r="CY74" s="173"/>
      <c r="CZ74" s="173"/>
      <c r="DA74" s="222"/>
      <c r="DB74" s="222"/>
      <c r="DC74" s="222"/>
      <c r="DD74" s="222"/>
      <c r="DE74" s="222"/>
      <c r="DF74" s="222"/>
      <c r="DG74" s="222"/>
      <c r="DH74" s="222"/>
      <c r="DI74" s="222"/>
      <c r="DJ74" s="222"/>
      <c r="DK74" s="222"/>
      <c r="DL74" s="222"/>
      <c r="DM74" s="222"/>
      <c r="DN74" s="174"/>
      <c r="DO74" s="174"/>
      <c r="DP74" s="174"/>
      <c r="DQ74" s="174"/>
      <c r="DR74" s="174"/>
      <c r="DS74" s="174"/>
      <c r="DT74" s="174"/>
      <c r="DU74" s="174"/>
      <c r="DV74" s="174"/>
      <c r="DW74" s="174"/>
      <c r="DX74" s="174"/>
      <c r="DY74" s="174"/>
      <c r="DZ74" s="174"/>
      <c r="EA74" s="174"/>
      <c r="EB74" s="174"/>
      <c r="EC74" s="174"/>
      <c r="ED74" s="174"/>
      <c r="EE74" s="174"/>
      <c r="EF74" s="174"/>
      <c r="EG74" s="174"/>
      <c r="EH74" s="174"/>
      <c r="EI74" s="174"/>
      <c r="EJ74" s="174"/>
      <c r="EK74" s="174"/>
      <c r="EL74" s="174"/>
      <c r="EM74" s="174"/>
      <c r="EN74" s="174"/>
      <c r="EO74" s="174"/>
      <c r="EP74" s="174"/>
      <c r="EQ74" s="174"/>
      <c r="ER74" s="174"/>
      <c r="ES74" s="174"/>
      <c r="ET74" s="174"/>
      <c r="EU74" s="174"/>
      <c r="EV74" s="174"/>
      <c r="EW74" s="174"/>
      <c r="EX74" s="174"/>
      <c r="EY74" s="174"/>
      <c r="EZ74" s="174"/>
      <c r="FA74" s="174"/>
      <c r="FB74" s="174"/>
      <c r="FC74" s="174"/>
      <c r="FD74" s="174"/>
      <c r="FE74" s="174"/>
      <c r="FF74" s="174"/>
      <c r="FG74" s="174"/>
      <c r="FH74" s="174"/>
      <c r="FI74" s="174"/>
      <c r="FJ74" s="174"/>
      <c r="FK74" s="174"/>
      <c r="FL74" s="174"/>
      <c r="FM74" s="174"/>
      <c r="FN74" s="174"/>
      <c r="FO74" s="174"/>
      <c r="FP74" s="174"/>
      <c r="FQ74" s="174"/>
      <c r="FR74" s="174"/>
      <c r="FS74" s="174"/>
      <c r="FT74" s="174"/>
      <c r="FU74" s="174"/>
      <c r="FV74" s="174"/>
      <c r="FW74" s="174"/>
      <c r="FX74" s="174"/>
      <c r="FY74" s="174"/>
      <c r="FZ74" s="174"/>
      <c r="GA74" s="174"/>
      <c r="GB74" s="174"/>
      <c r="GC74" s="174"/>
      <c r="GD74" s="174"/>
      <c r="GE74" s="174"/>
      <c r="GF74" s="174"/>
      <c r="GG74" s="174"/>
      <c r="GH74" s="174"/>
      <c r="GI74" s="174"/>
      <c r="GJ74" s="174"/>
      <c r="GK74" s="174"/>
      <c r="GL74" s="174"/>
      <c r="GM74" s="174"/>
      <c r="GN74" s="174"/>
      <c r="GO74" s="174"/>
      <c r="GP74" s="174"/>
      <c r="GQ74" s="174"/>
      <c r="GR74" s="174"/>
      <c r="GS74" s="174"/>
      <c r="GT74" s="174"/>
      <c r="GU74" s="174"/>
      <c r="GV74" s="174"/>
      <c r="GW74" s="174"/>
      <c r="GX74" s="174"/>
      <c r="GY74" s="174"/>
      <c r="GZ74" s="174"/>
      <c r="HA74" s="174"/>
      <c r="HB74" s="174"/>
      <c r="HC74" s="174"/>
      <c r="HD74" s="174"/>
      <c r="HE74" s="174"/>
      <c r="HF74" s="174"/>
      <c r="HG74" s="174"/>
      <c r="HH74" s="174"/>
      <c r="HI74" s="174"/>
      <c r="HJ74" s="174"/>
      <c r="HK74" s="174"/>
      <c r="HL74" s="174"/>
      <c r="HM74" s="174"/>
      <c r="HN74" s="174"/>
      <c r="HO74" s="174"/>
      <c r="HP74" s="174"/>
      <c r="HQ74" s="174"/>
      <c r="HR74" s="174"/>
      <c r="HS74" s="174"/>
      <c r="HT74" s="174"/>
      <c r="HU74" s="174"/>
      <c r="HV74" s="174"/>
      <c r="HW74" s="174"/>
      <c r="HX74" s="174"/>
      <c r="HY74" s="174"/>
      <c r="HZ74" s="174"/>
      <c r="IA74" s="174"/>
      <c r="IB74" s="174"/>
      <c r="IC74" s="174"/>
      <c r="ID74" s="174"/>
      <c r="IE74" s="174"/>
      <c r="IF74" s="174"/>
      <c r="IG74" s="174"/>
      <c r="IH74" s="174"/>
      <c r="II74" s="174"/>
      <c r="IJ74" s="174"/>
      <c r="IK74" s="174"/>
      <c r="IL74" s="174"/>
      <c r="IM74" s="174"/>
      <c r="IN74" s="174"/>
      <c r="IO74" s="174"/>
      <c r="IP74" s="174"/>
      <c r="IQ74" s="174"/>
      <c r="IR74" s="174"/>
      <c r="IS74" s="174"/>
      <c r="IT74" s="174"/>
      <c r="IU74" s="174"/>
      <c r="IV74" s="174"/>
      <c r="IW74" s="174"/>
      <c r="IX74" s="174"/>
      <c r="IY74" s="174"/>
      <c r="IZ74" s="174"/>
      <c r="JA74" s="174"/>
      <c r="JB74" s="174"/>
      <c r="JC74" s="174"/>
      <c r="JD74" s="174"/>
      <c r="JE74" s="174"/>
      <c r="JF74" s="174"/>
      <c r="JG74" s="174"/>
      <c r="JH74" s="174"/>
      <c r="JI74" s="174"/>
      <c r="JJ74" s="174"/>
      <c r="JK74" s="174"/>
      <c r="JL74" s="174"/>
      <c r="JM74" s="174"/>
      <c r="JN74" s="174"/>
      <c r="JO74" s="174"/>
      <c r="JP74" s="174"/>
      <c r="JQ74" s="174"/>
      <c r="JR74" s="174"/>
      <c r="JS74" s="174"/>
      <c r="JT74" s="174"/>
      <c r="JU74" s="174"/>
      <c r="JV74" s="174"/>
    </row>
    <row r="75" spans="1:282" s="146" customFormat="1">
      <c r="A75" s="232"/>
      <c r="B75" s="173"/>
      <c r="C75" s="173"/>
      <c r="D75" s="233"/>
      <c r="E75" s="228"/>
      <c r="F75" s="234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277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173"/>
      <c r="BQ75" s="173"/>
      <c r="BR75" s="173"/>
      <c r="BS75" s="173"/>
      <c r="BT75" s="173"/>
      <c r="BU75" s="173"/>
      <c r="BV75" s="173"/>
      <c r="BW75" s="173"/>
      <c r="BX75" s="173"/>
      <c r="BY75" s="173"/>
      <c r="BZ75" s="173"/>
      <c r="CA75" s="173"/>
      <c r="CB75" s="173"/>
      <c r="CC75" s="173"/>
      <c r="CD75" s="173"/>
      <c r="CE75" s="173"/>
      <c r="CF75" s="173"/>
      <c r="CG75" s="173"/>
      <c r="CH75" s="173"/>
      <c r="CI75" s="173"/>
      <c r="CJ75" s="173"/>
      <c r="CK75" s="173"/>
      <c r="CL75" s="173"/>
      <c r="CM75" s="173"/>
      <c r="CN75" s="173"/>
      <c r="CO75" s="173"/>
      <c r="CP75" s="173"/>
      <c r="CQ75" s="173"/>
      <c r="CR75" s="151"/>
      <c r="CS75" s="173"/>
      <c r="CT75" s="173"/>
      <c r="CU75" s="173"/>
      <c r="CV75" s="173"/>
      <c r="CW75" s="173"/>
      <c r="CX75" s="173"/>
      <c r="CY75" s="173"/>
      <c r="CZ75" s="173"/>
      <c r="DA75" s="222"/>
      <c r="DB75" s="222"/>
      <c r="DC75" s="222"/>
      <c r="DD75" s="222"/>
      <c r="DE75" s="222"/>
      <c r="DF75" s="222"/>
      <c r="DG75" s="222"/>
      <c r="DH75" s="222"/>
      <c r="DI75" s="222"/>
      <c r="DJ75" s="222"/>
      <c r="DK75" s="222"/>
      <c r="DL75" s="222"/>
      <c r="DM75" s="222"/>
      <c r="DN75" s="174"/>
      <c r="DO75" s="174"/>
      <c r="DP75" s="174"/>
      <c r="DQ75" s="174"/>
      <c r="DR75" s="174"/>
      <c r="DS75" s="174"/>
      <c r="DT75" s="174"/>
      <c r="DU75" s="174"/>
      <c r="DV75" s="174"/>
      <c r="DW75" s="174"/>
      <c r="DX75" s="174"/>
      <c r="DY75" s="174"/>
      <c r="DZ75" s="174"/>
      <c r="EA75" s="174"/>
      <c r="EB75" s="174"/>
      <c r="EC75" s="174"/>
      <c r="ED75" s="174"/>
      <c r="EE75" s="174"/>
      <c r="EF75" s="174"/>
      <c r="EG75" s="174"/>
      <c r="EH75" s="174"/>
      <c r="EI75" s="174"/>
      <c r="EJ75" s="174"/>
      <c r="EK75" s="174"/>
      <c r="EL75" s="174"/>
      <c r="EM75" s="174"/>
      <c r="EN75" s="174"/>
      <c r="EO75" s="174"/>
      <c r="EP75" s="174"/>
      <c r="EQ75" s="174"/>
      <c r="ER75" s="174"/>
      <c r="ES75" s="174"/>
      <c r="ET75" s="174"/>
      <c r="EU75" s="174"/>
      <c r="EV75" s="174"/>
      <c r="EW75" s="174"/>
      <c r="EX75" s="174"/>
      <c r="EY75" s="174"/>
      <c r="EZ75" s="174"/>
      <c r="FA75" s="174"/>
      <c r="FB75" s="174"/>
      <c r="FC75" s="174"/>
      <c r="FD75" s="174"/>
      <c r="FE75" s="174"/>
      <c r="FF75" s="174"/>
      <c r="FG75" s="174"/>
      <c r="FH75" s="174"/>
      <c r="FI75" s="174"/>
      <c r="FJ75" s="174"/>
      <c r="FK75" s="174"/>
      <c r="FL75" s="174"/>
      <c r="FM75" s="174"/>
      <c r="FN75" s="174"/>
      <c r="FO75" s="174"/>
      <c r="FP75" s="174"/>
      <c r="FQ75" s="174"/>
      <c r="FR75" s="174"/>
      <c r="FS75" s="174"/>
      <c r="FT75" s="174"/>
      <c r="FU75" s="174"/>
      <c r="FV75" s="174"/>
      <c r="FW75" s="174"/>
      <c r="FX75" s="174"/>
      <c r="FY75" s="174"/>
      <c r="FZ75" s="174"/>
      <c r="GA75" s="174"/>
      <c r="GB75" s="174"/>
      <c r="GC75" s="174"/>
      <c r="GD75" s="174"/>
      <c r="GE75" s="174"/>
      <c r="GF75" s="174"/>
      <c r="GG75" s="174"/>
      <c r="GH75" s="174"/>
      <c r="GI75" s="174"/>
      <c r="GJ75" s="174"/>
      <c r="GK75" s="174"/>
      <c r="GL75" s="174"/>
      <c r="GM75" s="174"/>
      <c r="GN75" s="174"/>
      <c r="GO75" s="174"/>
      <c r="GP75" s="174"/>
      <c r="GQ75" s="174"/>
      <c r="GR75" s="174"/>
      <c r="GS75" s="174"/>
      <c r="GT75" s="174"/>
      <c r="GU75" s="174"/>
      <c r="GV75" s="174"/>
      <c r="GW75" s="174"/>
      <c r="GX75" s="174"/>
      <c r="GY75" s="174"/>
      <c r="GZ75" s="174"/>
      <c r="HA75" s="174"/>
      <c r="HB75" s="174"/>
      <c r="HC75" s="174"/>
      <c r="HD75" s="174"/>
      <c r="HE75" s="174"/>
      <c r="HF75" s="174"/>
      <c r="HG75" s="174"/>
      <c r="HH75" s="174"/>
      <c r="HI75" s="174"/>
      <c r="HJ75" s="174"/>
      <c r="HK75" s="174"/>
      <c r="HL75" s="174"/>
      <c r="HM75" s="174"/>
      <c r="HN75" s="174"/>
      <c r="HO75" s="174"/>
      <c r="HP75" s="174"/>
      <c r="HQ75" s="174"/>
      <c r="HR75" s="174"/>
      <c r="HS75" s="174"/>
      <c r="HT75" s="174"/>
      <c r="HU75" s="174"/>
      <c r="HV75" s="174"/>
      <c r="HW75" s="174"/>
      <c r="HX75" s="174"/>
      <c r="HY75" s="174"/>
      <c r="HZ75" s="174"/>
      <c r="IA75" s="174"/>
      <c r="IB75" s="174"/>
      <c r="IC75" s="174"/>
      <c r="ID75" s="174"/>
      <c r="IE75" s="174"/>
      <c r="IF75" s="174"/>
      <c r="IG75" s="174"/>
      <c r="IH75" s="174"/>
      <c r="II75" s="174"/>
      <c r="IJ75" s="174"/>
      <c r="IK75" s="174"/>
      <c r="IL75" s="174"/>
      <c r="IM75" s="174"/>
      <c r="IN75" s="174"/>
      <c r="IO75" s="174"/>
      <c r="IP75" s="174"/>
      <c r="IQ75" s="174"/>
      <c r="IR75" s="174"/>
      <c r="IS75" s="174"/>
      <c r="IT75" s="174"/>
      <c r="IU75" s="174"/>
      <c r="IV75" s="174"/>
      <c r="IW75" s="174"/>
      <c r="IX75" s="174"/>
      <c r="IY75" s="174"/>
      <c r="IZ75" s="174"/>
      <c r="JA75" s="174"/>
      <c r="JB75" s="174"/>
      <c r="JC75" s="174"/>
      <c r="JD75" s="174"/>
      <c r="JE75" s="174"/>
      <c r="JF75" s="174"/>
      <c r="JG75" s="174"/>
      <c r="JH75" s="174"/>
      <c r="JI75" s="174"/>
      <c r="JJ75" s="174"/>
      <c r="JK75" s="174"/>
      <c r="JL75" s="174"/>
      <c r="JM75" s="174"/>
      <c r="JN75" s="174"/>
      <c r="JO75" s="174"/>
      <c r="JP75" s="174"/>
      <c r="JQ75" s="174"/>
      <c r="JR75" s="174"/>
      <c r="JS75" s="174"/>
      <c r="JT75" s="174"/>
      <c r="JU75" s="174"/>
      <c r="JV75" s="174"/>
    </row>
    <row r="76" spans="1:282" s="146" customFormat="1">
      <c r="A76" s="232"/>
      <c r="B76" s="173"/>
      <c r="C76" s="173"/>
      <c r="D76" s="233"/>
      <c r="E76" s="228"/>
      <c r="F76" s="234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  <c r="AT76" s="173"/>
      <c r="AU76" s="173"/>
      <c r="AV76" s="173"/>
      <c r="AW76" s="173"/>
      <c r="AX76" s="173"/>
      <c r="AY76" s="173"/>
      <c r="AZ76" s="173"/>
      <c r="BA76" s="277"/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3"/>
      <c r="BV76" s="173"/>
      <c r="BW76" s="173"/>
      <c r="BX76" s="173"/>
      <c r="BY76" s="173"/>
      <c r="BZ76" s="173"/>
      <c r="CA76" s="173"/>
      <c r="CB76" s="173"/>
      <c r="CC76" s="173"/>
      <c r="CD76" s="173"/>
      <c r="CE76" s="173"/>
      <c r="CF76" s="173"/>
      <c r="CG76" s="173"/>
      <c r="CH76" s="173"/>
      <c r="CI76" s="173"/>
      <c r="CJ76" s="173"/>
      <c r="CK76" s="173"/>
      <c r="CL76" s="173"/>
      <c r="CM76" s="173"/>
      <c r="CN76" s="173"/>
      <c r="CO76" s="173"/>
      <c r="CP76" s="173"/>
      <c r="CQ76" s="173"/>
      <c r="CR76" s="151"/>
      <c r="CS76" s="173"/>
      <c r="CT76" s="173"/>
      <c r="CU76" s="173"/>
      <c r="CV76" s="173"/>
      <c r="CW76" s="173"/>
      <c r="CX76" s="173"/>
      <c r="CY76" s="173"/>
      <c r="CZ76" s="173"/>
      <c r="DA76" s="150"/>
      <c r="DB76" s="150"/>
      <c r="DC76" s="150"/>
      <c r="DD76" s="150"/>
      <c r="DE76" s="150"/>
      <c r="DF76" s="150"/>
      <c r="DG76" s="150"/>
      <c r="DH76" s="150"/>
      <c r="DI76" s="150"/>
      <c r="DJ76" s="150"/>
      <c r="DK76" s="222"/>
      <c r="DL76" s="222"/>
      <c r="DM76" s="222"/>
      <c r="DN76" s="174"/>
      <c r="DO76" s="174"/>
      <c r="DP76" s="174"/>
      <c r="DQ76" s="174"/>
      <c r="DR76" s="174"/>
      <c r="DS76" s="174"/>
      <c r="DT76" s="174"/>
      <c r="DU76" s="174"/>
      <c r="DV76" s="174"/>
      <c r="DW76" s="174"/>
      <c r="DX76" s="174"/>
      <c r="DY76" s="174"/>
      <c r="DZ76" s="174"/>
      <c r="EA76" s="174"/>
      <c r="EB76" s="174"/>
      <c r="EC76" s="174"/>
      <c r="ED76" s="174"/>
      <c r="EE76" s="174"/>
      <c r="EF76" s="174"/>
      <c r="EG76" s="174"/>
      <c r="EH76" s="174"/>
      <c r="EI76" s="174"/>
      <c r="EJ76" s="174"/>
      <c r="EK76" s="174"/>
      <c r="EL76" s="174"/>
      <c r="EM76" s="174"/>
      <c r="EN76" s="174"/>
      <c r="EO76" s="174"/>
      <c r="EP76" s="174"/>
      <c r="EQ76" s="174"/>
      <c r="ER76" s="174"/>
      <c r="ES76" s="174"/>
      <c r="ET76" s="174"/>
      <c r="EU76" s="174"/>
      <c r="EV76" s="174"/>
      <c r="EW76" s="174"/>
      <c r="EX76" s="174"/>
      <c r="EY76" s="174"/>
      <c r="EZ76" s="174"/>
      <c r="FA76" s="174"/>
      <c r="FB76" s="174"/>
      <c r="FC76" s="174"/>
      <c r="FD76" s="174"/>
      <c r="FE76" s="174"/>
      <c r="FF76" s="174"/>
      <c r="FG76" s="174"/>
      <c r="FH76" s="174"/>
      <c r="FI76" s="174"/>
      <c r="FJ76" s="174"/>
      <c r="FK76" s="174"/>
      <c r="FL76" s="174"/>
      <c r="FM76" s="174"/>
      <c r="FN76" s="174"/>
      <c r="FO76" s="174"/>
      <c r="FP76" s="174"/>
      <c r="FQ76" s="174"/>
      <c r="FR76" s="174"/>
      <c r="FS76" s="174"/>
      <c r="FT76" s="174"/>
      <c r="FU76" s="174"/>
      <c r="FV76" s="174"/>
      <c r="FW76" s="174"/>
      <c r="FX76" s="174"/>
      <c r="FY76" s="174"/>
      <c r="FZ76" s="174"/>
      <c r="GA76" s="174"/>
      <c r="GB76" s="174"/>
      <c r="GC76" s="174"/>
      <c r="GD76" s="174"/>
      <c r="GE76" s="174"/>
      <c r="GF76" s="174"/>
      <c r="GG76" s="174"/>
      <c r="GH76" s="174"/>
      <c r="GI76" s="174"/>
      <c r="GJ76" s="174"/>
      <c r="GK76" s="174"/>
      <c r="GL76" s="174"/>
      <c r="GM76" s="174"/>
      <c r="GN76" s="174"/>
      <c r="GO76" s="174"/>
      <c r="GP76" s="174"/>
      <c r="GQ76" s="174"/>
      <c r="GR76" s="174"/>
      <c r="GS76" s="174"/>
      <c r="GT76" s="174"/>
      <c r="GU76" s="174"/>
      <c r="GV76" s="174"/>
      <c r="GW76" s="174"/>
      <c r="GX76" s="174"/>
      <c r="GY76" s="174"/>
      <c r="GZ76" s="174"/>
      <c r="HA76" s="174"/>
      <c r="HB76" s="174"/>
      <c r="HC76" s="174"/>
      <c r="HD76" s="174"/>
      <c r="HE76" s="174"/>
      <c r="HF76" s="174"/>
      <c r="HG76" s="174"/>
      <c r="HH76" s="174"/>
      <c r="HI76" s="174"/>
      <c r="HJ76" s="174"/>
      <c r="HK76" s="174"/>
      <c r="HL76" s="174"/>
      <c r="HM76" s="174"/>
      <c r="HN76" s="174"/>
      <c r="HO76" s="174"/>
      <c r="HP76" s="174"/>
      <c r="HQ76" s="174"/>
      <c r="HR76" s="174"/>
      <c r="HS76" s="174"/>
      <c r="HT76" s="174"/>
      <c r="HU76" s="174"/>
      <c r="HV76" s="174"/>
      <c r="HW76" s="174"/>
      <c r="HX76" s="174"/>
      <c r="HY76" s="174"/>
      <c r="HZ76" s="174"/>
      <c r="IA76" s="174"/>
      <c r="IB76" s="174"/>
      <c r="IC76" s="174"/>
      <c r="ID76" s="174"/>
      <c r="IE76" s="174"/>
      <c r="IF76" s="174"/>
      <c r="IG76" s="174"/>
      <c r="IH76" s="174"/>
      <c r="II76" s="174"/>
      <c r="IJ76" s="174"/>
      <c r="IK76" s="174"/>
      <c r="IL76" s="174"/>
      <c r="IM76" s="174"/>
      <c r="IN76" s="174"/>
      <c r="IO76" s="174"/>
      <c r="IP76" s="174"/>
      <c r="IQ76" s="174"/>
      <c r="IR76" s="174"/>
      <c r="IS76" s="174"/>
      <c r="IT76" s="174"/>
      <c r="IU76" s="174"/>
      <c r="IV76" s="174"/>
      <c r="IW76" s="174"/>
      <c r="IX76" s="174"/>
      <c r="IY76" s="174"/>
      <c r="IZ76" s="174"/>
      <c r="JA76" s="174"/>
      <c r="JB76" s="174"/>
      <c r="JC76" s="174"/>
      <c r="JD76" s="174"/>
      <c r="JE76" s="174"/>
      <c r="JF76" s="174"/>
      <c r="JG76" s="174"/>
      <c r="JH76" s="174"/>
      <c r="JI76" s="174"/>
      <c r="JJ76" s="174"/>
      <c r="JK76" s="174"/>
      <c r="JL76" s="174"/>
      <c r="JM76" s="174"/>
      <c r="JN76" s="174"/>
      <c r="JO76" s="174"/>
      <c r="JP76" s="174"/>
      <c r="JQ76" s="174"/>
      <c r="JR76" s="174"/>
      <c r="JS76" s="174"/>
      <c r="JT76" s="174"/>
      <c r="JU76" s="174"/>
      <c r="JV76" s="174"/>
    </row>
    <row r="77" spans="1:282" s="146" customFormat="1">
      <c r="A77" s="232"/>
      <c r="B77" s="173"/>
      <c r="C77" s="173"/>
      <c r="D77" s="233"/>
      <c r="E77" s="228"/>
      <c r="F77" s="234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3"/>
      <c r="AU77" s="173"/>
      <c r="AV77" s="173"/>
      <c r="AW77" s="173"/>
      <c r="AX77" s="173"/>
      <c r="AY77" s="173"/>
      <c r="AZ77" s="173"/>
      <c r="BA77" s="277"/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173"/>
      <c r="BP77" s="173"/>
      <c r="BQ77" s="173"/>
      <c r="BR77" s="173"/>
      <c r="BS77" s="173"/>
      <c r="BT77" s="173"/>
      <c r="BU77" s="173"/>
      <c r="BV77" s="173"/>
      <c r="BW77" s="173"/>
      <c r="BX77" s="173"/>
      <c r="BY77" s="173"/>
      <c r="BZ77" s="173"/>
      <c r="CA77" s="173"/>
      <c r="CB77" s="173"/>
      <c r="CC77" s="173"/>
      <c r="CD77" s="173"/>
      <c r="CE77" s="173"/>
      <c r="CF77" s="173"/>
      <c r="CG77" s="173"/>
      <c r="CH77" s="173"/>
      <c r="CI77" s="173"/>
      <c r="CJ77" s="173"/>
      <c r="CK77" s="173"/>
      <c r="CL77" s="173"/>
      <c r="CM77" s="173"/>
      <c r="CN77" s="173"/>
      <c r="CO77" s="173"/>
      <c r="CP77" s="173"/>
      <c r="CQ77" s="173"/>
      <c r="CR77" s="151"/>
      <c r="CS77" s="173"/>
      <c r="CT77" s="173"/>
      <c r="CU77" s="173"/>
      <c r="CV77" s="173"/>
      <c r="CW77" s="173"/>
      <c r="CX77" s="173"/>
      <c r="CY77" s="173"/>
      <c r="CZ77" s="173"/>
      <c r="DA77" s="222"/>
      <c r="DB77" s="222"/>
      <c r="DC77" s="222"/>
      <c r="DD77" s="222"/>
      <c r="DE77" s="222"/>
      <c r="DF77" s="222"/>
      <c r="DG77" s="222"/>
      <c r="DH77" s="222"/>
      <c r="DI77" s="222"/>
      <c r="DJ77" s="222"/>
      <c r="DK77" s="222"/>
      <c r="DL77" s="222"/>
      <c r="DM77" s="222"/>
      <c r="DN77" s="174"/>
      <c r="DO77" s="174"/>
      <c r="DP77" s="174"/>
      <c r="DQ77" s="174"/>
      <c r="DR77" s="174"/>
      <c r="DS77" s="174"/>
      <c r="DT77" s="174"/>
      <c r="DU77" s="174"/>
      <c r="DV77" s="174"/>
      <c r="DW77" s="174"/>
      <c r="DX77" s="174"/>
      <c r="DY77" s="174"/>
      <c r="DZ77" s="174"/>
      <c r="EA77" s="174"/>
      <c r="EB77" s="174"/>
      <c r="EC77" s="174"/>
      <c r="ED77" s="174"/>
      <c r="EE77" s="174"/>
      <c r="EF77" s="174"/>
      <c r="EG77" s="174"/>
      <c r="EH77" s="174"/>
      <c r="EI77" s="174"/>
      <c r="EJ77" s="174"/>
      <c r="EK77" s="174"/>
      <c r="EL77" s="174"/>
      <c r="EM77" s="174"/>
      <c r="EN77" s="174"/>
      <c r="EO77" s="174"/>
      <c r="EP77" s="174"/>
      <c r="EQ77" s="174"/>
      <c r="ER77" s="174"/>
      <c r="ES77" s="174"/>
      <c r="ET77" s="174"/>
      <c r="EU77" s="174"/>
      <c r="EV77" s="174"/>
      <c r="EW77" s="174"/>
      <c r="EX77" s="174"/>
      <c r="EY77" s="174"/>
      <c r="EZ77" s="174"/>
      <c r="FA77" s="174"/>
      <c r="FB77" s="174"/>
      <c r="FC77" s="174"/>
      <c r="FD77" s="174"/>
      <c r="FE77" s="174"/>
      <c r="FF77" s="174"/>
      <c r="FG77" s="174"/>
      <c r="FH77" s="174"/>
      <c r="FI77" s="174"/>
      <c r="FJ77" s="174"/>
      <c r="FK77" s="174"/>
      <c r="FL77" s="174"/>
      <c r="FM77" s="174"/>
      <c r="FN77" s="174"/>
      <c r="FO77" s="174"/>
      <c r="FP77" s="174"/>
      <c r="FQ77" s="174"/>
      <c r="FR77" s="174"/>
      <c r="FS77" s="174"/>
      <c r="FT77" s="174"/>
      <c r="FU77" s="174"/>
      <c r="FV77" s="174"/>
      <c r="FW77" s="174"/>
      <c r="FX77" s="174"/>
      <c r="FY77" s="174"/>
      <c r="FZ77" s="174"/>
      <c r="GA77" s="174"/>
      <c r="GB77" s="174"/>
      <c r="GC77" s="174"/>
      <c r="GD77" s="174"/>
      <c r="GE77" s="174"/>
      <c r="GF77" s="174"/>
      <c r="GG77" s="174"/>
      <c r="GH77" s="174"/>
      <c r="GI77" s="174"/>
      <c r="GJ77" s="174"/>
      <c r="GK77" s="174"/>
      <c r="GL77" s="174"/>
      <c r="GM77" s="174"/>
      <c r="GN77" s="174"/>
      <c r="GO77" s="174"/>
      <c r="GP77" s="174"/>
      <c r="GQ77" s="174"/>
      <c r="GR77" s="174"/>
      <c r="GS77" s="174"/>
      <c r="GT77" s="174"/>
      <c r="GU77" s="174"/>
      <c r="GV77" s="174"/>
      <c r="GW77" s="174"/>
      <c r="GX77" s="174"/>
      <c r="GY77" s="174"/>
      <c r="GZ77" s="174"/>
      <c r="HA77" s="174"/>
      <c r="HB77" s="174"/>
      <c r="HC77" s="174"/>
      <c r="HD77" s="174"/>
      <c r="HE77" s="174"/>
      <c r="HF77" s="174"/>
      <c r="HG77" s="174"/>
      <c r="HH77" s="174"/>
      <c r="HI77" s="174"/>
      <c r="HJ77" s="174"/>
      <c r="HK77" s="174"/>
      <c r="HL77" s="174"/>
      <c r="HM77" s="174"/>
      <c r="HN77" s="174"/>
      <c r="HO77" s="174"/>
      <c r="HP77" s="174"/>
      <c r="HQ77" s="174"/>
      <c r="HR77" s="174"/>
      <c r="HS77" s="174"/>
      <c r="HT77" s="174"/>
      <c r="HU77" s="174"/>
      <c r="HV77" s="174"/>
      <c r="HW77" s="174"/>
      <c r="HX77" s="174"/>
      <c r="HY77" s="174"/>
      <c r="HZ77" s="174"/>
      <c r="IA77" s="174"/>
      <c r="IB77" s="174"/>
      <c r="IC77" s="174"/>
      <c r="ID77" s="174"/>
      <c r="IE77" s="174"/>
      <c r="IF77" s="174"/>
      <c r="IG77" s="174"/>
      <c r="IH77" s="174"/>
      <c r="II77" s="174"/>
      <c r="IJ77" s="174"/>
      <c r="IK77" s="174"/>
      <c r="IL77" s="174"/>
      <c r="IM77" s="174"/>
      <c r="IN77" s="174"/>
      <c r="IO77" s="174"/>
      <c r="IP77" s="174"/>
      <c r="IQ77" s="174"/>
      <c r="IR77" s="174"/>
      <c r="IS77" s="174"/>
      <c r="IT77" s="174"/>
      <c r="IU77" s="174"/>
      <c r="IV77" s="174"/>
      <c r="IW77" s="174"/>
      <c r="IX77" s="174"/>
      <c r="IY77" s="174"/>
      <c r="IZ77" s="174"/>
      <c r="JA77" s="174"/>
      <c r="JB77" s="174"/>
      <c r="JC77" s="174"/>
      <c r="JD77" s="174"/>
      <c r="JE77" s="174"/>
      <c r="JF77" s="174"/>
      <c r="JG77" s="174"/>
      <c r="JH77" s="174"/>
      <c r="JI77" s="174"/>
      <c r="JJ77" s="174"/>
      <c r="JK77" s="174"/>
      <c r="JL77" s="174"/>
      <c r="JM77" s="174"/>
      <c r="JN77" s="174"/>
      <c r="JO77" s="174"/>
      <c r="JP77" s="174"/>
      <c r="JQ77" s="174"/>
      <c r="JR77" s="174"/>
      <c r="JS77" s="174"/>
      <c r="JT77" s="174"/>
      <c r="JU77" s="174"/>
      <c r="JV77" s="174"/>
    </row>
    <row r="78" spans="1:282" s="146" customFormat="1">
      <c r="A78" s="232"/>
      <c r="B78" s="173"/>
      <c r="C78" s="173"/>
      <c r="D78" s="233"/>
      <c r="E78" s="228"/>
      <c r="F78" s="234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228"/>
      <c r="AU78" s="228"/>
      <c r="AV78" s="173"/>
      <c r="AW78" s="173"/>
      <c r="AX78" s="173"/>
      <c r="AY78" s="173"/>
      <c r="AZ78" s="173"/>
      <c r="BA78" s="277"/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3"/>
      <c r="BV78" s="173"/>
      <c r="BW78" s="173"/>
      <c r="BX78" s="173"/>
      <c r="BY78" s="173"/>
      <c r="BZ78" s="173"/>
      <c r="CA78" s="173"/>
      <c r="CB78" s="173"/>
      <c r="CC78" s="173"/>
      <c r="CD78" s="173"/>
      <c r="CE78" s="173"/>
      <c r="CF78" s="173"/>
      <c r="CG78" s="173"/>
      <c r="CH78" s="173"/>
      <c r="CI78" s="173"/>
      <c r="CJ78" s="173"/>
      <c r="CK78" s="173"/>
      <c r="CL78" s="173"/>
      <c r="CM78" s="173"/>
      <c r="CN78" s="173"/>
      <c r="CO78" s="173"/>
      <c r="CP78" s="173"/>
      <c r="CQ78" s="173"/>
      <c r="CR78" s="151"/>
      <c r="CS78" s="173"/>
      <c r="CT78" s="173"/>
      <c r="CU78" s="173"/>
      <c r="CV78" s="173"/>
      <c r="CW78" s="173"/>
      <c r="CX78" s="173"/>
      <c r="CY78" s="173"/>
      <c r="CZ78" s="173"/>
      <c r="DA78" s="222"/>
      <c r="DB78" s="222"/>
      <c r="DC78" s="222"/>
      <c r="DD78" s="222"/>
      <c r="DE78" s="222"/>
      <c r="DF78" s="222"/>
      <c r="DG78" s="222"/>
      <c r="DH78" s="222"/>
      <c r="DI78" s="222"/>
      <c r="DJ78" s="222"/>
      <c r="DK78" s="222"/>
      <c r="DL78" s="222"/>
      <c r="DM78" s="222"/>
      <c r="DN78" s="174"/>
      <c r="DO78" s="174"/>
      <c r="DP78" s="174"/>
      <c r="DQ78" s="174"/>
      <c r="DR78" s="174"/>
      <c r="DS78" s="174"/>
      <c r="DT78" s="174"/>
      <c r="DU78" s="174"/>
      <c r="DV78" s="174"/>
      <c r="DW78" s="174"/>
      <c r="DX78" s="174"/>
      <c r="DY78" s="174"/>
      <c r="DZ78" s="174"/>
      <c r="EA78" s="174"/>
      <c r="EB78" s="174"/>
      <c r="EC78" s="174"/>
      <c r="ED78" s="174"/>
      <c r="EE78" s="174"/>
      <c r="EF78" s="174"/>
      <c r="EG78" s="174"/>
      <c r="EH78" s="174"/>
      <c r="EI78" s="174"/>
      <c r="EJ78" s="174"/>
      <c r="EK78" s="174"/>
      <c r="EL78" s="174"/>
      <c r="EM78" s="174"/>
      <c r="EN78" s="174"/>
      <c r="EO78" s="174"/>
      <c r="EP78" s="174"/>
      <c r="EQ78" s="174"/>
      <c r="ER78" s="174"/>
      <c r="ES78" s="174"/>
      <c r="ET78" s="174"/>
      <c r="EU78" s="174"/>
      <c r="EV78" s="174"/>
      <c r="EW78" s="174"/>
      <c r="EX78" s="174"/>
      <c r="EY78" s="174"/>
      <c r="EZ78" s="174"/>
      <c r="FA78" s="174"/>
      <c r="FB78" s="174"/>
      <c r="FC78" s="174"/>
      <c r="FD78" s="174"/>
      <c r="FE78" s="174"/>
      <c r="FF78" s="174"/>
      <c r="FG78" s="174"/>
      <c r="FH78" s="174"/>
      <c r="FI78" s="174"/>
      <c r="FJ78" s="174"/>
      <c r="FK78" s="174"/>
      <c r="FL78" s="174"/>
      <c r="FM78" s="174"/>
      <c r="FN78" s="174"/>
      <c r="FO78" s="174"/>
      <c r="FP78" s="174"/>
      <c r="FQ78" s="174"/>
      <c r="FR78" s="174"/>
      <c r="FS78" s="174"/>
      <c r="FT78" s="174"/>
      <c r="FU78" s="174"/>
      <c r="FV78" s="174"/>
      <c r="FW78" s="174"/>
      <c r="FX78" s="174"/>
      <c r="FY78" s="174"/>
      <c r="FZ78" s="174"/>
      <c r="GA78" s="174"/>
      <c r="GB78" s="174"/>
      <c r="GC78" s="174"/>
      <c r="GD78" s="174"/>
      <c r="GE78" s="174"/>
      <c r="GF78" s="174"/>
      <c r="GG78" s="174"/>
      <c r="GH78" s="174"/>
      <c r="GI78" s="174"/>
      <c r="GJ78" s="174"/>
      <c r="GK78" s="174"/>
      <c r="GL78" s="174"/>
      <c r="GM78" s="174"/>
      <c r="GN78" s="174"/>
      <c r="GO78" s="174"/>
      <c r="GP78" s="174"/>
      <c r="GQ78" s="174"/>
      <c r="GR78" s="174"/>
      <c r="GS78" s="174"/>
      <c r="GT78" s="174"/>
      <c r="GU78" s="174"/>
      <c r="GV78" s="174"/>
      <c r="GW78" s="174"/>
      <c r="GX78" s="174"/>
      <c r="GY78" s="174"/>
      <c r="GZ78" s="174"/>
      <c r="HA78" s="174"/>
      <c r="HB78" s="174"/>
      <c r="HC78" s="174"/>
      <c r="HD78" s="174"/>
      <c r="HE78" s="174"/>
      <c r="HF78" s="174"/>
      <c r="HG78" s="174"/>
      <c r="HH78" s="174"/>
      <c r="HI78" s="174"/>
      <c r="HJ78" s="174"/>
      <c r="HK78" s="174"/>
      <c r="HL78" s="174"/>
      <c r="HM78" s="174"/>
      <c r="HN78" s="174"/>
      <c r="HO78" s="174"/>
      <c r="HP78" s="174"/>
      <c r="HQ78" s="174"/>
      <c r="HR78" s="174"/>
      <c r="HS78" s="174"/>
      <c r="HT78" s="174"/>
      <c r="HU78" s="174"/>
      <c r="HV78" s="174"/>
      <c r="HW78" s="174"/>
      <c r="HX78" s="174"/>
      <c r="HY78" s="174"/>
      <c r="HZ78" s="174"/>
      <c r="IA78" s="174"/>
      <c r="IB78" s="174"/>
      <c r="IC78" s="174"/>
      <c r="ID78" s="174"/>
      <c r="IE78" s="174"/>
      <c r="IF78" s="174"/>
      <c r="IG78" s="174"/>
      <c r="IH78" s="174"/>
      <c r="II78" s="174"/>
      <c r="IJ78" s="174"/>
      <c r="IK78" s="174"/>
      <c r="IL78" s="174"/>
      <c r="IM78" s="174"/>
      <c r="IN78" s="174"/>
      <c r="IO78" s="174"/>
      <c r="IP78" s="174"/>
      <c r="IQ78" s="174"/>
      <c r="IR78" s="174"/>
      <c r="IS78" s="174"/>
      <c r="IT78" s="174"/>
      <c r="IU78" s="174"/>
      <c r="IV78" s="174"/>
      <c r="IW78" s="174"/>
      <c r="IX78" s="174"/>
      <c r="IY78" s="174"/>
      <c r="IZ78" s="174"/>
      <c r="JA78" s="174"/>
      <c r="JB78" s="174"/>
      <c r="JC78" s="174"/>
      <c r="JD78" s="174"/>
      <c r="JE78" s="174"/>
      <c r="JF78" s="174"/>
      <c r="JG78" s="174"/>
      <c r="JH78" s="174"/>
      <c r="JI78" s="174"/>
      <c r="JJ78" s="174"/>
      <c r="JK78" s="174"/>
      <c r="JL78" s="174"/>
      <c r="JM78" s="174"/>
      <c r="JN78" s="174"/>
      <c r="JO78" s="174"/>
      <c r="JP78" s="174"/>
      <c r="JQ78" s="174"/>
      <c r="JR78" s="174"/>
      <c r="JS78" s="174"/>
      <c r="JT78" s="174"/>
      <c r="JU78" s="174"/>
      <c r="JV78" s="174"/>
    </row>
    <row r="79" spans="1:282" s="146" customFormat="1">
      <c r="A79" s="232"/>
      <c r="B79" s="173"/>
      <c r="C79" s="173"/>
      <c r="D79" s="233"/>
      <c r="E79" s="228"/>
      <c r="F79" s="234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3"/>
      <c r="AT79" s="228"/>
      <c r="AU79" s="228"/>
      <c r="AV79" s="173"/>
      <c r="AW79" s="173"/>
      <c r="AX79" s="173"/>
      <c r="AY79" s="173"/>
      <c r="AZ79" s="173"/>
      <c r="BA79" s="277"/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173"/>
      <c r="BP79" s="173"/>
      <c r="BQ79" s="173"/>
      <c r="BR79" s="173"/>
      <c r="BS79" s="173"/>
      <c r="BT79" s="173"/>
      <c r="BU79" s="173"/>
      <c r="BV79" s="173"/>
      <c r="BW79" s="173"/>
      <c r="BX79" s="173"/>
      <c r="BY79" s="173"/>
      <c r="BZ79" s="173"/>
      <c r="CA79" s="173"/>
      <c r="CB79" s="173"/>
      <c r="CC79" s="173"/>
      <c r="CD79" s="173"/>
      <c r="CE79" s="173"/>
      <c r="CF79" s="173"/>
      <c r="CG79" s="173"/>
      <c r="CH79" s="173"/>
      <c r="CI79" s="173"/>
      <c r="CJ79" s="173"/>
      <c r="CK79" s="173"/>
      <c r="CL79" s="173"/>
      <c r="CM79" s="173"/>
      <c r="CN79" s="173"/>
      <c r="CO79" s="173"/>
      <c r="CP79" s="173"/>
      <c r="CQ79" s="173"/>
      <c r="CR79" s="151"/>
      <c r="CS79" s="173"/>
      <c r="CT79" s="173"/>
      <c r="CU79" s="173"/>
      <c r="CV79" s="173"/>
      <c r="CW79" s="173"/>
      <c r="CX79" s="173"/>
      <c r="CY79" s="173"/>
      <c r="CZ79" s="173"/>
      <c r="DA79" s="150"/>
      <c r="DB79" s="150"/>
      <c r="DC79" s="150"/>
      <c r="DD79" s="150"/>
      <c r="DE79" s="150"/>
      <c r="DF79" s="150"/>
      <c r="DG79" s="150"/>
      <c r="DH79" s="150"/>
      <c r="DI79" s="150"/>
      <c r="DJ79" s="150"/>
      <c r="DK79" s="222"/>
      <c r="DL79" s="222"/>
      <c r="DM79" s="222"/>
      <c r="DN79" s="174"/>
      <c r="DO79" s="174"/>
      <c r="DP79" s="174"/>
      <c r="DQ79" s="174"/>
      <c r="DR79" s="174"/>
      <c r="DS79" s="174"/>
      <c r="DT79" s="174"/>
      <c r="DU79" s="174"/>
      <c r="DV79" s="174"/>
      <c r="DW79" s="174"/>
      <c r="DX79" s="174"/>
      <c r="DY79" s="174"/>
      <c r="DZ79" s="174"/>
      <c r="EA79" s="174"/>
      <c r="EB79" s="174"/>
      <c r="EC79" s="174"/>
      <c r="ED79" s="174"/>
      <c r="EE79" s="174"/>
      <c r="EF79" s="174"/>
      <c r="EG79" s="174"/>
      <c r="EH79" s="174"/>
      <c r="EI79" s="174"/>
      <c r="EJ79" s="174"/>
      <c r="EK79" s="174"/>
      <c r="EL79" s="174"/>
      <c r="EM79" s="174"/>
      <c r="EN79" s="174"/>
      <c r="EO79" s="174"/>
      <c r="EP79" s="174"/>
      <c r="EQ79" s="174"/>
      <c r="ER79" s="174"/>
      <c r="ES79" s="174"/>
      <c r="ET79" s="174"/>
      <c r="EU79" s="174"/>
      <c r="EV79" s="174"/>
      <c r="EW79" s="174"/>
      <c r="EX79" s="174"/>
      <c r="EY79" s="174"/>
      <c r="EZ79" s="174"/>
      <c r="FA79" s="174"/>
      <c r="FB79" s="174"/>
      <c r="FC79" s="174"/>
      <c r="FD79" s="174"/>
      <c r="FE79" s="174"/>
      <c r="FF79" s="174"/>
      <c r="FG79" s="174"/>
      <c r="FH79" s="174"/>
      <c r="FI79" s="174"/>
      <c r="FJ79" s="174"/>
      <c r="FK79" s="174"/>
      <c r="FL79" s="174"/>
      <c r="FM79" s="174"/>
      <c r="FN79" s="174"/>
      <c r="FO79" s="174"/>
      <c r="FP79" s="174"/>
      <c r="FQ79" s="174"/>
      <c r="FR79" s="174"/>
      <c r="FS79" s="174"/>
      <c r="FT79" s="174"/>
      <c r="FU79" s="174"/>
      <c r="FV79" s="174"/>
      <c r="FW79" s="174"/>
      <c r="FX79" s="174"/>
      <c r="FY79" s="174"/>
      <c r="FZ79" s="174"/>
      <c r="GA79" s="174"/>
      <c r="GB79" s="174"/>
      <c r="GC79" s="174"/>
      <c r="GD79" s="174"/>
      <c r="GE79" s="174"/>
      <c r="GF79" s="174"/>
      <c r="GG79" s="174"/>
      <c r="GH79" s="174"/>
      <c r="GI79" s="174"/>
      <c r="GJ79" s="174"/>
      <c r="GK79" s="174"/>
      <c r="GL79" s="174"/>
      <c r="GM79" s="174"/>
      <c r="GN79" s="174"/>
      <c r="GO79" s="174"/>
      <c r="GP79" s="174"/>
      <c r="GQ79" s="174"/>
      <c r="GR79" s="174"/>
      <c r="GS79" s="174"/>
      <c r="GT79" s="174"/>
      <c r="GU79" s="174"/>
      <c r="GV79" s="174"/>
      <c r="GW79" s="174"/>
      <c r="GX79" s="174"/>
      <c r="GY79" s="174"/>
      <c r="GZ79" s="174"/>
      <c r="HA79" s="174"/>
      <c r="HB79" s="174"/>
      <c r="HC79" s="174"/>
      <c r="HD79" s="174"/>
      <c r="HE79" s="174"/>
      <c r="HF79" s="174"/>
      <c r="HG79" s="174"/>
      <c r="HH79" s="174"/>
      <c r="HI79" s="174"/>
      <c r="HJ79" s="174"/>
      <c r="HK79" s="174"/>
      <c r="HL79" s="174"/>
      <c r="HM79" s="174"/>
      <c r="HN79" s="174"/>
      <c r="HO79" s="174"/>
      <c r="HP79" s="174"/>
      <c r="HQ79" s="174"/>
      <c r="HR79" s="174"/>
      <c r="HS79" s="174"/>
      <c r="HT79" s="174"/>
      <c r="HU79" s="174"/>
      <c r="HV79" s="174"/>
      <c r="HW79" s="174"/>
      <c r="HX79" s="174"/>
      <c r="HY79" s="174"/>
      <c r="HZ79" s="174"/>
      <c r="IA79" s="174"/>
      <c r="IB79" s="174"/>
      <c r="IC79" s="174"/>
      <c r="ID79" s="174"/>
      <c r="IE79" s="174"/>
      <c r="IF79" s="174"/>
      <c r="IG79" s="174"/>
      <c r="IH79" s="174"/>
      <c r="II79" s="174"/>
      <c r="IJ79" s="174"/>
      <c r="IK79" s="174"/>
      <c r="IL79" s="174"/>
      <c r="IM79" s="174"/>
      <c r="IN79" s="174"/>
      <c r="IO79" s="174"/>
      <c r="IP79" s="174"/>
      <c r="IQ79" s="174"/>
      <c r="IR79" s="174"/>
      <c r="IS79" s="174"/>
      <c r="IT79" s="174"/>
      <c r="IU79" s="174"/>
      <c r="IV79" s="174"/>
      <c r="IW79" s="174"/>
      <c r="IX79" s="174"/>
      <c r="IY79" s="174"/>
      <c r="IZ79" s="174"/>
      <c r="JA79" s="174"/>
      <c r="JB79" s="174"/>
      <c r="JC79" s="174"/>
      <c r="JD79" s="174"/>
      <c r="JE79" s="174"/>
      <c r="JF79" s="174"/>
      <c r="JG79" s="174"/>
      <c r="JH79" s="174"/>
      <c r="JI79" s="174"/>
      <c r="JJ79" s="174"/>
      <c r="JK79" s="174"/>
      <c r="JL79" s="174"/>
      <c r="JM79" s="174"/>
      <c r="JN79" s="174"/>
      <c r="JO79" s="174"/>
      <c r="JP79" s="174"/>
      <c r="JQ79" s="174"/>
      <c r="JR79" s="174"/>
      <c r="JS79" s="174"/>
      <c r="JT79" s="174"/>
      <c r="JU79" s="174"/>
      <c r="JV79" s="174"/>
    </row>
    <row r="80" spans="1:282" s="146" customFormat="1">
      <c r="A80" s="232"/>
      <c r="B80" s="173"/>
      <c r="C80" s="173"/>
      <c r="D80" s="233"/>
      <c r="E80" s="228"/>
      <c r="F80" s="234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3"/>
      <c r="AT80" s="173"/>
      <c r="AU80" s="173"/>
      <c r="AV80" s="173"/>
      <c r="AW80" s="173"/>
      <c r="AX80" s="173"/>
      <c r="AY80" s="173"/>
      <c r="AZ80" s="173"/>
      <c r="BA80" s="277"/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173"/>
      <c r="BP80" s="173"/>
      <c r="BQ80" s="173"/>
      <c r="BR80" s="173"/>
      <c r="BS80" s="173"/>
      <c r="BT80" s="173"/>
      <c r="BU80" s="173"/>
      <c r="BV80" s="173"/>
      <c r="BW80" s="173"/>
      <c r="BX80" s="173"/>
      <c r="BY80" s="173"/>
      <c r="BZ80" s="173"/>
      <c r="CA80" s="173"/>
      <c r="CB80" s="173"/>
      <c r="CC80" s="173"/>
      <c r="CD80" s="173"/>
      <c r="CE80" s="173"/>
      <c r="CF80" s="173"/>
      <c r="CG80" s="173"/>
      <c r="CH80" s="173"/>
      <c r="CI80" s="173"/>
      <c r="CJ80" s="173"/>
      <c r="CK80" s="173"/>
      <c r="CL80" s="173"/>
      <c r="CM80" s="173"/>
      <c r="CN80" s="173"/>
      <c r="CO80" s="173"/>
      <c r="CP80" s="173"/>
      <c r="CQ80" s="173"/>
      <c r="CR80" s="151"/>
      <c r="CS80" s="173"/>
      <c r="CT80" s="173"/>
      <c r="CU80" s="173"/>
      <c r="CV80" s="173"/>
      <c r="CW80" s="173"/>
      <c r="CX80" s="173"/>
      <c r="CY80" s="173"/>
      <c r="CZ80" s="173"/>
      <c r="DA80" s="222"/>
      <c r="DB80" s="222"/>
      <c r="DC80" s="222"/>
      <c r="DD80" s="222"/>
      <c r="DE80" s="222"/>
      <c r="DF80" s="222"/>
      <c r="DG80" s="222"/>
      <c r="DH80" s="222"/>
      <c r="DI80" s="222"/>
      <c r="DJ80" s="222"/>
      <c r="DK80" s="222"/>
      <c r="DL80" s="222"/>
      <c r="DM80" s="222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</row>
    <row r="81" spans="1:282" s="146" customFormat="1">
      <c r="A81" s="232"/>
      <c r="B81" s="173"/>
      <c r="C81" s="173"/>
      <c r="D81" s="233"/>
      <c r="E81" s="228"/>
      <c r="F81" s="234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277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3"/>
      <c r="BV81" s="173"/>
      <c r="BW81" s="173"/>
      <c r="BX81" s="173"/>
      <c r="BY81" s="173"/>
      <c r="BZ81" s="173"/>
      <c r="CA81" s="173"/>
      <c r="CB81" s="173"/>
      <c r="CC81" s="173"/>
      <c r="CD81" s="173"/>
      <c r="CE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51"/>
      <c r="CS81" s="173"/>
      <c r="CT81" s="173"/>
      <c r="CU81" s="173"/>
      <c r="CV81" s="173"/>
      <c r="CW81" s="173"/>
      <c r="CX81" s="173"/>
      <c r="CY81" s="173"/>
      <c r="CZ81" s="173"/>
      <c r="DA81" s="222"/>
      <c r="DB81" s="222"/>
      <c r="DC81" s="222"/>
      <c r="DD81" s="222"/>
      <c r="DE81" s="222"/>
      <c r="DF81" s="222"/>
      <c r="DG81" s="222"/>
      <c r="DH81" s="222"/>
      <c r="DI81" s="222"/>
      <c r="DJ81" s="222"/>
      <c r="DK81" s="222"/>
      <c r="DL81" s="222"/>
      <c r="DM81" s="222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4"/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  <c r="FC81" s="174"/>
      <c r="FD81" s="174"/>
      <c r="FE81" s="174"/>
      <c r="FF81" s="174"/>
      <c r="FG81" s="174"/>
      <c r="FH81" s="174"/>
      <c r="FI81" s="174"/>
      <c r="FJ81" s="174"/>
      <c r="FK81" s="174"/>
      <c r="FL81" s="174"/>
      <c r="FM81" s="174"/>
      <c r="FN81" s="174"/>
      <c r="FO81" s="174"/>
      <c r="FP81" s="174"/>
      <c r="FQ81" s="174"/>
      <c r="FR81" s="174"/>
      <c r="FS81" s="174"/>
      <c r="FT81" s="174"/>
      <c r="FU81" s="174"/>
      <c r="FV81" s="174"/>
      <c r="FW81" s="174"/>
      <c r="FX81" s="174"/>
      <c r="FY81" s="174"/>
      <c r="FZ81" s="174"/>
      <c r="GA81" s="174"/>
      <c r="GB81" s="174"/>
      <c r="GC81" s="174"/>
      <c r="GD81" s="174"/>
      <c r="GE81" s="174"/>
      <c r="GF81" s="174"/>
      <c r="GG81" s="174"/>
      <c r="GH81" s="174"/>
      <c r="GI81" s="174"/>
      <c r="GJ81" s="174"/>
      <c r="GK81" s="174"/>
      <c r="GL81" s="174"/>
      <c r="GM81" s="174"/>
      <c r="GN81" s="174"/>
      <c r="GO81" s="174"/>
      <c r="GP81" s="174"/>
      <c r="GQ81" s="174"/>
      <c r="GR81" s="174"/>
      <c r="GS81" s="174"/>
      <c r="GT81" s="174"/>
      <c r="GU81" s="174"/>
      <c r="GV81" s="174"/>
      <c r="GW81" s="174"/>
      <c r="GX81" s="174"/>
      <c r="GY81" s="174"/>
      <c r="GZ81" s="174"/>
      <c r="HA81" s="174"/>
      <c r="HB81" s="174"/>
      <c r="HC81" s="174"/>
      <c r="HD81" s="174"/>
      <c r="HE81" s="174"/>
      <c r="HF81" s="174"/>
      <c r="HG81" s="174"/>
      <c r="HH81" s="174"/>
      <c r="HI81" s="174"/>
      <c r="HJ81" s="174"/>
      <c r="HK81" s="174"/>
      <c r="HL81" s="174"/>
      <c r="HM81" s="174"/>
      <c r="HN81" s="174"/>
      <c r="HO81" s="174"/>
      <c r="HP81" s="174"/>
      <c r="HQ81" s="174"/>
      <c r="HR81" s="174"/>
      <c r="HS81" s="174"/>
      <c r="HT81" s="174"/>
      <c r="HU81" s="174"/>
      <c r="HV81" s="174"/>
      <c r="HW81" s="174"/>
      <c r="HX81" s="174"/>
      <c r="HY81" s="174"/>
      <c r="HZ81" s="174"/>
      <c r="IA81" s="174"/>
      <c r="IB81" s="174"/>
      <c r="IC81" s="174"/>
      <c r="ID81" s="174"/>
      <c r="IE81" s="174"/>
      <c r="IF81" s="174"/>
      <c r="IG81" s="174"/>
      <c r="IH81" s="174"/>
      <c r="II81" s="174"/>
      <c r="IJ81" s="174"/>
      <c r="IK81" s="174"/>
      <c r="IL81" s="174"/>
      <c r="IM81" s="174"/>
      <c r="IN81" s="174"/>
      <c r="IO81" s="174"/>
      <c r="IP81" s="174"/>
      <c r="IQ81" s="174"/>
      <c r="IR81" s="174"/>
      <c r="IS81" s="174"/>
      <c r="IT81" s="174"/>
      <c r="IU81" s="174"/>
      <c r="IV81" s="174"/>
      <c r="IW81" s="174"/>
      <c r="IX81" s="174"/>
      <c r="IY81" s="174"/>
      <c r="IZ81" s="174"/>
      <c r="JA81" s="174"/>
      <c r="JB81" s="174"/>
      <c r="JC81" s="174"/>
      <c r="JD81" s="174"/>
      <c r="JE81" s="174"/>
      <c r="JF81" s="174"/>
      <c r="JG81" s="174"/>
      <c r="JH81" s="174"/>
      <c r="JI81" s="174"/>
      <c r="JJ81" s="174"/>
      <c r="JK81" s="174"/>
      <c r="JL81" s="174"/>
      <c r="JM81" s="174"/>
      <c r="JN81" s="174"/>
      <c r="JO81" s="174"/>
      <c r="JP81" s="174"/>
      <c r="JQ81" s="174"/>
      <c r="JR81" s="174"/>
      <c r="JS81" s="174"/>
      <c r="JT81" s="174"/>
      <c r="JU81" s="174"/>
      <c r="JV81" s="174"/>
    </row>
    <row r="82" spans="1:282" s="146" customFormat="1">
      <c r="A82" s="232"/>
      <c r="B82" s="173"/>
      <c r="C82" s="173"/>
      <c r="D82" s="233"/>
      <c r="E82" s="228"/>
      <c r="F82" s="234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3"/>
      <c r="AM82" s="173"/>
      <c r="AN82" s="173"/>
      <c r="AO82" s="173"/>
      <c r="AP82" s="173"/>
      <c r="AQ82" s="173"/>
      <c r="AR82" s="173"/>
      <c r="AS82" s="173"/>
      <c r="AT82" s="173"/>
      <c r="AU82" s="173"/>
      <c r="AV82" s="173"/>
      <c r="AW82" s="173"/>
      <c r="AX82" s="173"/>
      <c r="AY82" s="173"/>
      <c r="AZ82" s="173"/>
      <c r="BA82" s="277"/>
      <c r="BB82" s="173"/>
      <c r="BC82" s="173"/>
      <c r="BD82" s="173"/>
      <c r="BE82" s="173"/>
      <c r="BF82" s="173"/>
      <c r="BG82" s="173"/>
      <c r="BH82" s="173"/>
      <c r="BI82" s="173"/>
      <c r="BJ82" s="173"/>
      <c r="BK82" s="173"/>
      <c r="BL82" s="173"/>
      <c r="BM82" s="173"/>
      <c r="BN82" s="173"/>
      <c r="BO82" s="173"/>
      <c r="BP82" s="173"/>
      <c r="BQ82" s="173"/>
      <c r="BR82" s="173"/>
      <c r="BS82" s="173"/>
      <c r="BT82" s="173"/>
      <c r="BU82" s="173"/>
      <c r="BV82" s="173"/>
      <c r="BW82" s="173"/>
      <c r="BX82" s="173"/>
      <c r="BY82" s="173"/>
      <c r="BZ82" s="173"/>
      <c r="CA82" s="173"/>
      <c r="CB82" s="173"/>
      <c r="CC82" s="173"/>
      <c r="CD82" s="173"/>
      <c r="CE82" s="173"/>
      <c r="CF82" s="173"/>
      <c r="CG82" s="173"/>
      <c r="CH82" s="173"/>
      <c r="CI82" s="173"/>
      <c r="CJ82" s="173"/>
      <c r="CK82" s="173"/>
      <c r="CL82" s="173"/>
      <c r="CM82" s="173"/>
      <c r="CN82" s="173"/>
      <c r="CO82" s="173"/>
      <c r="CP82" s="173"/>
      <c r="CQ82" s="173"/>
      <c r="CR82" s="151"/>
      <c r="CS82" s="173"/>
      <c r="CT82" s="173"/>
      <c r="CU82" s="173"/>
      <c r="CV82" s="173"/>
      <c r="CW82" s="173"/>
      <c r="CX82" s="173"/>
      <c r="CY82" s="173"/>
      <c r="CZ82" s="173"/>
      <c r="DA82" s="222"/>
      <c r="DB82" s="222"/>
      <c r="DC82" s="222"/>
      <c r="DD82" s="222"/>
      <c r="DE82" s="222"/>
      <c r="DF82" s="222"/>
      <c r="DG82" s="222"/>
      <c r="DH82" s="222"/>
      <c r="DI82" s="222"/>
      <c r="DJ82" s="222"/>
      <c r="DK82" s="222"/>
      <c r="DL82" s="222"/>
      <c r="DM82" s="222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74"/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  <c r="FC82" s="174"/>
      <c r="FD82" s="174"/>
      <c r="FE82" s="174"/>
      <c r="FF82" s="174"/>
      <c r="FG82" s="174"/>
      <c r="FH82" s="174"/>
      <c r="FI82" s="174"/>
      <c r="FJ82" s="174"/>
      <c r="FK82" s="174"/>
      <c r="FL82" s="174"/>
      <c r="FM82" s="174"/>
      <c r="FN82" s="174"/>
      <c r="FO82" s="174"/>
      <c r="FP82" s="174"/>
      <c r="FQ82" s="174"/>
      <c r="FR82" s="174"/>
      <c r="FS82" s="174"/>
      <c r="FT82" s="174"/>
      <c r="FU82" s="174"/>
      <c r="FV82" s="174"/>
      <c r="FW82" s="174"/>
      <c r="FX82" s="174"/>
      <c r="FY82" s="174"/>
      <c r="FZ82" s="174"/>
      <c r="GA82" s="174"/>
      <c r="GB82" s="174"/>
      <c r="GC82" s="174"/>
      <c r="GD82" s="174"/>
      <c r="GE82" s="174"/>
      <c r="GF82" s="174"/>
      <c r="GG82" s="174"/>
      <c r="GH82" s="174"/>
      <c r="GI82" s="174"/>
      <c r="GJ82" s="174"/>
      <c r="GK82" s="174"/>
      <c r="GL82" s="174"/>
      <c r="GM82" s="174"/>
      <c r="GN82" s="174"/>
      <c r="GO82" s="174"/>
      <c r="GP82" s="174"/>
      <c r="GQ82" s="174"/>
      <c r="GR82" s="174"/>
      <c r="GS82" s="174"/>
      <c r="GT82" s="174"/>
      <c r="GU82" s="174"/>
      <c r="GV82" s="174"/>
      <c r="GW82" s="174"/>
      <c r="GX82" s="174"/>
      <c r="GY82" s="174"/>
      <c r="GZ82" s="174"/>
      <c r="HA82" s="174"/>
      <c r="HB82" s="174"/>
      <c r="HC82" s="174"/>
      <c r="HD82" s="174"/>
      <c r="HE82" s="174"/>
      <c r="HF82" s="174"/>
      <c r="HG82" s="174"/>
      <c r="HH82" s="174"/>
      <c r="HI82" s="174"/>
      <c r="HJ82" s="174"/>
      <c r="HK82" s="174"/>
      <c r="HL82" s="174"/>
      <c r="HM82" s="174"/>
      <c r="HN82" s="174"/>
      <c r="HO82" s="174"/>
      <c r="HP82" s="174"/>
      <c r="HQ82" s="174"/>
      <c r="HR82" s="174"/>
      <c r="HS82" s="174"/>
      <c r="HT82" s="174"/>
      <c r="HU82" s="174"/>
      <c r="HV82" s="174"/>
      <c r="HW82" s="174"/>
      <c r="HX82" s="174"/>
      <c r="HY82" s="174"/>
      <c r="HZ82" s="174"/>
      <c r="IA82" s="174"/>
      <c r="IB82" s="174"/>
      <c r="IC82" s="174"/>
      <c r="ID82" s="174"/>
      <c r="IE82" s="174"/>
      <c r="IF82" s="174"/>
      <c r="IG82" s="174"/>
      <c r="IH82" s="174"/>
      <c r="II82" s="174"/>
      <c r="IJ82" s="174"/>
      <c r="IK82" s="174"/>
      <c r="IL82" s="174"/>
      <c r="IM82" s="174"/>
      <c r="IN82" s="174"/>
      <c r="IO82" s="174"/>
      <c r="IP82" s="174"/>
      <c r="IQ82" s="174"/>
      <c r="IR82" s="174"/>
      <c r="IS82" s="174"/>
      <c r="IT82" s="174"/>
      <c r="IU82" s="174"/>
      <c r="IV82" s="174"/>
      <c r="IW82" s="174"/>
      <c r="IX82" s="174"/>
      <c r="IY82" s="174"/>
      <c r="IZ82" s="174"/>
      <c r="JA82" s="174"/>
      <c r="JB82" s="174"/>
      <c r="JC82" s="174"/>
      <c r="JD82" s="174"/>
      <c r="JE82" s="174"/>
      <c r="JF82" s="174"/>
      <c r="JG82" s="174"/>
      <c r="JH82" s="174"/>
      <c r="JI82" s="174"/>
      <c r="JJ82" s="174"/>
      <c r="JK82" s="174"/>
      <c r="JL82" s="174"/>
      <c r="JM82" s="174"/>
      <c r="JN82" s="174"/>
      <c r="JO82" s="174"/>
      <c r="JP82" s="174"/>
      <c r="JQ82" s="174"/>
      <c r="JR82" s="174"/>
      <c r="JS82" s="174"/>
      <c r="JT82" s="174"/>
      <c r="JU82" s="174"/>
      <c r="JV82" s="174"/>
    </row>
    <row r="83" spans="1:282" s="146" customFormat="1">
      <c r="A83" s="232"/>
      <c r="B83" s="173"/>
      <c r="C83" s="173"/>
      <c r="D83" s="233"/>
      <c r="E83" s="228"/>
      <c r="F83" s="234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  <c r="AM83" s="173"/>
      <c r="AN83" s="173"/>
      <c r="AO83" s="173"/>
      <c r="AP83" s="173"/>
      <c r="AQ83" s="173"/>
      <c r="AR83" s="173"/>
      <c r="AS83" s="173"/>
      <c r="AT83" s="173"/>
      <c r="AU83" s="173"/>
      <c r="AV83" s="173"/>
      <c r="AW83" s="173"/>
      <c r="AX83" s="173"/>
      <c r="AY83" s="173"/>
      <c r="AZ83" s="173"/>
      <c r="BA83" s="277"/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3"/>
      <c r="BW83" s="173"/>
      <c r="BX83" s="173"/>
      <c r="BY83" s="173"/>
      <c r="BZ83" s="173"/>
      <c r="CA83" s="173"/>
      <c r="CB83" s="173"/>
      <c r="CC83" s="173"/>
      <c r="CD83" s="173"/>
      <c r="CE83" s="173"/>
      <c r="CF83" s="173"/>
      <c r="CG83" s="173"/>
      <c r="CH83" s="173"/>
      <c r="CI83" s="173"/>
      <c r="CJ83" s="173"/>
      <c r="CK83" s="173"/>
      <c r="CL83" s="173"/>
      <c r="CM83" s="173"/>
      <c r="CN83" s="173"/>
      <c r="CO83" s="173"/>
      <c r="CP83" s="173"/>
      <c r="CQ83" s="173"/>
      <c r="CR83" s="151"/>
      <c r="CS83" s="173"/>
      <c r="CT83" s="173"/>
      <c r="CU83" s="173"/>
      <c r="CV83" s="173"/>
      <c r="CW83" s="173"/>
      <c r="CX83" s="173"/>
      <c r="CY83" s="173"/>
      <c r="CZ83" s="173"/>
      <c r="DA83" s="222"/>
      <c r="DB83" s="222"/>
      <c r="DC83" s="222"/>
      <c r="DD83" s="222"/>
      <c r="DE83" s="222"/>
      <c r="DF83" s="222"/>
      <c r="DG83" s="222"/>
      <c r="DH83" s="222"/>
      <c r="DI83" s="222"/>
      <c r="DJ83" s="222"/>
      <c r="DK83" s="222"/>
      <c r="DL83" s="222"/>
      <c r="DM83" s="222"/>
      <c r="DN83" s="174"/>
      <c r="DO83" s="174"/>
      <c r="DP83" s="174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4"/>
      <c r="FZ83" s="174"/>
      <c r="GA83" s="174"/>
      <c r="GB83" s="174"/>
      <c r="GC83" s="174"/>
      <c r="GD83" s="174"/>
      <c r="GE83" s="174"/>
      <c r="GF83" s="174"/>
      <c r="GG83" s="174"/>
      <c r="GH83" s="174"/>
      <c r="GI83" s="174"/>
      <c r="GJ83" s="174"/>
      <c r="GK83" s="174"/>
      <c r="GL83" s="174"/>
      <c r="GM83" s="174"/>
      <c r="GN83" s="174"/>
      <c r="GO83" s="174"/>
      <c r="GP83" s="174"/>
      <c r="GQ83" s="174"/>
      <c r="GR83" s="174"/>
      <c r="GS83" s="174"/>
      <c r="GT83" s="174"/>
      <c r="GU83" s="174"/>
      <c r="GV83" s="174"/>
      <c r="GW83" s="174"/>
      <c r="GX83" s="174"/>
      <c r="GY83" s="174"/>
      <c r="GZ83" s="174"/>
      <c r="HA83" s="174"/>
      <c r="HB83" s="174"/>
      <c r="HC83" s="174"/>
      <c r="HD83" s="174"/>
      <c r="HE83" s="174"/>
      <c r="HF83" s="174"/>
      <c r="HG83" s="174"/>
      <c r="HH83" s="174"/>
      <c r="HI83" s="174"/>
      <c r="HJ83" s="174"/>
      <c r="HK83" s="174"/>
      <c r="HL83" s="174"/>
      <c r="HM83" s="174"/>
      <c r="HN83" s="174"/>
      <c r="HO83" s="174"/>
      <c r="HP83" s="174"/>
      <c r="HQ83" s="174"/>
      <c r="HR83" s="174"/>
      <c r="HS83" s="174"/>
      <c r="HT83" s="174"/>
      <c r="HU83" s="174"/>
      <c r="HV83" s="174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4"/>
      <c r="II83" s="174"/>
      <c r="IJ83" s="174"/>
      <c r="IK83" s="174"/>
      <c r="IL83" s="174"/>
      <c r="IM83" s="174"/>
      <c r="IN83" s="174"/>
      <c r="IO83" s="174"/>
      <c r="IP83" s="174"/>
      <c r="IQ83" s="174"/>
      <c r="IR83" s="174"/>
      <c r="IS83" s="174"/>
      <c r="IT83" s="174"/>
      <c r="IU83" s="174"/>
      <c r="IV83" s="174"/>
      <c r="IW83" s="174"/>
      <c r="IX83" s="174"/>
      <c r="IY83" s="174"/>
      <c r="IZ83" s="174"/>
      <c r="JA83" s="174"/>
      <c r="JB83" s="174"/>
      <c r="JC83" s="174"/>
      <c r="JD83" s="174"/>
      <c r="JE83" s="174"/>
      <c r="JF83" s="174"/>
      <c r="JG83" s="174"/>
      <c r="JH83" s="174"/>
      <c r="JI83" s="174"/>
      <c r="JJ83" s="174"/>
      <c r="JK83" s="174"/>
      <c r="JL83" s="174"/>
      <c r="JM83" s="174"/>
      <c r="JN83" s="174"/>
      <c r="JO83" s="174"/>
      <c r="JP83" s="174"/>
      <c r="JQ83" s="174"/>
      <c r="JR83" s="174"/>
      <c r="JS83" s="174"/>
      <c r="JT83" s="174"/>
      <c r="JU83" s="174"/>
      <c r="JV83" s="174"/>
    </row>
    <row r="84" spans="1:282" s="146" customFormat="1">
      <c r="A84" s="232"/>
      <c r="B84" s="173"/>
      <c r="C84" s="173"/>
      <c r="D84" s="233"/>
      <c r="E84" s="228"/>
      <c r="F84" s="234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3"/>
      <c r="AT84" s="173"/>
      <c r="AU84" s="173"/>
      <c r="AV84" s="173"/>
      <c r="AW84" s="173"/>
      <c r="AX84" s="173"/>
      <c r="AY84" s="173"/>
      <c r="AZ84" s="173"/>
      <c r="BA84" s="277"/>
      <c r="BB84" s="173"/>
      <c r="BC84" s="173"/>
      <c r="BD84" s="173"/>
      <c r="BE84" s="173"/>
      <c r="BF84" s="173"/>
      <c r="BG84" s="173"/>
      <c r="BH84" s="173"/>
      <c r="BI84" s="173"/>
      <c r="BJ84" s="173"/>
      <c r="BK84" s="173"/>
      <c r="BL84" s="173"/>
      <c r="BM84" s="173"/>
      <c r="BN84" s="173"/>
      <c r="BO84" s="173"/>
      <c r="BP84" s="173"/>
      <c r="BQ84" s="173"/>
      <c r="BR84" s="173"/>
      <c r="BS84" s="173"/>
      <c r="BT84" s="173"/>
      <c r="BU84" s="173"/>
      <c r="BV84" s="173"/>
      <c r="BW84" s="173"/>
      <c r="BX84" s="173"/>
      <c r="BY84" s="173"/>
      <c r="BZ84" s="173"/>
      <c r="CA84" s="173"/>
      <c r="CB84" s="173"/>
      <c r="CC84" s="173"/>
      <c r="CD84" s="173"/>
      <c r="CE84" s="173"/>
      <c r="CF84" s="173"/>
      <c r="CG84" s="173"/>
      <c r="CH84" s="173"/>
      <c r="CI84" s="173"/>
      <c r="CJ84" s="173"/>
      <c r="CK84" s="173"/>
      <c r="CL84" s="173"/>
      <c r="CM84" s="173"/>
      <c r="CN84" s="173"/>
      <c r="CO84" s="173"/>
      <c r="CP84" s="173"/>
      <c r="CQ84" s="173"/>
      <c r="CR84" s="151"/>
      <c r="CS84" s="173"/>
      <c r="CT84" s="173"/>
      <c r="CU84" s="173"/>
      <c r="CV84" s="173"/>
      <c r="CW84" s="173"/>
      <c r="CX84" s="173"/>
      <c r="CY84" s="173"/>
      <c r="CZ84" s="173"/>
      <c r="DA84" s="150"/>
      <c r="DB84" s="150"/>
      <c r="DC84" s="150"/>
      <c r="DD84" s="150"/>
      <c r="DE84" s="150"/>
      <c r="DF84" s="150"/>
      <c r="DG84" s="150"/>
      <c r="DH84" s="150"/>
      <c r="DI84" s="150"/>
      <c r="DJ84" s="150"/>
      <c r="DK84" s="222"/>
      <c r="DL84" s="222"/>
      <c r="DM84" s="222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4"/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  <c r="FC84" s="174"/>
      <c r="FD84" s="174"/>
      <c r="FE84" s="174"/>
      <c r="FF84" s="174"/>
      <c r="FG84" s="174"/>
      <c r="FH84" s="174"/>
      <c r="FI84" s="174"/>
      <c r="FJ84" s="174"/>
      <c r="FK84" s="174"/>
      <c r="FL84" s="174"/>
      <c r="FM84" s="174"/>
      <c r="FN84" s="174"/>
      <c r="FO84" s="174"/>
      <c r="FP84" s="174"/>
      <c r="FQ84" s="174"/>
      <c r="FR84" s="174"/>
      <c r="FS84" s="174"/>
      <c r="FT84" s="174"/>
      <c r="FU84" s="174"/>
      <c r="FV84" s="174"/>
      <c r="FW84" s="174"/>
      <c r="FX84" s="174"/>
      <c r="FY84" s="174"/>
      <c r="FZ84" s="174"/>
      <c r="GA84" s="174"/>
      <c r="GB84" s="174"/>
      <c r="GC84" s="174"/>
      <c r="GD84" s="174"/>
      <c r="GE84" s="174"/>
      <c r="GF84" s="174"/>
      <c r="GG84" s="174"/>
      <c r="GH84" s="174"/>
      <c r="GI84" s="174"/>
      <c r="GJ84" s="174"/>
      <c r="GK84" s="174"/>
      <c r="GL84" s="174"/>
      <c r="GM84" s="174"/>
      <c r="GN84" s="174"/>
      <c r="GO84" s="174"/>
      <c r="GP84" s="174"/>
      <c r="GQ84" s="174"/>
      <c r="GR84" s="174"/>
      <c r="GS84" s="174"/>
      <c r="GT84" s="174"/>
      <c r="GU84" s="174"/>
      <c r="GV84" s="174"/>
      <c r="GW84" s="174"/>
      <c r="GX84" s="174"/>
      <c r="GY84" s="174"/>
      <c r="GZ84" s="174"/>
      <c r="HA84" s="174"/>
      <c r="HB84" s="174"/>
      <c r="HC84" s="174"/>
      <c r="HD84" s="174"/>
      <c r="HE84" s="174"/>
      <c r="HF84" s="174"/>
      <c r="HG84" s="174"/>
      <c r="HH84" s="174"/>
      <c r="HI84" s="174"/>
      <c r="HJ84" s="174"/>
      <c r="HK84" s="174"/>
      <c r="HL84" s="174"/>
      <c r="HM84" s="174"/>
      <c r="HN84" s="174"/>
      <c r="HO84" s="174"/>
      <c r="HP84" s="174"/>
      <c r="HQ84" s="174"/>
      <c r="HR84" s="174"/>
      <c r="HS84" s="174"/>
      <c r="HT84" s="174"/>
      <c r="HU84" s="174"/>
      <c r="HV84" s="174"/>
      <c r="HW84" s="174"/>
      <c r="HX84" s="174"/>
      <c r="HY84" s="174"/>
      <c r="HZ84" s="174"/>
      <c r="IA84" s="174"/>
      <c r="IB84" s="174"/>
      <c r="IC84" s="174"/>
      <c r="ID84" s="174"/>
      <c r="IE84" s="174"/>
      <c r="IF84" s="174"/>
      <c r="IG84" s="174"/>
      <c r="IH84" s="174"/>
      <c r="II84" s="174"/>
      <c r="IJ84" s="174"/>
      <c r="IK84" s="174"/>
      <c r="IL84" s="174"/>
      <c r="IM84" s="174"/>
      <c r="IN84" s="174"/>
      <c r="IO84" s="174"/>
      <c r="IP84" s="174"/>
      <c r="IQ84" s="174"/>
      <c r="IR84" s="174"/>
      <c r="IS84" s="174"/>
      <c r="IT84" s="174"/>
      <c r="IU84" s="174"/>
      <c r="IV84" s="174"/>
      <c r="IW84" s="174"/>
      <c r="IX84" s="174"/>
      <c r="IY84" s="174"/>
      <c r="IZ84" s="174"/>
      <c r="JA84" s="174"/>
      <c r="JB84" s="174"/>
      <c r="JC84" s="174"/>
      <c r="JD84" s="174"/>
      <c r="JE84" s="174"/>
      <c r="JF84" s="174"/>
      <c r="JG84" s="174"/>
      <c r="JH84" s="174"/>
      <c r="JI84" s="174"/>
      <c r="JJ84" s="174"/>
      <c r="JK84" s="174"/>
      <c r="JL84" s="174"/>
      <c r="JM84" s="174"/>
      <c r="JN84" s="174"/>
      <c r="JO84" s="174"/>
      <c r="JP84" s="174"/>
      <c r="JQ84" s="174"/>
      <c r="JR84" s="174"/>
      <c r="JS84" s="174"/>
      <c r="JT84" s="174"/>
      <c r="JU84" s="174"/>
      <c r="JV84" s="174"/>
    </row>
    <row r="85" spans="1:282" s="146" customFormat="1">
      <c r="A85" s="232"/>
      <c r="B85" s="173"/>
      <c r="C85" s="173"/>
      <c r="D85" s="233"/>
      <c r="E85" s="228"/>
      <c r="F85" s="234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3"/>
      <c r="AS85" s="173"/>
      <c r="AT85" s="173"/>
      <c r="AU85" s="173"/>
      <c r="AV85" s="173"/>
      <c r="AW85" s="173"/>
      <c r="AX85" s="173"/>
      <c r="AY85" s="173"/>
      <c r="AZ85" s="173"/>
      <c r="BA85" s="277"/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173"/>
      <c r="BP85" s="173"/>
      <c r="BQ85" s="173"/>
      <c r="BR85" s="173"/>
      <c r="BS85" s="173"/>
      <c r="BT85" s="173"/>
      <c r="BU85" s="173"/>
      <c r="BV85" s="173"/>
      <c r="BW85" s="173"/>
      <c r="BX85" s="173"/>
      <c r="BY85" s="173"/>
      <c r="BZ85" s="173"/>
      <c r="CA85" s="173"/>
      <c r="CB85" s="173"/>
      <c r="CC85" s="173"/>
      <c r="CD85" s="173"/>
      <c r="CE85" s="173"/>
      <c r="CF85" s="173"/>
      <c r="CG85" s="173"/>
      <c r="CH85" s="173"/>
      <c r="CI85" s="173"/>
      <c r="CJ85" s="173"/>
      <c r="CK85" s="173"/>
      <c r="CL85" s="173"/>
      <c r="CM85" s="173"/>
      <c r="CN85" s="173"/>
      <c r="CO85" s="173"/>
      <c r="CP85" s="173"/>
      <c r="CQ85" s="173"/>
      <c r="CR85" s="151"/>
      <c r="CS85" s="173"/>
      <c r="CT85" s="173"/>
      <c r="CU85" s="173"/>
      <c r="CV85" s="173"/>
      <c r="CW85" s="173"/>
      <c r="CX85" s="173"/>
      <c r="CY85" s="173"/>
      <c r="CZ85" s="173"/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222"/>
      <c r="DL85" s="222"/>
      <c r="DM85" s="222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4"/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  <c r="FC85" s="174"/>
      <c r="FD85" s="174"/>
      <c r="FE85" s="174"/>
      <c r="FF85" s="174"/>
      <c r="FG85" s="174"/>
      <c r="FH85" s="174"/>
      <c r="FI85" s="174"/>
      <c r="FJ85" s="174"/>
      <c r="FK85" s="174"/>
      <c r="FL85" s="174"/>
      <c r="FM85" s="174"/>
      <c r="FN85" s="174"/>
      <c r="FO85" s="174"/>
      <c r="FP85" s="174"/>
      <c r="FQ85" s="174"/>
      <c r="FR85" s="174"/>
      <c r="FS85" s="174"/>
      <c r="FT85" s="174"/>
      <c r="FU85" s="174"/>
      <c r="FV85" s="174"/>
      <c r="FW85" s="174"/>
      <c r="FX85" s="174"/>
      <c r="FY85" s="174"/>
      <c r="FZ85" s="174"/>
      <c r="GA85" s="174"/>
      <c r="GB85" s="174"/>
      <c r="GC85" s="174"/>
      <c r="GD85" s="174"/>
      <c r="GE85" s="174"/>
      <c r="GF85" s="174"/>
      <c r="GG85" s="174"/>
      <c r="GH85" s="174"/>
      <c r="GI85" s="174"/>
      <c r="GJ85" s="174"/>
      <c r="GK85" s="174"/>
      <c r="GL85" s="174"/>
      <c r="GM85" s="174"/>
      <c r="GN85" s="174"/>
      <c r="GO85" s="174"/>
      <c r="GP85" s="174"/>
      <c r="GQ85" s="174"/>
      <c r="GR85" s="174"/>
      <c r="GS85" s="174"/>
      <c r="GT85" s="174"/>
      <c r="GU85" s="174"/>
      <c r="GV85" s="174"/>
      <c r="GW85" s="174"/>
      <c r="GX85" s="174"/>
      <c r="GY85" s="174"/>
      <c r="GZ85" s="174"/>
      <c r="HA85" s="174"/>
      <c r="HB85" s="174"/>
      <c r="HC85" s="174"/>
      <c r="HD85" s="174"/>
      <c r="HE85" s="174"/>
      <c r="HF85" s="174"/>
      <c r="HG85" s="174"/>
      <c r="HH85" s="174"/>
      <c r="HI85" s="174"/>
      <c r="HJ85" s="174"/>
      <c r="HK85" s="174"/>
      <c r="HL85" s="174"/>
      <c r="HM85" s="174"/>
      <c r="HN85" s="174"/>
      <c r="HO85" s="174"/>
      <c r="HP85" s="174"/>
      <c r="HQ85" s="174"/>
      <c r="HR85" s="174"/>
      <c r="HS85" s="174"/>
      <c r="HT85" s="174"/>
      <c r="HU85" s="174"/>
      <c r="HV85" s="174"/>
      <c r="HW85" s="174"/>
      <c r="HX85" s="174"/>
      <c r="HY85" s="174"/>
      <c r="HZ85" s="174"/>
      <c r="IA85" s="174"/>
      <c r="IB85" s="174"/>
      <c r="IC85" s="174"/>
      <c r="ID85" s="174"/>
      <c r="IE85" s="174"/>
      <c r="IF85" s="174"/>
      <c r="IG85" s="174"/>
      <c r="IH85" s="174"/>
      <c r="II85" s="174"/>
      <c r="IJ85" s="174"/>
      <c r="IK85" s="174"/>
      <c r="IL85" s="174"/>
      <c r="IM85" s="174"/>
      <c r="IN85" s="174"/>
      <c r="IO85" s="174"/>
      <c r="IP85" s="174"/>
      <c r="IQ85" s="174"/>
      <c r="IR85" s="174"/>
      <c r="IS85" s="174"/>
      <c r="IT85" s="174"/>
      <c r="IU85" s="174"/>
      <c r="IV85" s="174"/>
      <c r="IW85" s="174"/>
      <c r="IX85" s="174"/>
      <c r="IY85" s="174"/>
      <c r="IZ85" s="174"/>
      <c r="JA85" s="174"/>
      <c r="JB85" s="174"/>
      <c r="JC85" s="174"/>
      <c r="JD85" s="174"/>
      <c r="JE85" s="174"/>
      <c r="JF85" s="174"/>
      <c r="JG85" s="174"/>
      <c r="JH85" s="174"/>
      <c r="JI85" s="174"/>
      <c r="JJ85" s="174"/>
      <c r="JK85" s="174"/>
      <c r="JL85" s="174"/>
      <c r="JM85" s="174"/>
      <c r="JN85" s="174"/>
      <c r="JO85" s="174"/>
      <c r="JP85" s="174"/>
      <c r="JQ85" s="174"/>
      <c r="JR85" s="174"/>
      <c r="JS85" s="174"/>
      <c r="JT85" s="174"/>
      <c r="JU85" s="174"/>
      <c r="JV85" s="174"/>
    </row>
    <row r="86" spans="1:282" s="146" customFormat="1">
      <c r="A86" s="232"/>
      <c r="B86" s="173"/>
      <c r="C86" s="173"/>
      <c r="D86" s="233"/>
      <c r="E86" s="228"/>
      <c r="F86" s="234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3"/>
      <c r="AT86" s="173"/>
      <c r="AU86" s="173"/>
      <c r="AV86" s="173"/>
      <c r="AW86" s="173"/>
      <c r="AX86" s="173"/>
      <c r="AY86" s="173"/>
      <c r="AZ86" s="173"/>
      <c r="BA86" s="277"/>
      <c r="BB86" s="173"/>
      <c r="BC86" s="173"/>
      <c r="BD86" s="173"/>
      <c r="BE86" s="173"/>
      <c r="BF86" s="173"/>
      <c r="BG86" s="173"/>
      <c r="BH86" s="173"/>
      <c r="BI86" s="173"/>
      <c r="BJ86" s="173"/>
      <c r="BK86" s="173"/>
      <c r="BL86" s="173"/>
      <c r="BM86" s="173"/>
      <c r="BN86" s="173"/>
      <c r="BO86" s="173"/>
      <c r="BP86" s="173"/>
      <c r="BQ86" s="173"/>
      <c r="BR86" s="173"/>
      <c r="BS86" s="173"/>
      <c r="BT86" s="173"/>
      <c r="BU86" s="173"/>
      <c r="BV86" s="173"/>
      <c r="BW86" s="173"/>
      <c r="BX86" s="173"/>
      <c r="BY86" s="173"/>
      <c r="BZ86" s="173"/>
      <c r="CA86" s="173"/>
      <c r="CB86" s="173"/>
      <c r="CC86" s="173"/>
      <c r="CD86" s="173"/>
      <c r="CE86" s="173"/>
      <c r="CF86" s="173"/>
      <c r="CG86" s="173"/>
      <c r="CH86" s="173"/>
      <c r="CI86" s="173"/>
      <c r="CJ86" s="173"/>
      <c r="CK86" s="173"/>
      <c r="CL86" s="173"/>
      <c r="CM86" s="173"/>
      <c r="CN86" s="173"/>
      <c r="CO86" s="173"/>
      <c r="CP86" s="173"/>
      <c r="CQ86" s="173"/>
      <c r="CR86" s="151"/>
      <c r="CS86" s="173"/>
      <c r="CT86" s="173"/>
      <c r="CU86" s="173"/>
      <c r="CV86" s="173"/>
      <c r="CW86" s="173"/>
      <c r="CX86" s="173"/>
      <c r="CY86" s="173"/>
      <c r="CZ86" s="173"/>
      <c r="DA86" s="150"/>
      <c r="DB86" s="150"/>
      <c r="DC86" s="150"/>
      <c r="DD86" s="150"/>
      <c r="DE86" s="150"/>
      <c r="DF86" s="150"/>
      <c r="DG86" s="150"/>
      <c r="DH86" s="150"/>
      <c r="DI86" s="150"/>
      <c r="DJ86" s="150"/>
      <c r="DK86" s="222"/>
      <c r="DL86" s="222"/>
      <c r="DM86" s="222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4"/>
      <c r="FE86" s="174"/>
      <c r="FF86" s="174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4"/>
      <c r="GA86" s="174"/>
      <c r="GB86" s="174"/>
      <c r="GC86" s="174"/>
      <c r="GD86" s="174"/>
      <c r="GE86" s="174"/>
      <c r="GF86" s="174"/>
      <c r="GG86" s="174"/>
      <c r="GH86" s="174"/>
      <c r="GI86" s="174"/>
      <c r="GJ86" s="174"/>
      <c r="GK86" s="174"/>
      <c r="GL86" s="174"/>
      <c r="GM86" s="174"/>
      <c r="GN86" s="174"/>
      <c r="GO86" s="174"/>
      <c r="GP86" s="174"/>
      <c r="GQ86" s="174"/>
      <c r="GR86" s="174"/>
      <c r="GS86" s="174"/>
      <c r="GT86" s="174"/>
      <c r="GU86" s="174"/>
      <c r="GV86" s="174"/>
      <c r="GW86" s="174"/>
      <c r="GX86" s="174"/>
      <c r="GY86" s="174"/>
      <c r="GZ86" s="174"/>
      <c r="HA86" s="174"/>
      <c r="HB86" s="174"/>
      <c r="HC86" s="174"/>
      <c r="HD86" s="174"/>
      <c r="HE86" s="174"/>
      <c r="HF86" s="174"/>
      <c r="HG86" s="174"/>
      <c r="HH86" s="174"/>
      <c r="HI86" s="174"/>
      <c r="HJ86" s="174"/>
      <c r="HK86" s="174"/>
      <c r="HL86" s="174"/>
      <c r="HM86" s="174"/>
      <c r="HN86" s="174"/>
      <c r="HO86" s="174"/>
      <c r="HP86" s="174"/>
      <c r="HQ86" s="174"/>
      <c r="HR86" s="174"/>
      <c r="HS86" s="174"/>
      <c r="HT86" s="174"/>
      <c r="HU86" s="174"/>
      <c r="HV86" s="174"/>
      <c r="HW86" s="174"/>
      <c r="HX86" s="174"/>
      <c r="HY86" s="174"/>
      <c r="HZ86" s="174"/>
      <c r="IA86" s="174"/>
      <c r="IB86" s="174"/>
      <c r="IC86" s="174"/>
      <c r="ID86" s="174"/>
      <c r="IE86" s="174"/>
      <c r="IF86" s="174"/>
      <c r="IG86" s="174"/>
      <c r="IH86" s="174"/>
      <c r="II86" s="174"/>
      <c r="IJ86" s="174"/>
      <c r="IK86" s="174"/>
      <c r="IL86" s="174"/>
      <c r="IM86" s="174"/>
      <c r="IN86" s="174"/>
      <c r="IO86" s="174"/>
      <c r="IP86" s="174"/>
      <c r="IQ86" s="174"/>
      <c r="IR86" s="174"/>
      <c r="IS86" s="174"/>
      <c r="IT86" s="174"/>
      <c r="IU86" s="174"/>
      <c r="IV86" s="174"/>
      <c r="IW86" s="174"/>
      <c r="IX86" s="174"/>
      <c r="IY86" s="174"/>
      <c r="IZ86" s="174"/>
      <c r="JA86" s="174"/>
      <c r="JB86" s="174"/>
      <c r="JC86" s="174"/>
      <c r="JD86" s="174"/>
      <c r="JE86" s="174"/>
      <c r="JF86" s="174"/>
      <c r="JG86" s="174"/>
      <c r="JH86" s="174"/>
      <c r="JI86" s="174"/>
      <c r="JJ86" s="174"/>
      <c r="JK86" s="174"/>
      <c r="JL86" s="174"/>
      <c r="JM86" s="174"/>
      <c r="JN86" s="174"/>
      <c r="JO86" s="174"/>
      <c r="JP86" s="174"/>
      <c r="JQ86" s="174"/>
      <c r="JR86" s="174"/>
      <c r="JS86" s="174"/>
      <c r="JT86" s="174"/>
      <c r="JU86" s="174"/>
      <c r="JV86" s="174"/>
    </row>
    <row r="87" spans="1:282" s="146" customFormat="1">
      <c r="A87" s="232"/>
      <c r="B87" s="173"/>
      <c r="C87" s="173"/>
      <c r="D87" s="233"/>
      <c r="E87" s="228"/>
      <c r="F87" s="234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  <c r="AY87" s="173"/>
      <c r="AZ87" s="173"/>
      <c r="BA87" s="277"/>
      <c r="BB87" s="173"/>
      <c r="BC87" s="173"/>
      <c r="BD87" s="173"/>
      <c r="BE87" s="173"/>
      <c r="BF87" s="173"/>
      <c r="BG87" s="173"/>
      <c r="BH87" s="173"/>
      <c r="BI87" s="173"/>
      <c r="BJ87" s="173"/>
      <c r="BK87" s="173"/>
      <c r="BL87" s="173"/>
      <c r="BM87" s="173"/>
      <c r="BN87" s="173"/>
      <c r="BO87" s="173"/>
      <c r="BP87" s="173"/>
      <c r="BQ87" s="173"/>
      <c r="BR87" s="173"/>
      <c r="BS87" s="173"/>
      <c r="BT87" s="173"/>
      <c r="BU87" s="173"/>
      <c r="BV87" s="173"/>
      <c r="BW87" s="173"/>
      <c r="BX87" s="173"/>
      <c r="BY87" s="173"/>
      <c r="BZ87" s="173"/>
      <c r="CA87" s="173"/>
      <c r="CB87" s="173"/>
      <c r="CC87" s="173"/>
      <c r="CD87" s="173"/>
      <c r="CE87" s="173"/>
      <c r="CF87" s="173"/>
      <c r="CG87" s="173"/>
      <c r="CH87" s="173"/>
      <c r="CI87" s="173"/>
      <c r="CJ87" s="173"/>
      <c r="CK87" s="173"/>
      <c r="CL87" s="173"/>
      <c r="CM87" s="173"/>
      <c r="CN87" s="173"/>
      <c r="CO87" s="173"/>
      <c r="CP87" s="173"/>
      <c r="CQ87" s="173"/>
      <c r="CR87" s="151"/>
      <c r="CS87" s="173"/>
      <c r="CT87" s="173"/>
      <c r="CU87" s="173"/>
      <c r="CV87" s="173"/>
      <c r="CW87" s="173"/>
      <c r="CX87" s="173"/>
      <c r="CY87" s="173"/>
      <c r="CZ87" s="173"/>
      <c r="DA87" s="222"/>
      <c r="DB87" s="222"/>
      <c r="DC87" s="222"/>
      <c r="DD87" s="222"/>
      <c r="DE87" s="222"/>
      <c r="DF87" s="222"/>
      <c r="DG87" s="222"/>
      <c r="DH87" s="222"/>
      <c r="DI87" s="222"/>
      <c r="DJ87" s="222"/>
      <c r="DK87" s="222"/>
      <c r="DL87" s="222"/>
      <c r="DM87" s="222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  <c r="FC87" s="174"/>
      <c r="FD87" s="174"/>
      <c r="FE87" s="174"/>
      <c r="FF87" s="174"/>
      <c r="FG87" s="174"/>
      <c r="FH87" s="174"/>
      <c r="FI87" s="174"/>
      <c r="FJ87" s="174"/>
      <c r="FK87" s="174"/>
      <c r="FL87" s="174"/>
      <c r="FM87" s="174"/>
      <c r="FN87" s="174"/>
      <c r="FO87" s="174"/>
      <c r="FP87" s="174"/>
      <c r="FQ87" s="174"/>
      <c r="FR87" s="174"/>
      <c r="FS87" s="174"/>
      <c r="FT87" s="174"/>
      <c r="FU87" s="174"/>
      <c r="FV87" s="174"/>
      <c r="FW87" s="174"/>
      <c r="FX87" s="174"/>
      <c r="FY87" s="174"/>
      <c r="FZ87" s="174"/>
      <c r="GA87" s="174"/>
      <c r="GB87" s="174"/>
      <c r="GC87" s="174"/>
      <c r="GD87" s="174"/>
      <c r="GE87" s="174"/>
      <c r="GF87" s="174"/>
      <c r="GG87" s="174"/>
      <c r="GH87" s="174"/>
      <c r="GI87" s="174"/>
      <c r="GJ87" s="174"/>
      <c r="GK87" s="174"/>
      <c r="GL87" s="174"/>
      <c r="GM87" s="174"/>
      <c r="GN87" s="174"/>
      <c r="GO87" s="174"/>
      <c r="GP87" s="174"/>
      <c r="GQ87" s="174"/>
      <c r="GR87" s="174"/>
      <c r="GS87" s="174"/>
      <c r="GT87" s="174"/>
      <c r="GU87" s="174"/>
      <c r="GV87" s="174"/>
      <c r="GW87" s="174"/>
      <c r="GX87" s="174"/>
      <c r="GY87" s="174"/>
      <c r="GZ87" s="174"/>
      <c r="HA87" s="174"/>
      <c r="HB87" s="174"/>
      <c r="HC87" s="174"/>
      <c r="HD87" s="174"/>
      <c r="HE87" s="174"/>
      <c r="HF87" s="174"/>
      <c r="HG87" s="174"/>
      <c r="HH87" s="174"/>
      <c r="HI87" s="174"/>
      <c r="HJ87" s="174"/>
      <c r="HK87" s="174"/>
      <c r="HL87" s="174"/>
      <c r="HM87" s="174"/>
      <c r="HN87" s="174"/>
      <c r="HO87" s="174"/>
      <c r="HP87" s="174"/>
      <c r="HQ87" s="174"/>
      <c r="HR87" s="174"/>
      <c r="HS87" s="174"/>
      <c r="HT87" s="174"/>
      <c r="HU87" s="174"/>
      <c r="HV87" s="174"/>
      <c r="HW87" s="174"/>
      <c r="HX87" s="174"/>
      <c r="HY87" s="174"/>
      <c r="HZ87" s="174"/>
      <c r="IA87" s="174"/>
      <c r="IB87" s="174"/>
      <c r="IC87" s="174"/>
      <c r="ID87" s="174"/>
      <c r="IE87" s="174"/>
      <c r="IF87" s="174"/>
      <c r="IG87" s="174"/>
      <c r="IH87" s="174"/>
      <c r="II87" s="174"/>
      <c r="IJ87" s="174"/>
      <c r="IK87" s="174"/>
      <c r="IL87" s="174"/>
      <c r="IM87" s="174"/>
      <c r="IN87" s="174"/>
      <c r="IO87" s="174"/>
      <c r="IP87" s="174"/>
      <c r="IQ87" s="174"/>
      <c r="IR87" s="174"/>
      <c r="IS87" s="174"/>
      <c r="IT87" s="174"/>
      <c r="IU87" s="174"/>
      <c r="IV87" s="174"/>
      <c r="IW87" s="174"/>
      <c r="IX87" s="174"/>
      <c r="IY87" s="174"/>
      <c r="IZ87" s="174"/>
      <c r="JA87" s="174"/>
      <c r="JB87" s="174"/>
      <c r="JC87" s="174"/>
      <c r="JD87" s="174"/>
      <c r="JE87" s="174"/>
      <c r="JF87" s="174"/>
      <c r="JG87" s="174"/>
      <c r="JH87" s="174"/>
      <c r="JI87" s="174"/>
      <c r="JJ87" s="174"/>
      <c r="JK87" s="174"/>
      <c r="JL87" s="174"/>
      <c r="JM87" s="174"/>
      <c r="JN87" s="174"/>
      <c r="JO87" s="174"/>
      <c r="JP87" s="174"/>
      <c r="JQ87" s="174"/>
      <c r="JR87" s="174"/>
      <c r="JS87" s="174"/>
      <c r="JT87" s="174"/>
      <c r="JU87" s="174"/>
      <c r="JV87" s="174"/>
    </row>
    <row r="88" spans="1:282" s="146" customFormat="1">
      <c r="A88" s="232"/>
      <c r="B88" s="173"/>
      <c r="C88" s="173"/>
      <c r="D88" s="233"/>
      <c r="E88" s="228"/>
      <c r="F88" s="234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  <c r="AY88" s="173"/>
      <c r="AZ88" s="173"/>
      <c r="BA88" s="277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73"/>
      <c r="BS88" s="173"/>
      <c r="BT88" s="173"/>
      <c r="BU88" s="173"/>
      <c r="BV88" s="173"/>
      <c r="BW88" s="173"/>
      <c r="BX88" s="173"/>
      <c r="BY88" s="173"/>
      <c r="BZ88" s="173"/>
      <c r="CA88" s="173"/>
      <c r="CB88" s="173"/>
      <c r="CC88" s="173"/>
      <c r="CD88" s="173"/>
      <c r="CE88" s="173"/>
      <c r="CF88" s="173"/>
      <c r="CG88" s="173"/>
      <c r="CH88" s="173"/>
      <c r="CI88" s="173"/>
      <c r="CJ88" s="173"/>
      <c r="CK88" s="173"/>
      <c r="CL88" s="173"/>
      <c r="CM88" s="173"/>
      <c r="CN88" s="173"/>
      <c r="CO88" s="173"/>
      <c r="CP88" s="173"/>
      <c r="CQ88" s="173"/>
      <c r="CR88" s="151"/>
      <c r="CS88" s="173"/>
      <c r="CT88" s="173"/>
      <c r="CU88" s="173"/>
      <c r="CV88" s="173"/>
      <c r="CW88" s="173"/>
      <c r="CX88" s="173"/>
      <c r="CY88" s="173"/>
      <c r="CZ88" s="173"/>
      <c r="DA88" s="222"/>
      <c r="DB88" s="222"/>
      <c r="DC88" s="222"/>
      <c r="DD88" s="222"/>
      <c r="DE88" s="222"/>
      <c r="DF88" s="222"/>
      <c r="DG88" s="222"/>
      <c r="DH88" s="222"/>
      <c r="DI88" s="222"/>
      <c r="DJ88" s="222"/>
      <c r="DK88" s="222"/>
      <c r="DL88" s="222"/>
      <c r="DM88" s="222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74"/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  <c r="FC88" s="174"/>
      <c r="FD88" s="174"/>
      <c r="FE88" s="174"/>
      <c r="FF88" s="174"/>
      <c r="FG88" s="174"/>
      <c r="FH88" s="174"/>
      <c r="FI88" s="174"/>
      <c r="FJ88" s="174"/>
      <c r="FK88" s="174"/>
      <c r="FL88" s="174"/>
      <c r="FM88" s="174"/>
      <c r="FN88" s="174"/>
      <c r="FO88" s="174"/>
      <c r="FP88" s="174"/>
      <c r="FQ88" s="174"/>
      <c r="FR88" s="174"/>
      <c r="FS88" s="174"/>
      <c r="FT88" s="174"/>
      <c r="FU88" s="174"/>
      <c r="FV88" s="174"/>
      <c r="FW88" s="174"/>
      <c r="FX88" s="174"/>
      <c r="FY88" s="174"/>
      <c r="FZ88" s="174"/>
      <c r="GA88" s="174"/>
      <c r="GB88" s="174"/>
      <c r="GC88" s="174"/>
      <c r="GD88" s="174"/>
      <c r="GE88" s="174"/>
      <c r="GF88" s="174"/>
      <c r="GG88" s="174"/>
      <c r="GH88" s="174"/>
      <c r="GI88" s="174"/>
      <c r="GJ88" s="174"/>
      <c r="GK88" s="174"/>
      <c r="GL88" s="174"/>
      <c r="GM88" s="174"/>
      <c r="GN88" s="174"/>
      <c r="GO88" s="174"/>
      <c r="GP88" s="174"/>
      <c r="GQ88" s="174"/>
      <c r="GR88" s="174"/>
      <c r="GS88" s="174"/>
      <c r="GT88" s="174"/>
      <c r="GU88" s="174"/>
      <c r="GV88" s="174"/>
      <c r="GW88" s="174"/>
      <c r="GX88" s="174"/>
      <c r="GY88" s="174"/>
      <c r="GZ88" s="174"/>
      <c r="HA88" s="174"/>
      <c r="HB88" s="174"/>
      <c r="HC88" s="174"/>
      <c r="HD88" s="174"/>
      <c r="HE88" s="174"/>
      <c r="HF88" s="174"/>
      <c r="HG88" s="174"/>
      <c r="HH88" s="174"/>
      <c r="HI88" s="174"/>
      <c r="HJ88" s="174"/>
      <c r="HK88" s="174"/>
      <c r="HL88" s="174"/>
      <c r="HM88" s="174"/>
      <c r="HN88" s="174"/>
      <c r="HO88" s="174"/>
      <c r="HP88" s="174"/>
      <c r="HQ88" s="174"/>
      <c r="HR88" s="174"/>
      <c r="HS88" s="174"/>
      <c r="HT88" s="174"/>
      <c r="HU88" s="174"/>
      <c r="HV88" s="174"/>
      <c r="HW88" s="174"/>
      <c r="HX88" s="174"/>
      <c r="HY88" s="174"/>
      <c r="HZ88" s="174"/>
      <c r="IA88" s="174"/>
      <c r="IB88" s="174"/>
      <c r="IC88" s="174"/>
      <c r="ID88" s="174"/>
      <c r="IE88" s="174"/>
      <c r="IF88" s="174"/>
      <c r="IG88" s="174"/>
      <c r="IH88" s="174"/>
      <c r="II88" s="174"/>
      <c r="IJ88" s="174"/>
      <c r="IK88" s="174"/>
      <c r="IL88" s="174"/>
      <c r="IM88" s="174"/>
      <c r="IN88" s="174"/>
      <c r="IO88" s="174"/>
      <c r="IP88" s="174"/>
      <c r="IQ88" s="174"/>
      <c r="IR88" s="174"/>
      <c r="IS88" s="174"/>
      <c r="IT88" s="174"/>
      <c r="IU88" s="174"/>
      <c r="IV88" s="174"/>
      <c r="IW88" s="174"/>
      <c r="IX88" s="174"/>
      <c r="IY88" s="174"/>
      <c r="IZ88" s="174"/>
      <c r="JA88" s="174"/>
      <c r="JB88" s="174"/>
      <c r="JC88" s="174"/>
      <c r="JD88" s="174"/>
      <c r="JE88" s="174"/>
      <c r="JF88" s="174"/>
      <c r="JG88" s="174"/>
      <c r="JH88" s="174"/>
      <c r="JI88" s="174"/>
      <c r="JJ88" s="174"/>
      <c r="JK88" s="174"/>
      <c r="JL88" s="174"/>
      <c r="JM88" s="174"/>
      <c r="JN88" s="174"/>
      <c r="JO88" s="174"/>
      <c r="JP88" s="174"/>
      <c r="JQ88" s="174"/>
      <c r="JR88" s="174"/>
      <c r="JS88" s="174"/>
      <c r="JT88" s="174"/>
      <c r="JU88" s="174"/>
      <c r="JV88" s="174"/>
    </row>
    <row r="89" spans="1:282" s="146" customFormat="1" ht="17.25" customHeight="1">
      <c r="A89" s="232"/>
      <c r="B89" s="173"/>
      <c r="C89" s="173"/>
      <c r="D89" s="233"/>
      <c r="E89" s="228"/>
      <c r="F89" s="234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  <c r="AY89" s="173"/>
      <c r="AZ89" s="173"/>
      <c r="BA89" s="277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173"/>
      <c r="BP89" s="173"/>
      <c r="BQ89" s="173"/>
      <c r="BR89" s="173"/>
      <c r="BS89" s="173"/>
      <c r="BT89" s="173"/>
      <c r="BU89" s="173"/>
      <c r="BV89" s="173"/>
      <c r="BW89" s="173"/>
      <c r="BX89" s="173"/>
      <c r="BY89" s="173"/>
      <c r="BZ89" s="173"/>
      <c r="CA89" s="173"/>
      <c r="CB89" s="173"/>
      <c r="CC89" s="173"/>
      <c r="CD89" s="173"/>
      <c r="CE89" s="173"/>
      <c r="CF89" s="173"/>
      <c r="CG89" s="173"/>
      <c r="CH89" s="173"/>
      <c r="CI89" s="173"/>
      <c r="CJ89" s="173"/>
      <c r="CK89" s="173"/>
      <c r="CL89" s="173"/>
      <c r="CM89" s="173"/>
      <c r="CN89" s="173"/>
      <c r="CO89" s="173"/>
      <c r="CP89" s="173"/>
      <c r="CQ89" s="173"/>
      <c r="CR89" s="151"/>
      <c r="CS89" s="173"/>
      <c r="CT89" s="173"/>
      <c r="CU89" s="173"/>
      <c r="CV89" s="173"/>
      <c r="CW89" s="173"/>
      <c r="CX89" s="173"/>
      <c r="CY89" s="173"/>
      <c r="CZ89" s="173"/>
      <c r="DA89" s="222"/>
      <c r="DB89" s="222"/>
      <c r="DC89" s="222"/>
      <c r="DD89" s="222"/>
      <c r="DE89" s="222"/>
      <c r="DF89" s="222"/>
      <c r="DG89" s="222"/>
      <c r="DH89" s="222"/>
      <c r="DI89" s="222"/>
      <c r="DJ89" s="222"/>
      <c r="DK89" s="222"/>
      <c r="DL89" s="222"/>
      <c r="DM89" s="222"/>
      <c r="DN89" s="174"/>
      <c r="DO89" s="174"/>
      <c r="DP89" s="174"/>
      <c r="DQ89" s="174"/>
      <c r="DR89" s="174"/>
      <c r="DS89" s="174"/>
      <c r="DT89" s="174"/>
      <c r="DU89" s="174"/>
      <c r="DV89" s="174"/>
      <c r="DW89" s="174"/>
      <c r="DX89" s="174"/>
      <c r="DY89" s="174"/>
      <c r="DZ89" s="174"/>
      <c r="EA89" s="174"/>
      <c r="EB89" s="174"/>
      <c r="EC89" s="174"/>
      <c r="ED89" s="174"/>
      <c r="EE89" s="174"/>
      <c r="EF89" s="174"/>
      <c r="EG89" s="174"/>
      <c r="EH89" s="174"/>
      <c r="EI89" s="174"/>
      <c r="EJ89" s="174"/>
      <c r="EK89" s="174"/>
      <c r="EL89" s="174"/>
      <c r="EM89" s="174"/>
      <c r="EN89" s="174"/>
      <c r="EO89" s="174"/>
      <c r="EP89" s="174"/>
      <c r="EQ89" s="174"/>
      <c r="ER89" s="174"/>
      <c r="ES89" s="174"/>
      <c r="ET89" s="174"/>
      <c r="EU89" s="174"/>
      <c r="EV89" s="174"/>
      <c r="EW89" s="174"/>
      <c r="EX89" s="174"/>
      <c r="EY89" s="174"/>
      <c r="EZ89" s="174"/>
      <c r="FA89" s="174"/>
      <c r="FB89" s="174"/>
      <c r="FC89" s="174"/>
      <c r="FD89" s="174"/>
      <c r="FE89" s="174"/>
      <c r="FF89" s="174"/>
      <c r="FG89" s="174"/>
      <c r="FH89" s="174"/>
      <c r="FI89" s="174"/>
      <c r="FJ89" s="174"/>
      <c r="FK89" s="174"/>
      <c r="FL89" s="174"/>
      <c r="FM89" s="174"/>
      <c r="FN89" s="174"/>
      <c r="FO89" s="174"/>
      <c r="FP89" s="174"/>
      <c r="FQ89" s="174"/>
      <c r="FR89" s="174"/>
      <c r="FS89" s="174"/>
      <c r="FT89" s="174"/>
      <c r="FU89" s="174"/>
      <c r="FV89" s="174"/>
      <c r="FW89" s="174"/>
      <c r="FX89" s="174"/>
      <c r="FY89" s="174"/>
      <c r="FZ89" s="174"/>
      <c r="GA89" s="174"/>
      <c r="GB89" s="174"/>
      <c r="GC89" s="174"/>
      <c r="GD89" s="174"/>
      <c r="GE89" s="174"/>
      <c r="GF89" s="174"/>
      <c r="GG89" s="174"/>
      <c r="GH89" s="174"/>
      <c r="GI89" s="174"/>
      <c r="GJ89" s="174"/>
      <c r="GK89" s="174"/>
      <c r="GL89" s="174"/>
      <c r="GM89" s="174"/>
      <c r="GN89" s="174"/>
      <c r="GO89" s="174"/>
      <c r="GP89" s="174"/>
      <c r="GQ89" s="174"/>
      <c r="GR89" s="174"/>
      <c r="GS89" s="174"/>
      <c r="GT89" s="174"/>
      <c r="GU89" s="174"/>
      <c r="GV89" s="174"/>
      <c r="GW89" s="174"/>
      <c r="GX89" s="174"/>
      <c r="GY89" s="174"/>
      <c r="GZ89" s="174"/>
      <c r="HA89" s="174"/>
      <c r="HB89" s="174"/>
      <c r="HC89" s="174"/>
      <c r="HD89" s="174"/>
      <c r="HE89" s="174"/>
      <c r="HF89" s="174"/>
      <c r="HG89" s="174"/>
      <c r="HH89" s="174"/>
      <c r="HI89" s="174"/>
      <c r="HJ89" s="174"/>
      <c r="HK89" s="174"/>
      <c r="HL89" s="174"/>
      <c r="HM89" s="174"/>
      <c r="HN89" s="174"/>
      <c r="HO89" s="174"/>
      <c r="HP89" s="174"/>
      <c r="HQ89" s="174"/>
      <c r="HR89" s="174"/>
      <c r="HS89" s="174"/>
      <c r="HT89" s="174"/>
      <c r="HU89" s="174"/>
      <c r="HV89" s="174"/>
      <c r="HW89" s="174"/>
      <c r="HX89" s="174"/>
      <c r="HY89" s="174"/>
      <c r="HZ89" s="174"/>
      <c r="IA89" s="174"/>
      <c r="IB89" s="174"/>
      <c r="IC89" s="174"/>
      <c r="ID89" s="174"/>
      <c r="IE89" s="174"/>
      <c r="IF89" s="174"/>
      <c r="IG89" s="174"/>
      <c r="IH89" s="174"/>
      <c r="II89" s="174"/>
      <c r="IJ89" s="174"/>
      <c r="IK89" s="174"/>
      <c r="IL89" s="174"/>
      <c r="IM89" s="174"/>
      <c r="IN89" s="174"/>
      <c r="IO89" s="174"/>
      <c r="IP89" s="174"/>
      <c r="IQ89" s="174"/>
      <c r="IR89" s="174"/>
      <c r="IS89" s="174"/>
      <c r="IT89" s="174"/>
      <c r="IU89" s="174"/>
      <c r="IV89" s="174"/>
      <c r="IW89" s="174"/>
      <c r="IX89" s="174"/>
      <c r="IY89" s="174"/>
      <c r="IZ89" s="174"/>
      <c r="JA89" s="174"/>
      <c r="JB89" s="174"/>
      <c r="JC89" s="174"/>
      <c r="JD89" s="174"/>
      <c r="JE89" s="174"/>
      <c r="JF89" s="174"/>
      <c r="JG89" s="174"/>
      <c r="JH89" s="174"/>
      <c r="JI89" s="174"/>
      <c r="JJ89" s="174"/>
      <c r="JK89" s="174"/>
      <c r="JL89" s="174"/>
      <c r="JM89" s="174"/>
      <c r="JN89" s="174"/>
      <c r="JO89" s="174"/>
      <c r="JP89" s="174"/>
      <c r="JQ89" s="174"/>
      <c r="JR89" s="174"/>
      <c r="JS89" s="174"/>
      <c r="JT89" s="174"/>
      <c r="JU89" s="174"/>
      <c r="JV89" s="174"/>
    </row>
    <row r="90" spans="1:282" s="146" customFormat="1">
      <c r="A90" s="232"/>
      <c r="B90" s="173"/>
      <c r="C90" s="173"/>
      <c r="D90" s="233"/>
      <c r="E90" s="228"/>
      <c r="F90" s="234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3"/>
      <c r="AR90" s="173"/>
      <c r="AS90" s="173"/>
      <c r="AT90" s="173"/>
      <c r="AU90" s="173"/>
      <c r="AV90" s="173"/>
      <c r="AW90" s="173"/>
      <c r="AX90" s="173"/>
      <c r="AY90" s="173"/>
      <c r="AZ90" s="173"/>
      <c r="BA90" s="277"/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3"/>
      <c r="BS90" s="173"/>
      <c r="BT90" s="173"/>
      <c r="BU90" s="173"/>
      <c r="BV90" s="173"/>
      <c r="BW90" s="173"/>
      <c r="BX90" s="173"/>
      <c r="BY90" s="173"/>
      <c r="BZ90" s="173"/>
      <c r="CA90" s="173"/>
      <c r="CB90" s="173"/>
      <c r="CC90" s="173"/>
      <c r="CD90" s="173"/>
      <c r="CE90" s="173"/>
      <c r="CF90" s="173"/>
      <c r="CG90" s="173"/>
      <c r="CH90" s="173"/>
      <c r="CI90" s="173"/>
      <c r="CJ90" s="173"/>
      <c r="CK90" s="173"/>
      <c r="CL90" s="173"/>
      <c r="CM90" s="173"/>
      <c r="CN90" s="173"/>
      <c r="CO90" s="173"/>
      <c r="CP90" s="173"/>
      <c r="CQ90" s="173"/>
      <c r="CR90" s="151"/>
      <c r="CS90" s="173"/>
      <c r="CT90" s="173"/>
      <c r="CU90" s="173"/>
      <c r="CV90" s="173"/>
      <c r="CW90" s="173"/>
      <c r="CX90" s="173"/>
      <c r="CY90" s="173"/>
      <c r="CZ90" s="173"/>
      <c r="DA90" s="222"/>
      <c r="DB90" s="222"/>
      <c r="DC90" s="222"/>
      <c r="DD90" s="222"/>
      <c r="DE90" s="222"/>
      <c r="DF90" s="222"/>
      <c r="DG90" s="222"/>
      <c r="DH90" s="222"/>
      <c r="DI90" s="222"/>
      <c r="DJ90" s="222"/>
      <c r="DK90" s="222"/>
      <c r="DL90" s="222"/>
      <c r="DM90" s="222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4"/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  <c r="FC90" s="174"/>
      <c r="FD90" s="174"/>
      <c r="FE90" s="174"/>
      <c r="FF90" s="174"/>
      <c r="FG90" s="174"/>
      <c r="FH90" s="174"/>
      <c r="FI90" s="174"/>
      <c r="FJ90" s="174"/>
      <c r="FK90" s="174"/>
      <c r="FL90" s="174"/>
      <c r="FM90" s="174"/>
      <c r="FN90" s="174"/>
      <c r="FO90" s="174"/>
      <c r="FP90" s="174"/>
      <c r="FQ90" s="174"/>
      <c r="FR90" s="174"/>
      <c r="FS90" s="174"/>
      <c r="FT90" s="174"/>
      <c r="FU90" s="174"/>
      <c r="FV90" s="174"/>
      <c r="FW90" s="174"/>
      <c r="FX90" s="174"/>
      <c r="FY90" s="174"/>
      <c r="FZ90" s="174"/>
      <c r="GA90" s="174"/>
      <c r="GB90" s="174"/>
      <c r="GC90" s="174"/>
      <c r="GD90" s="174"/>
      <c r="GE90" s="174"/>
      <c r="GF90" s="174"/>
      <c r="GG90" s="174"/>
      <c r="GH90" s="174"/>
      <c r="GI90" s="174"/>
      <c r="GJ90" s="174"/>
      <c r="GK90" s="174"/>
      <c r="GL90" s="174"/>
      <c r="GM90" s="174"/>
      <c r="GN90" s="174"/>
      <c r="GO90" s="174"/>
      <c r="GP90" s="174"/>
      <c r="GQ90" s="174"/>
      <c r="GR90" s="174"/>
      <c r="GS90" s="174"/>
      <c r="GT90" s="174"/>
      <c r="GU90" s="174"/>
      <c r="GV90" s="174"/>
      <c r="GW90" s="174"/>
      <c r="GX90" s="174"/>
      <c r="GY90" s="174"/>
      <c r="GZ90" s="174"/>
      <c r="HA90" s="174"/>
      <c r="HB90" s="174"/>
      <c r="HC90" s="174"/>
      <c r="HD90" s="174"/>
      <c r="HE90" s="174"/>
      <c r="HF90" s="174"/>
      <c r="HG90" s="174"/>
      <c r="HH90" s="174"/>
      <c r="HI90" s="174"/>
      <c r="HJ90" s="174"/>
      <c r="HK90" s="174"/>
      <c r="HL90" s="174"/>
      <c r="HM90" s="174"/>
      <c r="HN90" s="174"/>
      <c r="HO90" s="174"/>
      <c r="HP90" s="174"/>
      <c r="HQ90" s="174"/>
      <c r="HR90" s="174"/>
      <c r="HS90" s="174"/>
      <c r="HT90" s="174"/>
      <c r="HU90" s="174"/>
      <c r="HV90" s="174"/>
      <c r="HW90" s="174"/>
      <c r="HX90" s="174"/>
      <c r="HY90" s="174"/>
      <c r="HZ90" s="174"/>
      <c r="IA90" s="174"/>
      <c r="IB90" s="174"/>
      <c r="IC90" s="174"/>
      <c r="ID90" s="174"/>
      <c r="IE90" s="174"/>
      <c r="IF90" s="174"/>
      <c r="IG90" s="174"/>
      <c r="IH90" s="174"/>
      <c r="II90" s="174"/>
      <c r="IJ90" s="174"/>
      <c r="IK90" s="174"/>
      <c r="IL90" s="174"/>
      <c r="IM90" s="174"/>
      <c r="IN90" s="174"/>
      <c r="IO90" s="174"/>
      <c r="IP90" s="174"/>
      <c r="IQ90" s="174"/>
      <c r="IR90" s="174"/>
      <c r="IS90" s="174"/>
      <c r="IT90" s="174"/>
      <c r="IU90" s="174"/>
      <c r="IV90" s="174"/>
      <c r="IW90" s="174"/>
      <c r="IX90" s="174"/>
      <c r="IY90" s="174"/>
      <c r="IZ90" s="174"/>
      <c r="JA90" s="174"/>
      <c r="JB90" s="174"/>
      <c r="JC90" s="174"/>
      <c r="JD90" s="174"/>
      <c r="JE90" s="174"/>
      <c r="JF90" s="174"/>
      <c r="JG90" s="174"/>
      <c r="JH90" s="174"/>
      <c r="JI90" s="174"/>
      <c r="JJ90" s="174"/>
      <c r="JK90" s="174"/>
      <c r="JL90" s="174"/>
      <c r="JM90" s="174"/>
      <c r="JN90" s="174"/>
      <c r="JO90" s="174"/>
      <c r="JP90" s="174"/>
      <c r="JQ90" s="174"/>
      <c r="JR90" s="174"/>
      <c r="JS90" s="174"/>
      <c r="JT90" s="174"/>
      <c r="JU90" s="174"/>
      <c r="JV90" s="174"/>
    </row>
    <row r="91" spans="1:282" s="146" customFormat="1">
      <c r="A91" s="232"/>
      <c r="B91" s="173"/>
      <c r="C91" s="173"/>
      <c r="D91" s="233"/>
      <c r="E91" s="228"/>
      <c r="F91" s="234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/>
      <c r="AR91" s="173"/>
      <c r="AS91" s="173"/>
      <c r="AT91" s="173"/>
      <c r="AU91" s="173"/>
      <c r="AV91" s="173"/>
      <c r="AW91" s="173"/>
      <c r="AX91" s="173"/>
      <c r="AY91" s="173"/>
      <c r="AZ91" s="173"/>
      <c r="BA91" s="277"/>
      <c r="BB91" s="173"/>
      <c r="BC91" s="173"/>
      <c r="BD91" s="173"/>
      <c r="BE91" s="173"/>
      <c r="BF91" s="173"/>
      <c r="BG91" s="173"/>
      <c r="BH91" s="173"/>
      <c r="BI91" s="173"/>
      <c r="BJ91" s="173"/>
      <c r="BK91" s="173"/>
      <c r="BL91" s="173"/>
      <c r="BM91" s="173"/>
      <c r="BN91" s="173"/>
      <c r="BO91" s="173"/>
      <c r="BP91" s="173"/>
      <c r="BQ91" s="173"/>
      <c r="BR91" s="173"/>
      <c r="BS91" s="173"/>
      <c r="BT91" s="173"/>
      <c r="BU91" s="173"/>
      <c r="BV91" s="173"/>
      <c r="BW91" s="173"/>
      <c r="BX91" s="173"/>
      <c r="BY91" s="173"/>
      <c r="BZ91" s="173"/>
      <c r="CA91" s="173"/>
      <c r="CB91" s="173"/>
      <c r="CC91" s="173"/>
      <c r="CD91" s="173"/>
      <c r="CE91" s="173"/>
      <c r="CF91" s="173"/>
      <c r="CG91" s="173"/>
      <c r="CH91" s="173"/>
      <c r="CI91" s="173"/>
      <c r="CJ91" s="173"/>
      <c r="CK91" s="173"/>
      <c r="CL91" s="173"/>
      <c r="CM91" s="173"/>
      <c r="CN91" s="173"/>
      <c r="CO91" s="173"/>
      <c r="CP91" s="173"/>
      <c r="CQ91" s="173"/>
      <c r="CR91" s="151"/>
      <c r="CS91" s="173"/>
      <c r="CT91" s="173"/>
      <c r="CU91" s="173"/>
      <c r="CV91" s="173"/>
      <c r="CW91" s="173"/>
      <c r="CX91" s="173"/>
      <c r="CY91" s="173"/>
      <c r="CZ91" s="173"/>
      <c r="DA91" s="222"/>
      <c r="DB91" s="222"/>
      <c r="DC91" s="222"/>
      <c r="DD91" s="222"/>
      <c r="DE91" s="222"/>
      <c r="DF91" s="222"/>
      <c r="DG91" s="222"/>
      <c r="DH91" s="222"/>
      <c r="DI91" s="222"/>
      <c r="DJ91" s="222"/>
      <c r="DK91" s="222"/>
      <c r="DL91" s="222"/>
      <c r="DM91" s="222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4"/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  <c r="FC91" s="174"/>
      <c r="FD91" s="174"/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FV91" s="174"/>
      <c r="FW91" s="174"/>
      <c r="FX91" s="174"/>
      <c r="FY91" s="174"/>
      <c r="FZ91" s="174"/>
      <c r="GA91" s="174"/>
      <c r="GB91" s="174"/>
      <c r="GC91" s="174"/>
      <c r="GD91" s="174"/>
      <c r="GE91" s="174"/>
      <c r="GF91" s="174"/>
      <c r="GG91" s="174"/>
      <c r="GH91" s="174"/>
      <c r="GI91" s="174"/>
      <c r="GJ91" s="174"/>
      <c r="GK91" s="174"/>
      <c r="GL91" s="174"/>
      <c r="GM91" s="174"/>
      <c r="GN91" s="174"/>
      <c r="GO91" s="174"/>
      <c r="GP91" s="174"/>
      <c r="GQ91" s="174"/>
      <c r="GR91" s="174"/>
      <c r="GS91" s="174"/>
      <c r="GT91" s="174"/>
      <c r="GU91" s="174"/>
      <c r="GV91" s="174"/>
      <c r="GW91" s="174"/>
      <c r="GX91" s="174"/>
      <c r="GY91" s="174"/>
      <c r="GZ91" s="174"/>
      <c r="HA91" s="174"/>
      <c r="HB91" s="174"/>
      <c r="HC91" s="174"/>
      <c r="HD91" s="174"/>
      <c r="HE91" s="174"/>
      <c r="HF91" s="174"/>
      <c r="HG91" s="174"/>
      <c r="HH91" s="174"/>
      <c r="HI91" s="174"/>
      <c r="HJ91" s="174"/>
      <c r="HK91" s="174"/>
      <c r="HL91" s="174"/>
      <c r="HM91" s="174"/>
      <c r="HN91" s="174"/>
      <c r="HO91" s="174"/>
      <c r="HP91" s="174"/>
      <c r="HQ91" s="174"/>
      <c r="HR91" s="174"/>
      <c r="HS91" s="174"/>
      <c r="HT91" s="174"/>
      <c r="HU91" s="174"/>
      <c r="HV91" s="174"/>
      <c r="HW91" s="174"/>
      <c r="HX91" s="174"/>
      <c r="HY91" s="174"/>
      <c r="HZ91" s="174"/>
      <c r="IA91" s="174"/>
      <c r="IB91" s="174"/>
      <c r="IC91" s="174"/>
      <c r="ID91" s="174"/>
      <c r="IE91" s="174"/>
      <c r="IF91" s="174"/>
      <c r="IG91" s="174"/>
      <c r="IH91" s="174"/>
      <c r="II91" s="174"/>
      <c r="IJ91" s="174"/>
      <c r="IK91" s="174"/>
      <c r="IL91" s="174"/>
      <c r="IM91" s="174"/>
      <c r="IN91" s="174"/>
      <c r="IO91" s="174"/>
      <c r="IP91" s="174"/>
      <c r="IQ91" s="174"/>
      <c r="IR91" s="174"/>
      <c r="IS91" s="174"/>
      <c r="IT91" s="174"/>
      <c r="IU91" s="174"/>
      <c r="IV91" s="174"/>
      <c r="IW91" s="174"/>
      <c r="IX91" s="174"/>
      <c r="IY91" s="174"/>
      <c r="IZ91" s="174"/>
      <c r="JA91" s="174"/>
      <c r="JB91" s="174"/>
      <c r="JC91" s="174"/>
      <c r="JD91" s="174"/>
      <c r="JE91" s="174"/>
      <c r="JF91" s="174"/>
      <c r="JG91" s="174"/>
      <c r="JH91" s="174"/>
      <c r="JI91" s="174"/>
      <c r="JJ91" s="174"/>
      <c r="JK91" s="174"/>
      <c r="JL91" s="174"/>
      <c r="JM91" s="174"/>
      <c r="JN91" s="174"/>
      <c r="JO91" s="174"/>
      <c r="JP91" s="174"/>
      <c r="JQ91" s="174"/>
      <c r="JR91" s="174"/>
      <c r="JS91" s="174"/>
      <c r="JT91" s="174"/>
      <c r="JU91" s="174"/>
      <c r="JV91" s="174"/>
    </row>
    <row r="92" spans="1:282" s="146" customFormat="1">
      <c r="A92" s="232"/>
      <c r="B92" s="173"/>
      <c r="C92" s="173"/>
      <c r="D92" s="233"/>
      <c r="E92" s="228"/>
      <c r="F92" s="234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  <c r="AQ92" s="173"/>
      <c r="AR92" s="173"/>
      <c r="AS92" s="173"/>
      <c r="AT92" s="173"/>
      <c r="AU92" s="173"/>
      <c r="AV92" s="173"/>
      <c r="AW92" s="173"/>
      <c r="AX92" s="173"/>
      <c r="AY92" s="173"/>
      <c r="AZ92" s="173"/>
      <c r="BA92" s="277"/>
      <c r="BB92" s="173"/>
      <c r="BC92" s="173"/>
      <c r="BD92" s="173"/>
      <c r="BE92" s="173"/>
      <c r="BF92" s="173"/>
      <c r="BG92" s="173"/>
      <c r="BH92" s="173"/>
      <c r="BI92" s="173"/>
      <c r="BJ92" s="173"/>
      <c r="BK92" s="173"/>
      <c r="BL92" s="173"/>
      <c r="BM92" s="173"/>
      <c r="BN92" s="173"/>
      <c r="BO92" s="173"/>
      <c r="BP92" s="173"/>
      <c r="BQ92" s="173"/>
      <c r="BR92" s="173"/>
      <c r="BS92" s="173"/>
      <c r="BT92" s="173"/>
      <c r="BU92" s="173"/>
      <c r="BV92" s="173"/>
      <c r="BW92" s="173"/>
      <c r="BX92" s="173"/>
      <c r="BY92" s="173"/>
      <c r="BZ92" s="173"/>
      <c r="CA92" s="173"/>
      <c r="CB92" s="173"/>
      <c r="CC92" s="173"/>
      <c r="CD92" s="173"/>
      <c r="CE92" s="173"/>
      <c r="CF92" s="173"/>
      <c r="CG92" s="173"/>
      <c r="CH92" s="173"/>
      <c r="CI92" s="173"/>
      <c r="CJ92" s="173"/>
      <c r="CK92" s="173"/>
      <c r="CL92" s="173"/>
      <c r="CM92" s="173"/>
      <c r="CN92" s="173"/>
      <c r="CO92" s="173"/>
      <c r="CP92" s="173"/>
      <c r="CQ92" s="173"/>
      <c r="CR92" s="151"/>
      <c r="CS92" s="173"/>
      <c r="CT92" s="173"/>
      <c r="CU92" s="173"/>
      <c r="CV92" s="173"/>
      <c r="CW92" s="173"/>
      <c r="CX92" s="173"/>
      <c r="CY92" s="173"/>
      <c r="CZ92" s="173"/>
      <c r="DA92" s="150"/>
      <c r="DB92" s="150"/>
      <c r="DC92" s="150"/>
      <c r="DD92" s="150"/>
      <c r="DE92" s="150"/>
      <c r="DF92" s="150"/>
      <c r="DG92" s="150"/>
      <c r="DH92" s="150"/>
      <c r="DI92" s="150"/>
      <c r="DJ92" s="150"/>
      <c r="DK92" s="222"/>
      <c r="DL92" s="222"/>
      <c r="DM92" s="222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4"/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  <c r="FC92" s="174"/>
      <c r="FD92" s="174"/>
      <c r="FE92" s="174"/>
      <c r="FF92" s="174"/>
      <c r="FG92" s="174"/>
      <c r="FH92" s="174"/>
      <c r="FI92" s="174"/>
      <c r="FJ92" s="174"/>
      <c r="FK92" s="174"/>
      <c r="FL92" s="174"/>
      <c r="FM92" s="174"/>
      <c r="FN92" s="174"/>
      <c r="FO92" s="174"/>
      <c r="FP92" s="174"/>
      <c r="FQ92" s="174"/>
      <c r="FR92" s="174"/>
      <c r="FS92" s="174"/>
      <c r="FT92" s="174"/>
      <c r="FU92" s="174"/>
      <c r="FV92" s="174"/>
      <c r="FW92" s="174"/>
      <c r="FX92" s="174"/>
      <c r="FY92" s="174"/>
      <c r="FZ92" s="174"/>
      <c r="GA92" s="174"/>
      <c r="GB92" s="174"/>
      <c r="GC92" s="174"/>
      <c r="GD92" s="174"/>
      <c r="GE92" s="174"/>
      <c r="GF92" s="174"/>
      <c r="GG92" s="174"/>
      <c r="GH92" s="174"/>
      <c r="GI92" s="174"/>
      <c r="GJ92" s="174"/>
      <c r="GK92" s="174"/>
      <c r="GL92" s="174"/>
      <c r="GM92" s="174"/>
      <c r="GN92" s="174"/>
      <c r="GO92" s="174"/>
      <c r="GP92" s="174"/>
      <c r="GQ92" s="174"/>
      <c r="GR92" s="174"/>
      <c r="GS92" s="174"/>
      <c r="GT92" s="174"/>
      <c r="GU92" s="174"/>
      <c r="GV92" s="174"/>
      <c r="GW92" s="174"/>
      <c r="GX92" s="174"/>
      <c r="GY92" s="174"/>
      <c r="GZ92" s="174"/>
      <c r="HA92" s="174"/>
      <c r="HB92" s="174"/>
      <c r="HC92" s="174"/>
      <c r="HD92" s="174"/>
      <c r="HE92" s="174"/>
      <c r="HF92" s="174"/>
      <c r="HG92" s="174"/>
      <c r="HH92" s="174"/>
      <c r="HI92" s="174"/>
      <c r="HJ92" s="174"/>
      <c r="HK92" s="174"/>
      <c r="HL92" s="174"/>
      <c r="HM92" s="174"/>
      <c r="HN92" s="174"/>
      <c r="HO92" s="174"/>
      <c r="HP92" s="174"/>
      <c r="HQ92" s="174"/>
      <c r="HR92" s="174"/>
      <c r="HS92" s="174"/>
      <c r="HT92" s="174"/>
      <c r="HU92" s="174"/>
      <c r="HV92" s="174"/>
      <c r="HW92" s="174"/>
      <c r="HX92" s="174"/>
      <c r="HY92" s="174"/>
      <c r="HZ92" s="174"/>
      <c r="IA92" s="174"/>
      <c r="IB92" s="174"/>
      <c r="IC92" s="174"/>
      <c r="ID92" s="174"/>
      <c r="IE92" s="174"/>
      <c r="IF92" s="174"/>
      <c r="IG92" s="174"/>
      <c r="IH92" s="174"/>
      <c r="II92" s="174"/>
      <c r="IJ92" s="174"/>
      <c r="IK92" s="174"/>
      <c r="IL92" s="174"/>
      <c r="IM92" s="174"/>
      <c r="IN92" s="174"/>
      <c r="IO92" s="174"/>
      <c r="IP92" s="174"/>
      <c r="IQ92" s="174"/>
      <c r="IR92" s="174"/>
      <c r="IS92" s="174"/>
      <c r="IT92" s="174"/>
      <c r="IU92" s="174"/>
      <c r="IV92" s="174"/>
      <c r="IW92" s="174"/>
      <c r="IX92" s="174"/>
      <c r="IY92" s="174"/>
      <c r="IZ92" s="174"/>
      <c r="JA92" s="174"/>
      <c r="JB92" s="174"/>
      <c r="JC92" s="174"/>
      <c r="JD92" s="174"/>
      <c r="JE92" s="174"/>
      <c r="JF92" s="174"/>
      <c r="JG92" s="174"/>
      <c r="JH92" s="174"/>
      <c r="JI92" s="174"/>
      <c r="JJ92" s="174"/>
      <c r="JK92" s="174"/>
      <c r="JL92" s="174"/>
      <c r="JM92" s="174"/>
      <c r="JN92" s="174"/>
      <c r="JO92" s="174"/>
      <c r="JP92" s="174"/>
      <c r="JQ92" s="174"/>
      <c r="JR92" s="174"/>
      <c r="JS92" s="174"/>
      <c r="JT92" s="174"/>
      <c r="JU92" s="174"/>
      <c r="JV92" s="174"/>
    </row>
    <row r="93" spans="1:282" s="146" customFormat="1">
      <c r="A93" s="232"/>
      <c r="B93" s="173"/>
      <c r="C93" s="173"/>
      <c r="D93" s="233"/>
      <c r="E93" s="228"/>
      <c r="F93" s="234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  <c r="AQ93" s="173"/>
      <c r="AR93" s="173"/>
      <c r="AS93" s="173"/>
      <c r="AT93" s="173"/>
      <c r="AU93" s="173"/>
      <c r="AV93" s="173"/>
      <c r="AW93" s="173"/>
      <c r="AX93" s="173"/>
      <c r="AY93" s="173"/>
      <c r="AZ93" s="173"/>
      <c r="BA93" s="277"/>
      <c r="BB93" s="173"/>
      <c r="BC93" s="173"/>
      <c r="BD93" s="173"/>
      <c r="BE93" s="173"/>
      <c r="BF93" s="173"/>
      <c r="BG93" s="173"/>
      <c r="BH93" s="173"/>
      <c r="BI93" s="173"/>
      <c r="BJ93" s="173"/>
      <c r="BK93" s="173"/>
      <c r="BL93" s="173"/>
      <c r="BM93" s="173"/>
      <c r="BN93" s="173"/>
      <c r="BO93" s="173"/>
      <c r="BP93" s="173"/>
      <c r="BQ93" s="173"/>
      <c r="BR93" s="173"/>
      <c r="BS93" s="173"/>
      <c r="BT93" s="173"/>
      <c r="BU93" s="173"/>
      <c r="BV93" s="173"/>
      <c r="BW93" s="173"/>
      <c r="BX93" s="173"/>
      <c r="BY93" s="173"/>
      <c r="BZ93" s="173"/>
      <c r="CA93" s="173"/>
      <c r="CB93" s="173"/>
      <c r="CC93" s="173"/>
      <c r="CD93" s="173"/>
      <c r="CE93" s="173"/>
      <c r="CF93" s="173"/>
      <c r="CG93" s="173"/>
      <c r="CH93" s="173"/>
      <c r="CI93" s="173"/>
      <c r="CJ93" s="173"/>
      <c r="CK93" s="173"/>
      <c r="CL93" s="173"/>
      <c r="CM93" s="173"/>
      <c r="CN93" s="173"/>
      <c r="CO93" s="173"/>
      <c r="CP93" s="173"/>
      <c r="CQ93" s="173"/>
      <c r="CR93" s="151"/>
      <c r="CS93" s="173"/>
      <c r="CT93" s="173"/>
      <c r="CU93" s="173"/>
      <c r="CV93" s="173"/>
      <c r="CW93" s="173"/>
      <c r="CX93" s="173"/>
      <c r="CY93" s="173"/>
      <c r="CZ93" s="173"/>
      <c r="DA93" s="222"/>
      <c r="DB93" s="222"/>
      <c r="DC93" s="222"/>
      <c r="DD93" s="222"/>
      <c r="DE93" s="222"/>
      <c r="DF93" s="222"/>
      <c r="DG93" s="222"/>
      <c r="DH93" s="222"/>
      <c r="DI93" s="222"/>
      <c r="DJ93" s="222"/>
      <c r="DK93" s="222"/>
      <c r="DL93" s="222"/>
      <c r="DM93" s="222"/>
      <c r="DN93" s="174"/>
      <c r="DO93" s="174"/>
      <c r="DP93" s="174"/>
      <c r="DQ93" s="174"/>
      <c r="DR93" s="174"/>
      <c r="DS93" s="174"/>
      <c r="DT93" s="174"/>
      <c r="DU93" s="174"/>
      <c r="DV93" s="174"/>
      <c r="DW93" s="174"/>
      <c r="DX93" s="174"/>
      <c r="DY93" s="174"/>
      <c r="DZ93" s="174"/>
      <c r="EA93" s="174"/>
      <c r="EB93" s="174"/>
      <c r="EC93" s="174"/>
      <c r="ED93" s="174"/>
      <c r="EE93" s="174"/>
      <c r="EF93" s="17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  <c r="FC93" s="174"/>
      <c r="FD93" s="174"/>
      <c r="FE93" s="174"/>
      <c r="FF93" s="174"/>
      <c r="FG93" s="174"/>
      <c r="FH93" s="174"/>
      <c r="FI93" s="174"/>
      <c r="FJ93" s="174"/>
      <c r="FK93" s="174"/>
      <c r="FL93" s="174"/>
      <c r="FM93" s="174"/>
      <c r="FN93" s="174"/>
      <c r="FO93" s="174"/>
      <c r="FP93" s="174"/>
      <c r="FQ93" s="174"/>
      <c r="FR93" s="174"/>
      <c r="FS93" s="174"/>
      <c r="FT93" s="174"/>
      <c r="FU93" s="174"/>
      <c r="FV93" s="174"/>
      <c r="FW93" s="174"/>
      <c r="FX93" s="174"/>
      <c r="FY93" s="174"/>
      <c r="FZ93" s="174"/>
      <c r="GA93" s="174"/>
      <c r="GB93" s="174"/>
      <c r="GC93" s="174"/>
      <c r="GD93" s="174"/>
      <c r="GE93" s="174"/>
      <c r="GF93" s="174"/>
      <c r="GG93" s="174"/>
      <c r="GH93" s="174"/>
      <c r="GI93" s="174"/>
      <c r="GJ93" s="174"/>
      <c r="GK93" s="174"/>
      <c r="GL93" s="174"/>
      <c r="GM93" s="174"/>
      <c r="GN93" s="174"/>
      <c r="GO93" s="174"/>
      <c r="GP93" s="174"/>
      <c r="GQ93" s="174"/>
      <c r="GR93" s="174"/>
      <c r="GS93" s="174"/>
      <c r="GT93" s="174"/>
      <c r="GU93" s="174"/>
      <c r="GV93" s="174"/>
      <c r="GW93" s="174"/>
      <c r="GX93" s="174"/>
      <c r="GY93" s="174"/>
      <c r="GZ93" s="174"/>
      <c r="HA93" s="174"/>
      <c r="HB93" s="174"/>
      <c r="HC93" s="174"/>
      <c r="HD93" s="174"/>
      <c r="HE93" s="174"/>
      <c r="HF93" s="174"/>
      <c r="HG93" s="174"/>
      <c r="HH93" s="174"/>
      <c r="HI93" s="174"/>
      <c r="HJ93" s="174"/>
      <c r="HK93" s="174"/>
      <c r="HL93" s="174"/>
      <c r="HM93" s="174"/>
      <c r="HN93" s="174"/>
      <c r="HO93" s="174"/>
      <c r="HP93" s="174"/>
      <c r="HQ93" s="174"/>
      <c r="HR93" s="174"/>
      <c r="HS93" s="174"/>
      <c r="HT93" s="174"/>
      <c r="HU93" s="174"/>
      <c r="HV93" s="174"/>
      <c r="HW93" s="174"/>
      <c r="HX93" s="174"/>
      <c r="HY93" s="174"/>
      <c r="HZ93" s="174"/>
      <c r="IA93" s="174"/>
      <c r="IB93" s="174"/>
      <c r="IC93" s="174"/>
      <c r="ID93" s="174"/>
      <c r="IE93" s="174"/>
      <c r="IF93" s="174"/>
      <c r="IG93" s="174"/>
      <c r="IH93" s="174"/>
      <c r="II93" s="174"/>
      <c r="IJ93" s="174"/>
      <c r="IK93" s="174"/>
      <c r="IL93" s="174"/>
      <c r="IM93" s="174"/>
      <c r="IN93" s="174"/>
      <c r="IO93" s="174"/>
      <c r="IP93" s="174"/>
      <c r="IQ93" s="174"/>
      <c r="IR93" s="174"/>
      <c r="IS93" s="174"/>
      <c r="IT93" s="174"/>
      <c r="IU93" s="174"/>
      <c r="IV93" s="174"/>
      <c r="IW93" s="174"/>
      <c r="IX93" s="174"/>
      <c r="IY93" s="174"/>
      <c r="IZ93" s="174"/>
      <c r="JA93" s="174"/>
      <c r="JB93" s="174"/>
      <c r="JC93" s="174"/>
      <c r="JD93" s="174"/>
      <c r="JE93" s="174"/>
      <c r="JF93" s="174"/>
      <c r="JG93" s="174"/>
      <c r="JH93" s="174"/>
      <c r="JI93" s="174"/>
      <c r="JJ93" s="174"/>
      <c r="JK93" s="174"/>
      <c r="JL93" s="174"/>
      <c r="JM93" s="174"/>
      <c r="JN93" s="174"/>
      <c r="JO93" s="174"/>
      <c r="JP93" s="174"/>
      <c r="JQ93" s="174"/>
      <c r="JR93" s="174"/>
      <c r="JS93" s="174"/>
      <c r="JT93" s="174"/>
      <c r="JU93" s="174"/>
      <c r="JV93" s="174"/>
    </row>
    <row r="94" spans="1:282" s="146" customFormat="1">
      <c r="A94" s="232"/>
      <c r="B94" s="173"/>
      <c r="C94" s="173"/>
      <c r="D94" s="233"/>
      <c r="E94" s="228"/>
      <c r="F94" s="234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  <c r="AQ94" s="173"/>
      <c r="AR94" s="173"/>
      <c r="AS94" s="173"/>
      <c r="AT94" s="173"/>
      <c r="AU94" s="173"/>
      <c r="AV94" s="173"/>
      <c r="AW94" s="173"/>
      <c r="AX94" s="173"/>
      <c r="AY94" s="173"/>
      <c r="AZ94" s="173"/>
      <c r="BA94" s="277"/>
      <c r="BB94" s="173"/>
      <c r="BC94" s="173"/>
      <c r="BD94" s="173"/>
      <c r="BE94" s="173"/>
      <c r="BF94" s="173"/>
      <c r="BG94" s="173"/>
      <c r="BH94" s="173"/>
      <c r="BI94" s="173"/>
      <c r="BJ94" s="173"/>
      <c r="BK94" s="173"/>
      <c r="BL94" s="173"/>
      <c r="BM94" s="173"/>
      <c r="BN94" s="173"/>
      <c r="BO94" s="173"/>
      <c r="BP94" s="173"/>
      <c r="BQ94" s="173"/>
      <c r="BR94" s="173"/>
      <c r="BS94" s="173"/>
      <c r="BT94" s="173"/>
      <c r="BU94" s="173"/>
      <c r="BV94" s="173"/>
      <c r="BW94" s="173"/>
      <c r="BX94" s="173"/>
      <c r="BY94" s="173"/>
      <c r="BZ94" s="173"/>
      <c r="CA94" s="173"/>
      <c r="CB94" s="173"/>
      <c r="CC94" s="173"/>
      <c r="CD94" s="173"/>
      <c r="CE94" s="173"/>
      <c r="CF94" s="173"/>
      <c r="CG94" s="173"/>
      <c r="CH94" s="173"/>
      <c r="CI94" s="173"/>
      <c r="CJ94" s="173"/>
      <c r="CK94" s="173"/>
      <c r="CL94" s="173"/>
      <c r="CM94" s="173"/>
      <c r="CN94" s="173"/>
      <c r="CO94" s="173"/>
      <c r="CP94" s="173"/>
      <c r="CQ94" s="173"/>
      <c r="CR94" s="151"/>
      <c r="CS94" s="173"/>
      <c r="CT94" s="173"/>
      <c r="CU94" s="173"/>
      <c r="CV94" s="173"/>
      <c r="CW94" s="173"/>
      <c r="CX94" s="173"/>
      <c r="CY94" s="173"/>
      <c r="CZ94" s="173"/>
      <c r="DA94" s="222"/>
      <c r="DB94" s="222"/>
      <c r="DC94" s="222"/>
      <c r="DD94" s="222"/>
      <c r="DE94" s="222"/>
      <c r="DF94" s="222"/>
      <c r="DG94" s="222"/>
      <c r="DH94" s="222"/>
      <c r="DI94" s="222"/>
      <c r="DJ94" s="222"/>
      <c r="DK94" s="222"/>
      <c r="DL94" s="222"/>
      <c r="DM94" s="222"/>
      <c r="DN94" s="174"/>
      <c r="DO94" s="174"/>
      <c r="DP94" s="174"/>
      <c r="DQ94" s="174"/>
      <c r="DR94" s="174"/>
      <c r="DS94" s="174"/>
      <c r="DT94" s="174"/>
      <c r="DU94" s="174"/>
      <c r="DV94" s="174"/>
      <c r="DW94" s="174"/>
      <c r="DX94" s="174"/>
      <c r="DY94" s="174"/>
      <c r="DZ94" s="174"/>
      <c r="EA94" s="174"/>
      <c r="EB94" s="174"/>
      <c r="EC94" s="174"/>
      <c r="ED94" s="174"/>
      <c r="EE94" s="174"/>
      <c r="EF94" s="174"/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  <c r="FC94" s="174"/>
      <c r="FD94" s="174"/>
      <c r="FE94" s="174"/>
      <c r="FF94" s="174"/>
      <c r="FG94" s="174"/>
      <c r="FH94" s="174"/>
      <c r="FI94" s="174"/>
      <c r="FJ94" s="174"/>
      <c r="FK94" s="174"/>
      <c r="FL94" s="174"/>
      <c r="FM94" s="174"/>
      <c r="FN94" s="174"/>
      <c r="FO94" s="174"/>
      <c r="FP94" s="174"/>
      <c r="FQ94" s="174"/>
      <c r="FR94" s="174"/>
      <c r="FS94" s="174"/>
      <c r="FT94" s="174"/>
      <c r="FU94" s="174"/>
      <c r="FV94" s="174"/>
      <c r="FW94" s="174"/>
      <c r="FX94" s="174"/>
      <c r="FY94" s="174"/>
      <c r="FZ94" s="174"/>
      <c r="GA94" s="174"/>
      <c r="GB94" s="174"/>
      <c r="GC94" s="174"/>
      <c r="GD94" s="174"/>
      <c r="GE94" s="174"/>
      <c r="GF94" s="174"/>
      <c r="GG94" s="174"/>
      <c r="GH94" s="174"/>
      <c r="GI94" s="174"/>
      <c r="GJ94" s="174"/>
      <c r="GK94" s="174"/>
      <c r="GL94" s="174"/>
      <c r="GM94" s="174"/>
      <c r="GN94" s="174"/>
      <c r="GO94" s="174"/>
      <c r="GP94" s="174"/>
      <c r="GQ94" s="174"/>
      <c r="GR94" s="174"/>
      <c r="GS94" s="174"/>
      <c r="GT94" s="174"/>
      <c r="GU94" s="174"/>
      <c r="GV94" s="174"/>
      <c r="GW94" s="174"/>
      <c r="GX94" s="174"/>
      <c r="GY94" s="174"/>
      <c r="GZ94" s="174"/>
      <c r="HA94" s="174"/>
      <c r="HB94" s="174"/>
      <c r="HC94" s="174"/>
      <c r="HD94" s="174"/>
      <c r="HE94" s="174"/>
      <c r="HF94" s="174"/>
      <c r="HG94" s="174"/>
      <c r="HH94" s="174"/>
      <c r="HI94" s="174"/>
      <c r="HJ94" s="174"/>
      <c r="HK94" s="174"/>
      <c r="HL94" s="174"/>
      <c r="HM94" s="174"/>
      <c r="HN94" s="174"/>
      <c r="HO94" s="174"/>
      <c r="HP94" s="174"/>
      <c r="HQ94" s="174"/>
      <c r="HR94" s="174"/>
      <c r="HS94" s="174"/>
      <c r="HT94" s="174"/>
      <c r="HU94" s="174"/>
      <c r="HV94" s="174"/>
      <c r="HW94" s="174"/>
      <c r="HX94" s="174"/>
      <c r="HY94" s="174"/>
      <c r="HZ94" s="174"/>
      <c r="IA94" s="174"/>
      <c r="IB94" s="174"/>
      <c r="IC94" s="174"/>
      <c r="ID94" s="174"/>
      <c r="IE94" s="174"/>
      <c r="IF94" s="174"/>
      <c r="IG94" s="174"/>
      <c r="IH94" s="174"/>
      <c r="II94" s="174"/>
      <c r="IJ94" s="174"/>
      <c r="IK94" s="174"/>
      <c r="IL94" s="174"/>
      <c r="IM94" s="174"/>
      <c r="IN94" s="174"/>
      <c r="IO94" s="174"/>
      <c r="IP94" s="174"/>
      <c r="IQ94" s="174"/>
      <c r="IR94" s="174"/>
      <c r="IS94" s="174"/>
      <c r="IT94" s="174"/>
      <c r="IU94" s="174"/>
      <c r="IV94" s="174"/>
      <c r="IW94" s="174"/>
      <c r="IX94" s="174"/>
      <c r="IY94" s="174"/>
      <c r="IZ94" s="174"/>
      <c r="JA94" s="174"/>
      <c r="JB94" s="174"/>
      <c r="JC94" s="174"/>
      <c r="JD94" s="174"/>
      <c r="JE94" s="174"/>
      <c r="JF94" s="174"/>
      <c r="JG94" s="174"/>
      <c r="JH94" s="174"/>
      <c r="JI94" s="174"/>
      <c r="JJ94" s="174"/>
      <c r="JK94" s="174"/>
      <c r="JL94" s="174"/>
      <c r="JM94" s="174"/>
      <c r="JN94" s="174"/>
      <c r="JO94" s="174"/>
      <c r="JP94" s="174"/>
      <c r="JQ94" s="174"/>
      <c r="JR94" s="174"/>
      <c r="JS94" s="174"/>
      <c r="JT94" s="174"/>
      <c r="JU94" s="174"/>
      <c r="JV94" s="174"/>
    </row>
    <row r="95" spans="1:282" s="146" customFormat="1" ht="18.75" customHeight="1">
      <c r="A95" s="232"/>
      <c r="B95" s="173"/>
      <c r="C95" s="173"/>
      <c r="D95" s="233"/>
      <c r="E95" s="228"/>
      <c r="F95" s="234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3"/>
      <c r="AR95" s="173"/>
      <c r="AS95" s="173"/>
      <c r="AT95" s="173"/>
      <c r="AU95" s="173"/>
      <c r="AV95" s="173"/>
      <c r="AW95" s="173"/>
      <c r="AX95" s="173"/>
      <c r="AY95" s="173"/>
      <c r="AZ95" s="173"/>
      <c r="BA95" s="277"/>
      <c r="BB95" s="173"/>
      <c r="BC95" s="173"/>
      <c r="BD95" s="173"/>
      <c r="BE95" s="173"/>
      <c r="BF95" s="173"/>
      <c r="BG95" s="173"/>
      <c r="BH95" s="173"/>
      <c r="BI95" s="173"/>
      <c r="BJ95" s="173"/>
      <c r="BK95" s="173"/>
      <c r="BL95" s="173"/>
      <c r="BM95" s="173"/>
      <c r="BN95" s="173"/>
      <c r="BO95" s="173"/>
      <c r="BP95" s="173"/>
      <c r="BQ95" s="173"/>
      <c r="BR95" s="173"/>
      <c r="BS95" s="173"/>
      <c r="BT95" s="173"/>
      <c r="BU95" s="173"/>
      <c r="BV95" s="173"/>
      <c r="BW95" s="173"/>
      <c r="BX95" s="173"/>
      <c r="BY95" s="173"/>
      <c r="BZ95" s="173"/>
      <c r="CA95" s="173"/>
      <c r="CB95" s="173"/>
      <c r="CC95" s="173"/>
      <c r="CD95" s="173"/>
      <c r="CE95" s="173"/>
      <c r="CF95" s="173"/>
      <c r="CG95" s="173"/>
      <c r="CH95" s="173"/>
      <c r="CI95" s="173"/>
      <c r="CJ95" s="173"/>
      <c r="CK95" s="173"/>
      <c r="CL95" s="173"/>
      <c r="CM95" s="173"/>
      <c r="CN95" s="173"/>
      <c r="CO95" s="173"/>
      <c r="CP95" s="173"/>
      <c r="CQ95" s="173"/>
      <c r="CR95" s="151"/>
      <c r="CS95" s="173"/>
      <c r="CT95" s="173"/>
      <c r="CU95" s="173"/>
      <c r="CV95" s="173"/>
      <c r="CW95" s="173"/>
      <c r="CX95" s="173"/>
      <c r="CY95" s="173"/>
      <c r="CZ95" s="173"/>
      <c r="DA95" s="222"/>
      <c r="DB95" s="222"/>
      <c r="DC95" s="222"/>
      <c r="DD95" s="222"/>
      <c r="DE95" s="222"/>
      <c r="DF95" s="222"/>
      <c r="DG95" s="222"/>
      <c r="DH95" s="222"/>
      <c r="DI95" s="222"/>
      <c r="DJ95" s="222"/>
      <c r="DK95" s="222"/>
      <c r="DL95" s="222"/>
      <c r="DM95" s="222"/>
      <c r="DN95" s="174"/>
      <c r="DO95" s="174"/>
      <c r="DP95" s="174"/>
      <c r="DQ95" s="174"/>
      <c r="DR95" s="174"/>
      <c r="DS95" s="174"/>
      <c r="DT95" s="174"/>
      <c r="DU95" s="174"/>
      <c r="DV95" s="174"/>
      <c r="DW95" s="174"/>
      <c r="DX95" s="174"/>
      <c r="DY95" s="174"/>
      <c r="DZ95" s="174"/>
      <c r="EA95" s="174"/>
      <c r="EB95" s="174"/>
      <c r="EC95" s="174"/>
      <c r="ED95" s="174"/>
      <c r="EE95" s="174"/>
      <c r="EF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  <c r="FC95" s="174"/>
      <c r="FD95" s="174"/>
      <c r="FE95" s="174"/>
      <c r="FF95" s="174"/>
      <c r="FG95" s="174"/>
      <c r="FH95" s="174"/>
      <c r="FI95" s="174"/>
      <c r="FJ95" s="174"/>
      <c r="FK95" s="174"/>
      <c r="FL95" s="174"/>
      <c r="FM95" s="174"/>
      <c r="FN95" s="174"/>
      <c r="FO95" s="174"/>
      <c r="FP95" s="174"/>
      <c r="FQ95" s="174"/>
      <c r="FR95" s="174"/>
      <c r="FS95" s="174"/>
      <c r="FT95" s="174"/>
      <c r="FU95" s="174"/>
      <c r="FV95" s="174"/>
      <c r="FW95" s="174"/>
      <c r="FX95" s="174"/>
      <c r="FY95" s="174"/>
      <c r="FZ95" s="174"/>
      <c r="GA95" s="174"/>
      <c r="GB95" s="174"/>
      <c r="GC95" s="174"/>
      <c r="GD95" s="174"/>
      <c r="GE95" s="174"/>
      <c r="GF95" s="174"/>
      <c r="GG95" s="174"/>
      <c r="GH95" s="174"/>
      <c r="GI95" s="174"/>
      <c r="GJ95" s="174"/>
      <c r="GK95" s="174"/>
      <c r="GL95" s="174"/>
      <c r="GM95" s="174"/>
      <c r="GN95" s="174"/>
      <c r="GO95" s="174"/>
      <c r="GP95" s="174"/>
      <c r="GQ95" s="174"/>
      <c r="GR95" s="174"/>
      <c r="GS95" s="174"/>
      <c r="GT95" s="174"/>
      <c r="GU95" s="174"/>
      <c r="GV95" s="174"/>
      <c r="GW95" s="174"/>
      <c r="GX95" s="174"/>
      <c r="GY95" s="174"/>
      <c r="GZ95" s="174"/>
      <c r="HA95" s="174"/>
      <c r="HB95" s="174"/>
      <c r="HC95" s="174"/>
      <c r="HD95" s="174"/>
      <c r="HE95" s="174"/>
      <c r="HF95" s="174"/>
      <c r="HG95" s="174"/>
      <c r="HH95" s="174"/>
      <c r="HI95" s="174"/>
      <c r="HJ95" s="174"/>
      <c r="HK95" s="174"/>
      <c r="HL95" s="174"/>
      <c r="HM95" s="174"/>
      <c r="HN95" s="174"/>
      <c r="HO95" s="174"/>
      <c r="HP95" s="174"/>
      <c r="HQ95" s="174"/>
      <c r="HR95" s="174"/>
      <c r="HS95" s="174"/>
      <c r="HT95" s="174"/>
      <c r="HU95" s="174"/>
      <c r="HV95" s="174"/>
      <c r="HW95" s="174"/>
      <c r="HX95" s="174"/>
      <c r="HY95" s="174"/>
      <c r="HZ95" s="174"/>
      <c r="IA95" s="174"/>
      <c r="IB95" s="174"/>
      <c r="IC95" s="174"/>
      <c r="ID95" s="174"/>
      <c r="IE95" s="174"/>
      <c r="IF95" s="174"/>
      <c r="IG95" s="174"/>
      <c r="IH95" s="174"/>
      <c r="II95" s="174"/>
      <c r="IJ95" s="174"/>
      <c r="IK95" s="174"/>
      <c r="IL95" s="174"/>
      <c r="IM95" s="174"/>
      <c r="IN95" s="174"/>
      <c r="IO95" s="174"/>
      <c r="IP95" s="174"/>
      <c r="IQ95" s="174"/>
      <c r="IR95" s="174"/>
      <c r="IS95" s="174"/>
      <c r="IT95" s="174"/>
      <c r="IU95" s="174"/>
      <c r="IV95" s="174"/>
      <c r="IW95" s="174"/>
      <c r="IX95" s="174"/>
      <c r="IY95" s="174"/>
      <c r="IZ95" s="174"/>
      <c r="JA95" s="174"/>
      <c r="JB95" s="174"/>
      <c r="JC95" s="174"/>
      <c r="JD95" s="174"/>
      <c r="JE95" s="174"/>
      <c r="JF95" s="174"/>
      <c r="JG95" s="174"/>
      <c r="JH95" s="174"/>
      <c r="JI95" s="174"/>
      <c r="JJ95" s="174"/>
      <c r="JK95" s="174"/>
      <c r="JL95" s="174"/>
      <c r="JM95" s="174"/>
      <c r="JN95" s="174"/>
      <c r="JO95" s="174"/>
      <c r="JP95" s="174"/>
      <c r="JQ95" s="174"/>
      <c r="JR95" s="174"/>
      <c r="JS95" s="174"/>
      <c r="JT95" s="174"/>
      <c r="JU95" s="174"/>
      <c r="JV95" s="174"/>
    </row>
    <row r="96" spans="1:282" s="146" customFormat="1">
      <c r="A96" s="232"/>
      <c r="B96" s="173"/>
      <c r="C96" s="173"/>
      <c r="D96" s="233"/>
      <c r="E96" s="228"/>
      <c r="F96" s="234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3"/>
      <c r="AR96" s="173"/>
      <c r="AS96" s="173"/>
      <c r="AT96" s="173"/>
      <c r="AU96" s="173"/>
      <c r="AV96" s="173"/>
      <c r="AW96" s="173"/>
      <c r="AX96" s="173"/>
      <c r="AY96" s="173"/>
      <c r="AZ96" s="173"/>
      <c r="BA96" s="277"/>
      <c r="BB96" s="173"/>
      <c r="BC96" s="173"/>
      <c r="BD96" s="173"/>
      <c r="BE96" s="173"/>
      <c r="BF96" s="173"/>
      <c r="BG96" s="173"/>
      <c r="BH96" s="173"/>
      <c r="BI96" s="173"/>
      <c r="BJ96" s="173"/>
      <c r="BK96" s="173"/>
      <c r="BL96" s="173"/>
      <c r="BM96" s="173"/>
      <c r="BN96" s="173"/>
      <c r="BO96" s="173"/>
      <c r="BP96" s="173"/>
      <c r="BQ96" s="173"/>
      <c r="BR96" s="173"/>
      <c r="BS96" s="173"/>
      <c r="BT96" s="173"/>
      <c r="BU96" s="173"/>
      <c r="BV96" s="173"/>
      <c r="BW96" s="173"/>
      <c r="BX96" s="173"/>
      <c r="BY96" s="173"/>
      <c r="BZ96" s="173"/>
      <c r="CA96" s="173"/>
      <c r="CB96" s="173"/>
      <c r="CC96" s="173"/>
      <c r="CD96" s="173"/>
      <c r="CE96" s="173"/>
      <c r="CF96" s="173"/>
      <c r="CG96" s="173"/>
      <c r="CH96" s="173"/>
      <c r="CI96" s="173"/>
      <c r="CJ96" s="173"/>
      <c r="CK96" s="173"/>
      <c r="CL96" s="173"/>
      <c r="CM96" s="173"/>
      <c r="CN96" s="173"/>
      <c r="CO96" s="173"/>
      <c r="CP96" s="173"/>
      <c r="CQ96" s="173"/>
      <c r="CR96" s="151"/>
      <c r="CS96" s="173"/>
      <c r="CT96" s="173"/>
      <c r="CU96" s="173"/>
      <c r="CV96" s="173"/>
      <c r="CW96" s="173"/>
      <c r="CX96" s="173"/>
      <c r="CY96" s="173"/>
      <c r="CZ96" s="173"/>
      <c r="DA96" s="222"/>
      <c r="DB96" s="222"/>
      <c r="DC96" s="222"/>
      <c r="DD96" s="222"/>
      <c r="DE96" s="222"/>
      <c r="DF96" s="222"/>
      <c r="DG96" s="222"/>
      <c r="DH96" s="222"/>
      <c r="DI96" s="222"/>
      <c r="DJ96" s="222"/>
      <c r="DK96" s="222"/>
      <c r="DL96" s="222"/>
      <c r="DM96" s="222"/>
      <c r="DN96" s="174"/>
      <c r="DO96" s="174"/>
      <c r="DP96" s="174"/>
      <c r="DQ96" s="174"/>
      <c r="DR96" s="174"/>
      <c r="DS96" s="174"/>
      <c r="DT96" s="174"/>
      <c r="DU96" s="174"/>
      <c r="DV96" s="174"/>
      <c r="DW96" s="174"/>
      <c r="DX96" s="174"/>
      <c r="DY96" s="174"/>
      <c r="DZ96" s="174"/>
      <c r="EA96" s="174"/>
      <c r="EB96" s="174"/>
      <c r="EC96" s="174"/>
      <c r="ED96" s="174"/>
      <c r="EE96" s="174"/>
      <c r="EF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  <c r="FC96" s="174"/>
      <c r="FD96" s="174"/>
      <c r="FE96" s="174"/>
      <c r="FF96" s="174"/>
      <c r="FG96" s="174"/>
      <c r="FH96" s="174"/>
      <c r="FI96" s="174"/>
      <c r="FJ96" s="174"/>
      <c r="FK96" s="174"/>
      <c r="FL96" s="174"/>
      <c r="FM96" s="174"/>
      <c r="FN96" s="174"/>
      <c r="FO96" s="174"/>
      <c r="FP96" s="174"/>
      <c r="FQ96" s="174"/>
      <c r="FR96" s="174"/>
      <c r="FS96" s="174"/>
      <c r="FT96" s="174"/>
      <c r="FU96" s="174"/>
      <c r="FV96" s="174"/>
      <c r="FW96" s="174"/>
      <c r="FX96" s="174"/>
      <c r="FY96" s="174"/>
      <c r="FZ96" s="174"/>
      <c r="GA96" s="174"/>
      <c r="GB96" s="174"/>
      <c r="GC96" s="174"/>
      <c r="GD96" s="174"/>
      <c r="GE96" s="174"/>
      <c r="GF96" s="174"/>
      <c r="GG96" s="174"/>
      <c r="GH96" s="174"/>
      <c r="GI96" s="174"/>
      <c r="GJ96" s="174"/>
      <c r="GK96" s="174"/>
      <c r="GL96" s="174"/>
      <c r="GM96" s="174"/>
      <c r="GN96" s="174"/>
      <c r="GO96" s="174"/>
      <c r="GP96" s="174"/>
      <c r="GQ96" s="174"/>
      <c r="GR96" s="174"/>
      <c r="GS96" s="174"/>
      <c r="GT96" s="174"/>
      <c r="GU96" s="174"/>
      <c r="GV96" s="174"/>
      <c r="GW96" s="174"/>
      <c r="GX96" s="174"/>
      <c r="GY96" s="174"/>
      <c r="GZ96" s="174"/>
      <c r="HA96" s="174"/>
      <c r="HB96" s="174"/>
      <c r="HC96" s="174"/>
      <c r="HD96" s="174"/>
      <c r="HE96" s="174"/>
      <c r="HF96" s="174"/>
      <c r="HG96" s="174"/>
      <c r="HH96" s="174"/>
      <c r="HI96" s="174"/>
      <c r="HJ96" s="174"/>
      <c r="HK96" s="174"/>
      <c r="HL96" s="174"/>
      <c r="HM96" s="174"/>
      <c r="HN96" s="174"/>
      <c r="HO96" s="174"/>
      <c r="HP96" s="174"/>
      <c r="HQ96" s="174"/>
      <c r="HR96" s="174"/>
      <c r="HS96" s="174"/>
      <c r="HT96" s="174"/>
      <c r="HU96" s="174"/>
      <c r="HV96" s="174"/>
      <c r="HW96" s="174"/>
      <c r="HX96" s="174"/>
      <c r="HY96" s="174"/>
      <c r="HZ96" s="174"/>
      <c r="IA96" s="174"/>
      <c r="IB96" s="174"/>
      <c r="IC96" s="174"/>
      <c r="ID96" s="174"/>
      <c r="IE96" s="174"/>
      <c r="IF96" s="174"/>
      <c r="IG96" s="174"/>
      <c r="IH96" s="174"/>
      <c r="II96" s="174"/>
      <c r="IJ96" s="174"/>
      <c r="IK96" s="174"/>
      <c r="IL96" s="174"/>
      <c r="IM96" s="174"/>
      <c r="IN96" s="174"/>
      <c r="IO96" s="174"/>
      <c r="IP96" s="174"/>
      <c r="IQ96" s="174"/>
      <c r="IR96" s="174"/>
      <c r="IS96" s="174"/>
      <c r="IT96" s="174"/>
      <c r="IU96" s="174"/>
      <c r="IV96" s="174"/>
      <c r="IW96" s="174"/>
      <c r="IX96" s="174"/>
      <c r="IY96" s="174"/>
      <c r="IZ96" s="174"/>
      <c r="JA96" s="174"/>
      <c r="JB96" s="174"/>
      <c r="JC96" s="174"/>
      <c r="JD96" s="174"/>
      <c r="JE96" s="174"/>
      <c r="JF96" s="174"/>
      <c r="JG96" s="174"/>
      <c r="JH96" s="174"/>
      <c r="JI96" s="174"/>
      <c r="JJ96" s="174"/>
      <c r="JK96" s="174"/>
      <c r="JL96" s="174"/>
      <c r="JM96" s="174"/>
      <c r="JN96" s="174"/>
      <c r="JO96" s="174"/>
      <c r="JP96" s="174"/>
      <c r="JQ96" s="174"/>
      <c r="JR96" s="174"/>
      <c r="JS96" s="174"/>
      <c r="JT96" s="174"/>
      <c r="JU96" s="174"/>
      <c r="JV96" s="174"/>
    </row>
    <row r="97" spans="1:282" s="146" customFormat="1" ht="16.5" customHeight="1">
      <c r="A97" s="232"/>
      <c r="B97" s="173"/>
      <c r="C97" s="173"/>
      <c r="D97" s="233"/>
      <c r="E97" s="228"/>
      <c r="F97" s="234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3"/>
      <c r="AT97" s="173"/>
      <c r="AU97" s="173"/>
      <c r="AV97" s="173"/>
      <c r="AW97" s="173"/>
      <c r="AX97" s="173"/>
      <c r="AY97" s="173"/>
      <c r="AZ97" s="173"/>
      <c r="BA97" s="277"/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173"/>
      <c r="BP97" s="173"/>
      <c r="BQ97" s="173"/>
      <c r="BR97" s="173"/>
      <c r="BS97" s="173"/>
      <c r="BT97" s="173"/>
      <c r="BU97" s="173"/>
      <c r="BV97" s="173"/>
      <c r="BW97" s="173"/>
      <c r="BX97" s="173"/>
      <c r="BY97" s="173"/>
      <c r="BZ97" s="173"/>
      <c r="CA97" s="173"/>
      <c r="CB97" s="173"/>
      <c r="CC97" s="173"/>
      <c r="CD97" s="173"/>
      <c r="CE97" s="173"/>
      <c r="CF97" s="173"/>
      <c r="CG97" s="173"/>
      <c r="CH97" s="173"/>
      <c r="CI97" s="173"/>
      <c r="CJ97" s="173"/>
      <c r="CK97" s="173"/>
      <c r="CL97" s="173"/>
      <c r="CM97" s="173"/>
      <c r="CN97" s="173"/>
      <c r="CO97" s="173"/>
      <c r="CP97" s="173"/>
      <c r="CQ97" s="173"/>
      <c r="CR97" s="151"/>
      <c r="CS97" s="173"/>
      <c r="CT97" s="173"/>
      <c r="CU97" s="173"/>
      <c r="CV97" s="173"/>
      <c r="CW97" s="173"/>
      <c r="CX97" s="173"/>
      <c r="CY97" s="173"/>
      <c r="CZ97" s="173"/>
      <c r="DA97" s="222"/>
      <c r="DB97" s="222"/>
      <c r="DC97" s="222"/>
      <c r="DD97" s="222"/>
      <c r="DE97" s="222"/>
      <c r="DF97" s="222"/>
      <c r="DG97" s="222"/>
      <c r="DH97" s="222"/>
      <c r="DI97" s="222"/>
      <c r="DJ97" s="222"/>
      <c r="DK97" s="222"/>
      <c r="DL97" s="222"/>
      <c r="DM97" s="222"/>
      <c r="DN97" s="174"/>
      <c r="DO97" s="174"/>
      <c r="DP97" s="174"/>
      <c r="DQ97" s="174"/>
      <c r="DR97" s="174"/>
      <c r="DS97" s="174"/>
      <c r="DT97" s="174"/>
      <c r="DU97" s="174"/>
      <c r="DV97" s="174"/>
      <c r="DW97" s="174"/>
      <c r="DX97" s="174"/>
      <c r="DY97" s="174"/>
      <c r="DZ97" s="174"/>
      <c r="EA97" s="174"/>
      <c r="EB97" s="174"/>
      <c r="EC97" s="174"/>
      <c r="ED97" s="174"/>
      <c r="EE97" s="174"/>
      <c r="EF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  <c r="FC97" s="174"/>
      <c r="FD97" s="174"/>
      <c r="FE97" s="174"/>
      <c r="FF97" s="174"/>
      <c r="FG97" s="174"/>
      <c r="FH97" s="174"/>
      <c r="FI97" s="174"/>
      <c r="FJ97" s="174"/>
      <c r="FK97" s="174"/>
      <c r="FL97" s="174"/>
      <c r="FM97" s="174"/>
      <c r="FN97" s="174"/>
      <c r="FO97" s="174"/>
      <c r="FP97" s="174"/>
      <c r="FQ97" s="174"/>
      <c r="FR97" s="174"/>
      <c r="FS97" s="174"/>
      <c r="FT97" s="174"/>
      <c r="FU97" s="174"/>
      <c r="FV97" s="174"/>
      <c r="FW97" s="174"/>
      <c r="FX97" s="174"/>
      <c r="FY97" s="174"/>
      <c r="FZ97" s="174"/>
      <c r="GA97" s="174"/>
      <c r="GB97" s="174"/>
      <c r="GC97" s="174"/>
      <c r="GD97" s="174"/>
      <c r="GE97" s="174"/>
      <c r="GF97" s="174"/>
      <c r="GG97" s="174"/>
      <c r="GH97" s="174"/>
      <c r="GI97" s="174"/>
      <c r="GJ97" s="174"/>
      <c r="GK97" s="174"/>
      <c r="GL97" s="174"/>
      <c r="GM97" s="174"/>
      <c r="GN97" s="174"/>
      <c r="GO97" s="174"/>
      <c r="GP97" s="174"/>
      <c r="GQ97" s="174"/>
      <c r="GR97" s="174"/>
      <c r="GS97" s="174"/>
      <c r="GT97" s="174"/>
      <c r="GU97" s="174"/>
      <c r="GV97" s="174"/>
      <c r="GW97" s="174"/>
      <c r="GX97" s="174"/>
      <c r="GY97" s="174"/>
      <c r="GZ97" s="174"/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4"/>
      <c r="HL97" s="174"/>
      <c r="HM97" s="174"/>
      <c r="HN97" s="174"/>
      <c r="HO97" s="174"/>
      <c r="HP97" s="174"/>
      <c r="HQ97" s="174"/>
      <c r="HR97" s="174"/>
      <c r="HS97" s="174"/>
      <c r="HT97" s="174"/>
      <c r="HU97" s="174"/>
      <c r="HV97" s="174"/>
      <c r="HW97" s="174"/>
      <c r="HX97" s="174"/>
      <c r="HY97" s="174"/>
      <c r="HZ97" s="174"/>
      <c r="IA97" s="174"/>
      <c r="IB97" s="174"/>
      <c r="IC97" s="174"/>
      <c r="ID97" s="174"/>
      <c r="IE97" s="174"/>
      <c r="IF97" s="174"/>
      <c r="IG97" s="174"/>
      <c r="IH97" s="174"/>
      <c r="II97" s="174"/>
      <c r="IJ97" s="174"/>
      <c r="IK97" s="174"/>
      <c r="IL97" s="174"/>
      <c r="IM97" s="174"/>
      <c r="IN97" s="174"/>
      <c r="IO97" s="174"/>
      <c r="IP97" s="174"/>
      <c r="IQ97" s="174"/>
      <c r="IR97" s="174"/>
      <c r="IS97" s="174"/>
      <c r="IT97" s="174"/>
      <c r="IU97" s="174"/>
      <c r="IV97" s="174"/>
      <c r="IW97" s="174"/>
      <c r="IX97" s="174"/>
      <c r="IY97" s="174"/>
      <c r="IZ97" s="174"/>
      <c r="JA97" s="174"/>
      <c r="JB97" s="174"/>
      <c r="JC97" s="174"/>
      <c r="JD97" s="174"/>
      <c r="JE97" s="174"/>
      <c r="JF97" s="174"/>
      <c r="JG97" s="174"/>
      <c r="JH97" s="174"/>
      <c r="JI97" s="174"/>
      <c r="JJ97" s="174"/>
      <c r="JK97" s="174"/>
      <c r="JL97" s="174"/>
      <c r="JM97" s="174"/>
      <c r="JN97" s="174"/>
      <c r="JO97" s="174"/>
      <c r="JP97" s="174"/>
      <c r="JQ97" s="174"/>
      <c r="JR97" s="174"/>
      <c r="JS97" s="174"/>
      <c r="JT97" s="174"/>
      <c r="JU97" s="174"/>
      <c r="JV97" s="174"/>
    </row>
    <row r="98" spans="1:282" s="146" customFormat="1">
      <c r="A98" s="232"/>
      <c r="B98" s="173"/>
      <c r="C98" s="173"/>
      <c r="D98" s="233"/>
      <c r="E98" s="228"/>
      <c r="F98" s="234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3"/>
      <c r="AR98" s="173"/>
      <c r="AS98" s="173"/>
      <c r="AT98" s="173"/>
      <c r="AU98" s="173"/>
      <c r="AV98" s="173"/>
      <c r="AW98" s="173"/>
      <c r="AX98" s="173"/>
      <c r="AY98" s="173"/>
      <c r="AZ98" s="173"/>
      <c r="BA98" s="277"/>
      <c r="BB98" s="173"/>
      <c r="BC98" s="173"/>
      <c r="BD98" s="173"/>
      <c r="BE98" s="173"/>
      <c r="BF98" s="173"/>
      <c r="BG98" s="173"/>
      <c r="BH98" s="173"/>
      <c r="BI98" s="173"/>
      <c r="BJ98" s="173"/>
      <c r="BK98" s="173"/>
      <c r="BL98" s="173"/>
      <c r="BM98" s="173"/>
      <c r="BN98" s="173"/>
      <c r="BO98" s="173"/>
      <c r="BP98" s="173"/>
      <c r="BQ98" s="173"/>
      <c r="BR98" s="173"/>
      <c r="BS98" s="173"/>
      <c r="BT98" s="173"/>
      <c r="BU98" s="173"/>
      <c r="BV98" s="173"/>
      <c r="BW98" s="173"/>
      <c r="BX98" s="173"/>
      <c r="BY98" s="173"/>
      <c r="BZ98" s="173"/>
      <c r="CA98" s="173"/>
      <c r="CB98" s="173"/>
      <c r="CC98" s="173"/>
      <c r="CD98" s="173"/>
      <c r="CE98" s="173"/>
      <c r="CF98" s="173"/>
      <c r="CG98" s="173"/>
      <c r="CH98" s="173"/>
      <c r="CI98" s="173"/>
      <c r="CJ98" s="173"/>
      <c r="CK98" s="173"/>
      <c r="CL98" s="173"/>
      <c r="CM98" s="173"/>
      <c r="CN98" s="173"/>
      <c r="CO98" s="173"/>
      <c r="CP98" s="173"/>
      <c r="CQ98" s="173"/>
      <c r="CR98" s="151"/>
      <c r="CS98" s="173"/>
      <c r="CT98" s="173"/>
      <c r="CU98" s="173"/>
      <c r="CV98" s="173"/>
      <c r="CW98" s="173"/>
      <c r="CX98" s="173"/>
      <c r="CY98" s="173"/>
      <c r="CZ98" s="173"/>
      <c r="DA98" s="222"/>
      <c r="DB98" s="222"/>
      <c r="DC98" s="222"/>
      <c r="DD98" s="222"/>
      <c r="DE98" s="222"/>
      <c r="DF98" s="222"/>
      <c r="DG98" s="222"/>
      <c r="DH98" s="222"/>
      <c r="DI98" s="222"/>
      <c r="DJ98" s="222"/>
      <c r="DK98" s="222"/>
      <c r="DL98" s="222"/>
      <c r="DM98" s="222"/>
      <c r="DN98" s="174"/>
      <c r="DO98" s="174"/>
      <c r="DP98" s="174"/>
      <c r="DQ98" s="174"/>
      <c r="DR98" s="174"/>
      <c r="DS98" s="174"/>
      <c r="DT98" s="174"/>
      <c r="DU98" s="174"/>
      <c r="DV98" s="174"/>
      <c r="DW98" s="174"/>
      <c r="DX98" s="174"/>
      <c r="DY98" s="174"/>
      <c r="DZ98" s="174"/>
      <c r="EA98" s="174"/>
      <c r="EB98" s="174"/>
      <c r="EC98" s="174"/>
      <c r="ED98" s="174"/>
      <c r="EE98" s="174"/>
      <c r="EF98" s="174"/>
      <c r="EG98" s="174"/>
      <c r="EH98" s="174"/>
      <c r="EI98" s="174"/>
      <c r="EJ98" s="174"/>
      <c r="EK98" s="174"/>
      <c r="EL98" s="174"/>
      <c r="EM98" s="174"/>
      <c r="EN98" s="174"/>
      <c r="EO98" s="174"/>
      <c r="EP98" s="174"/>
      <c r="EQ98" s="174"/>
      <c r="ER98" s="174"/>
      <c r="ES98" s="174"/>
      <c r="ET98" s="174"/>
      <c r="EU98" s="174"/>
      <c r="EV98" s="174"/>
      <c r="EW98" s="174"/>
      <c r="EX98" s="174"/>
      <c r="EY98" s="174"/>
      <c r="EZ98" s="174"/>
      <c r="FA98" s="174"/>
      <c r="FB98" s="174"/>
      <c r="FC98" s="174"/>
      <c r="FD98" s="174"/>
      <c r="FE98" s="174"/>
      <c r="FF98" s="174"/>
      <c r="FG98" s="174"/>
      <c r="FH98" s="174"/>
      <c r="FI98" s="174"/>
      <c r="FJ98" s="174"/>
      <c r="FK98" s="174"/>
      <c r="FL98" s="174"/>
      <c r="FM98" s="174"/>
      <c r="FN98" s="174"/>
      <c r="FO98" s="174"/>
      <c r="FP98" s="174"/>
      <c r="FQ98" s="174"/>
      <c r="FR98" s="174"/>
      <c r="FS98" s="174"/>
      <c r="FT98" s="174"/>
      <c r="FU98" s="174"/>
      <c r="FV98" s="174"/>
      <c r="FW98" s="174"/>
      <c r="FX98" s="174"/>
      <c r="FY98" s="174"/>
      <c r="FZ98" s="174"/>
      <c r="GA98" s="174"/>
      <c r="GB98" s="174"/>
      <c r="GC98" s="174"/>
      <c r="GD98" s="174"/>
      <c r="GE98" s="174"/>
      <c r="GF98" s="174"/>
      <c r="GG98" s="174"/>
      <c r="GH98" s="174"/>
      <c r="GI98" s="174"/>
      <c r="GJ98" s="174"/>
      <c r="GK98" s="174"/>
      <c r="GL98" s="174"/>
      <c r="GM98" s="174"/>
      <c r="GN98" s="174"/>
      <c r="GO98" s="174"/>
      <c r="GP98" s="174"/>
      <c r="GQ98" s="174"/>
      <c r="GR98" s="174"/>
      <c r="GS98" s="174"/>
      <c r="GT98" s="174"/>
      <c r="GU98" s="174"/>
      <c r="GV98" s="174"/>
      <c r="GW98" s="174"/>
      <c r="GX98" s="174"/>
      <c r="GY98" s="174"/>
      <c r="GZ98" s="174"/>
      <c r="HA98" s="174"/>
      <c r="HB98" s="174"/>
      <c r="HC98" s="174"/>
      <c r="HD98" s="174"/>
      <c r="HE98" s="174"/>
      <c r="HF98" s="174"/>
      <c r="HG98" s="174"/>
      <c r="HH98" s="174"/>
      <c r="HI98" s="174"/>
      <c r="HJ98" s="174"/>
      <c r="HK98" s="174"/>
      <c r="HL98" s="174"/>
      <c r="HM98" s="174"/>
      <c r="HN98" s="174"/>
      <c r="HO98" s="174"/>
      <c r="HP98" s="174"/>
      <c r="HQ98" s="174"/>
      <c r="HR98" s="174"/>
      <c r="HS98" s="174"/>
      <c r="HT98" s="174"/>
      <c r="HU98" s="174"/>
      <c r="HV98" s="174"/>
      <c r="HW98" s="174"/>
      <c r="HX98" s="174"/>
      <c r="HY98" s="174"/>
      <c r="HZ98" s="174"/>
      <c r="IA98" s="174"/>
      <c r="IB98" s="174"/>
      <c r="IC98" s="174"/>
      <c r="ID98" s="174"/>
      <c r="IE98" s="174"/>
      <c r="IF98" s="174"/>
      <c r="IG98" s="174"/>
      <c r="IH98" s="174"/>
      <c r="II98" s="174"/>
      <c r="IJ98" s="174"/>
      <c r="IK98" s="174"/>
      <c r="IL98" s="174"/>
      <c r="IM98" s="174"/>
      <c r="IN98" s="174"/>
      <c r="IO98" s="174"/>
      <c r="IP98" s="174"/>
      <c r="IQ98" s="174"/>
      <c r="IR98" s="174"/>
      <c r="IS98" s="174"/>
      <c r="IT98" s="174"/>
      <c r="IU98" s="174"/>
      <c r="IV98" s="174"/>
      <c r="IW98" s="174"/>
      <c r="IX98" s="174"/>
      <c r="IY98" s="174"/>
      <c r="IZ98" s="174"/>
      <c r="JA98" s="174"/>
      <c r="JB98" s="174"/>
      <c r="JC98" s="174"/>
      <c r="JD98" s="174"/>
      <c r="JE98" s="174"/>
      <c r="JF98" s="174"/>
      <c r="JG98" s="174"/>
      <c r="JH98" s="174"/>
      <c r="JI98" s="174"/>
      <c r="JJ98" s="174"/>
      <c r="JK98" s="174"/>
      <c r="JL98" s="174"/>
      <c r="JM98" s="174"/>
      <c r="JN98" s="174"/>
      <c r="JO98" s="174"/>
      <c r="JP98" s="174"/>
      <c r="JQ98" s="174"/>
      <c r="JR98" s="174"/>
      <c r="JS98" s="174"/>
      <c r="JT98" s="174"/>
      <c r="JU98" s="174"/>
      <c r="JV98" s="174"/>
    </row>
    <row r="99" spans="1:282" s="146" customFormat="1">
      <c r="A99" s="232"/>
      <c r="B99" s="173"/>
      <c r="C99" s="173"/>
      <c r="D99" s="233"/>
      <c r="E99" s="228"/>
      <c r="F99" s="234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  <c r="AQ99" s="173"/>
      <c r="AR99" s="173"/>
      <c r="AS99" s="173"/>
      <c r="AT99" s="173"/>
      <c r="AU99" s="173"/>
      <c r="AV99" s="173"/>
      <c r="AW99" s="173"/>
      <c r="AX99" s="173"/>
      <c r="AY99" s="173"/>
      <c r="AZ99" s="173"/>
      <c r="BA99" s="277"/>
      <c r="BB99" s="173"/>
      <c r="BC99" s="173"/>
      <c r="BD99" s="173"/>
      <c r="BE99" s="173"/>
      <c r="BF99" s="173"/>
      <c r="BG99" s="173"/>
      <c r="BH99" s="173"/>
      <c r="BI99" s="173"/>
      <c r="BJ99" s="173"/>
      <c r="BK99" s="173"/>
      <c r="BL99" s="173"/>
      <c r="BM99" s="173"/>
      <c r="BN99" s="173"/>
      <c r="BO99" s="173"/>
      <c r="BP99" s="173"/>
      <c r="BQ99" s="173"/>
      <c r="BR99" s="173"/>
      <c r="BS99" s="173"/>
      <c r="BT99" s="173"/>
      <c r="BU99" s="173"/>
      <c r="BV99" s="173"/>
      <c r="BW99" s="173"/>
      <c r="BX99" s="173"/>
      <c r="BY99" s="173"/>
      <c r="BZ99" s="173"/>
      <c r="CA99" s="173"/>
      <c r="CB99" s="173"/>
      <c r="CC99" s="173"/>
      <c r="CD99" s="173"/>
      <c r="CE99" s="173"/>
      <c r="CF99" s="173"/>
      <c r="CG99" s="173"/>
      <c r="CH99" s="173"/>
      <c r="CI99" s="173"/>
      <c r="CJ99" s="173"/>
      <c r="CK99" s="173"/>
      <c r="CL99" s="173"/>
      <c r="CM99" s="173"/>
      <c r="CN99" s="173"/>
      <c r="CO99" s="173"/>
      <c r="CP99" s="173"/>
      <c r="CQ99" s="173"/>
      <c r="CR99" s="151"/>
      <c r="CS99" s="173"/>
      <c r="CT99" s="173"/>
      <c r="CU99" s="173"/>
      <c r="CV99" s="173"/>
      <c r="CW99" s="173"/>
      <c r="CX99" s="173"/>
      <c r="CY99" s="173"/>
      <c r="CZ99" s="173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222"/>
      <c r="DL99" s="222"/>
      <c r="DM99" s="222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4"/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EM99" s="174"/>
      <c r="EN99" s="174"/>
      <c r="EO99" s="174"/>
      <c r="EP99" s="174"/>
      <c r="EQ99" s="174"/>
      <c r="ER99" s="174"/>
      <c r="ES99" s="174"/>
      <c r="ET99" s="174"/>
      <c r="EU99" s="174"/>
      <c r="EV99" s="174"/>
      <c r="EW99" s="174"/>
      <c r="EX99" s="174"/>
      <c r="EY99" s="174"/>
      <c r="EZ99" s="174"/>
      <c r="FA99" s="174"/>
      <c r="FB99" s="174"/>
      <c r="FC99" s="174"/>
      <c r="FD99" s="174"/>
      <c r="FE99" s="174"/>
      <c r="FF99" s="174"/>
      <c r="FG99" s="174"/>
      <c r="FH99" s="174"/>
      <c r="FI99" s="174"/>
      <c r="FJ99" s="174"/>
      <c r="FK99" s="174"/>
      <c r="FL99" s="174"/>
      <c r="FM99" s="174"/>
      <c r="FN99" s="174"/>
      <c r="FO99" s="174"/>
      <c r="FP99" s="174"/>
      <c r="FQ99" s="174"/>
      <c r="FR99" s="174"/>
      <c r="FS99" s="174"/>
      <c r="FT99" s="174"/>
      <c r="FU99" s="174"/>
      <c r="FV99" s="174"/>
      <c r="FW99" s="174"/>
      <c r="FX99" s="174"/>
      <c r="FY99" s="174"/>
      <c r="FZ99" s="174"/>
      <c r="GA99" s="174"/>
      <c r="GB99" s="174"/>
      <c r="GC99" s="174"/>
      <c r="GD99" s="174"/>
      <c r="GE99" s="174"/>
      <c r="GF99" s="174"/>
      <c r="GG99" s="174"/>
      <c r="GH99" s="174"/>
      <c r="GI99" s="174"/>
      <c r="GJ99" s="174"/>
      <c r="GK99" s="174"/>
      <c r="GL99" s="174"/>
      <c r="GM99" s="174"/>
      <c r="GN99" s="174"/>
      <c r="GO99" s="174"/>
      <c r="GP99" s="174"/>
      <c r="GQ99" s="174"/>
      <c r="GR99" s="174"/>
      <c r="GS99" s="174"/>
      <c r="GT99" s="174"/>
      <c r="GU99" s="174"/>
      <c r="GV99" s="174"/>
      <c r="GW99" s="174"/>
      <c r="GX99" s="174"/>
      <c r="GY99" s="174"/>
      <c r="GZ99" s="174"/>
      <c r="HA99" s="174"/>
      <c r="HB99" s="174"/>
      <c r="HC99" s="174"/>
      <c r="HD99" s="174"/>
      <c r="HE99" s="174"/>
      <c r="HF99" s="174"/>
      <c r="HG99" s="174"/>
      <c r="HH99" s="174"/>
      <c r="HI99" s="174"/>
      <c r="HJ99" s="174"/>
      <c r="HK99" s="174"/>
      <c r="HL99" s="174"/>
      <c r="HM99" s="174"/>
      <c r="HN99" s="174"/>
      <c r="HO99" s="174"/>
      <c r="HP99" s="174"/>
      <c r="HQ99" s="174"/>
      <c r="HR99" s="174"/>
      <c r="HS99" s="174"/>
      <c r="HT99" s="174"/>
      <c r="HU99" s="174"/>
      <c r="HV99" s="174"/>
      <c r="HW99" s="174"/>
      <c r="HX99" s="174"/>
      <c r="HY99" s="174"/>
      <c r="HZ99" s="174"/>
      <c r="IA99" s="174"/>
      <c r="IB99" s="174"/>
      <c r="IC99" s="174"/>
      <c r="ID99" s="174"/>
      <c r="IE99" s="174"/>
      <c r="IF99" s="174"/>
      <c r="IG99" s="174"/>
      <c r="IH99" s="174"/>
      <c r="II99" s="174"/>
      <c r="IJ99" s="174"/>
      <c r="IK99" s="174"/>
      <c r="IL99" s="174"/>
      <c r="IM99" s="174"/>
      <c r="IN99" s="174"/>
      <c r="IO99" s="174"/>
      <c r="IP99" s="174"/>
      <c r="IQ99" s="174"/>
      <c r="IR99" s="174"/>
      <c r="IS99" s="174"/>
      <c r="IT99" s="174"/>
      <c r="IU99" s="174"/>
      <c r="IV99" s="174"/>
      <c r="IW99" s="174"/>
      <c r="IX99" s="174"/>
      <c r="IY99" s="174"/>
      <c r="IZ99" s="174"/>
      <c r="JA99" s="174"/>
      <c r="JB99" s="174"/>
      <c r="JC99" s="174"/>
      <c r="JD99" s="174"/>
      <c r="JE99" s="174"/>
      <c r="JF99" s="174"/>
      <c r="JG99" s="174"/>
      <c r="JH99" s="174"/>
      <c r="JI99" s="174"/>
      <c r="JJ99" s="174"/>
      <c r="JK99" s="174"/>
      <c r="JL99" s="174"/>
      <c r="JM99" s="174"/>
      <c r="JN99" s="174"/>
      <c r="JO99" s="174"/>
      <c r="JP99" s="174"/>
      <c r="JQ99" s="174"/>
      <c r="JR99" s="174"/>
      <c r="JS99" s="174"/>
      <c r="JT99" s="174"/>
      <c r="JU99" s="174"/>
      <c r="JV99" s="174"/>
    </row>
    <row r="100" spans="1:282" s="146" customFormat="1">
      <c r="A100" s="232"/>
      <c r="B100" s="173"/>
      <c r="C100" s="173"/>
      <c r="D100" s="233"/>
      <c r="E100" s="228"/>
      <c r="F100" s="234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  <c r="AQ100" s="173"/>
      <c r="AR100" s="173"/>
      <c r="AS100" s="173"/>
      <c r="AT100" s="173"/>
      <c r="AU100" s="173"/>
      <c r="AV100" s="173"/>
      <c r="AW100" s="173"/>
      <c r="AX100" s="173"/>
      <c r="AY100" s="173"/>
      <c r="AZ100" s="173"/>
      <c r="BA100" s="277"/>
      <c r="BB100" s="173"/>
      <c r="BC100" s="173"/>
      <c r="BD100" s="173"/>
      <c r="BE100" s="173"/>
      <c r="BF100" s="173"/>
      <c r="BG100" s="173"/>
      <c r="BH100" s="173"/>
      <c r="BI100" s="173"/>
      <c r="BJ100" s="173"/>
      <c r="BK100" s="173"/>
      <c r="BL100" s="173"/>
      <c r="BM100" s="173"/>
      <c r="BN100" s="173"/>
      <c r="BO100" s="173"/>
      <c r="BP100" s="173"/>
      <c r="BQ100" s="173"/>
      <c r="BR100" s="173"/>
      <c r="BS100" s="173"/>
      <c r="BT100" s="173"/>
      <c r="BU100" s="173"/>
      <c r="BV100" s="173"/>
      <c r="BW100" s="173"/>
      <c r="BX100" s="173"/>
      <c r="BY100" s="173"/>
      <c r="BZ100" s="173"/>
      <c r="CA100" s="173"/>
      <c r="CB100" s="173"/>
      <c r="CC100" s="173"/>
      <c r="CD100" s="173"/>
      <c r="CE100" s="173"/>
      <c r="CF100" s="173"/>
      <c r="CG100" s="173"/>
      <c r="CH100" s="173"/>
      <c r="CI100" s="173"/>
      <c r="CJ100" s="173"/>
      <c r="CK100" s="173"/>
      <c r="CL100" s="173"/>
      <c r="CM100" s="173"/>
      <c r="CN100" s="173"/>
      <c r="CO100" s="173"/>
      <c r="CP100" s="173"/>
      <c r="CQ100" s="173"/>
      <c r="CR100" s="151"/>
      <c r="CS100" s="173"/>
      <c r="CT100" s="173"/>
      <c r="CU100" s="173"/>
      <c r="CV100" s="173"/>
      <c r="CW100" s="173"/>
      <c r="CX100" s="173"/>
      <c r="CY100" s="173"/>
      <c r="CZ100" s="173"/>
      <c r="DA100" s="222"/>
      <c r="DB100" s="222"/>
      <c r="DC100" s="222"/>
      <c r="DD100" s="222"/>
      <c r="DE100" s="222"/>
      <c r="DF100" s="222"/>
      <c r="DG100" s="222"/>
      <c r="DH100" s="222"/>
      <c r="DI100" s="222"/>
      <c r="DJ100" s="222"/>
      <c r="DK100" s="222"/>
      <c r="DL100" s="222"/>
      <c r="DM100" s="222"/>
      <c r="DN100" s="174"/>
      <c r="DO100" s="174"/>
      <c r="DP100" s="174"/>
      <c r="DQ100" s="174"/>
      <c r="DR100" s="174"/>
      <c r="DS100" s="174"/>
      <c r="DT100" s="174"/>
      <c r="DU100" s="174"/>
      <c r="DV100" s="174"/>
      <c r="DW100" s="174"/>
      <c r="DX100" s="174"/>
      <c r="DY100" s="174"/>
      <c r="DZ100" s="174"/>
      <c r="EA100" s="174"/>
      <c r="EB100" s="174"/>
      <c r="EC100" s="174"/>
      <c r="ED100" s="174"/>
      <c r="EE100" s="174"/>
      <c r="EF100" s="174"/>
      <c r="EG100" s="174"/>
      <c r="EH100" s="174"/>
      <c r="EI100" s="174"/>
      <c r="EJ100" s="174"/>
      <c r="EK100" s="174"/>
      <c r="EL100" s="174"/>
      <c r="EM100" s="174"/>
      <c r="EN100" s="174"/>
      <c r="EO100" s="174"/>
      <c r="EP100" s="174"/>
      <c r="EQ100" s="174"/>
      <c r="ER100" s="174"/>
      <c r="ES100" s="174"/>
      <c r="ET100" s="174"/>
      <c r="EU100" s="174"/>
      <c r="EV100" s="174"/>
      <c r="EW100" s="174"/>
      <c r="EX100" s="174"/>
      <c r="EY100" s="174"/>
      <c r="EZ100" s="174"/>
      <c r="FA100" s="174"/>
      <c r="FB100" s="174"/>
      <c r="FC100" s="174"/>
      <c r="FD100" s="174"/>
      <c r="FE100" s="174"/>
      <c r="FF100" s="174"/>
      <c r="FG100" s="174"/>
      <c r="FH100" s="174"/>
      <c r="FI100" s="174"/>
      <c r="FJ100" s="174"/>
      <c r="FK100" s="174"/>
      <c r="FL100" s="174"/>
      <c r="FM100" s="174"/>
      <c r="FN100" s="174"/>
      <c r="FO100" s="174"/>
      <c r="FP100" s="174"/>
      <c r="FQ100" s="174"/>
      <c r="FR100" s="174"/>
      <c r="FS100" s="174"/>
      <c r="FT100" s="174"/>
      <c r="FU100" s="174"/>
      <c r="FV100" s="174"/>
      <c r="FW100" s="174"/>
      <c r="FX100" s="174"/>
      <c r="FY100" s="174"/>
      <c r="FZ100" s="174"/>
      <c r="GA100" s="174"/>
      <c r="GB100" s="174"/>
      <c r="GC100" s="174"/>
      <c r="GD100" s="174"/>
      <c r="GE100" s="174"/>
      <c r="GF100" s="174"/>
      <c r="GG100" s="174"/>
      <c r="GH100" s="174"/>
      <c r="GI100" s="174"/>
      <c r="GJ100" s="174"/>
      <c r="GK100" s="174"/>
      <c r="GL100" s="174"/>
      <c r="GM100" s="174"/>
      <c r="GN100" s="174"/>
      <c r="GO100" s="174"/>
      <c r="GP100" s="174"/>
      <c r="GQ100" s="174"/>
      <c r="GR100" s="174"/>
      <c r="GS100" s="174"/>
      <c r="GT100" s="174"/>
      <c r="GU100" s="174"/>
      <c r="GV100" s="174"/>
      <c r="GW100" s="174"/>
      <c r="GX100" s="174"/>
      <c r="GY100" s="174"/>
      <c r="GZ100" s="174"/>
      <c r="HA100" s="174"/>
      <c r="HB100" s="174"/>
      <c r="HC100" s="174"/>
      <c r="HD100" s="174"/>
      <c r="HE100" s="174"/>
      <c r="HF100" s="174"/>
      <c r="HG100" s="174"/>
      <c r="HH100" s="174"/>
      <c r="HI100" s="174"/>
      <c r="HJ100" s="174"/>
      <c r="HK100" s="174"/>
      <c r="HL100" s="174"/>
      <c r="HM100" s="174"/>
      <c r="HN100" s="174"/>
      <c r="HO100" s="174"/>
      <c r="HP100" s="174"/>
      <c r="HQ100" s="174"/>
      <c r="HR100" s="174"/>
      <c r="HS100" s="174"/>
      <c r="HT100" s="174"/>
      <c r="HU100" s="174"/>
      <c r="HV100" s="174"/>
      <c r="HW100" s="174"/>
      <c r="HX100" s="174"/>
      <c r="HY100" s="174"/>
      <c r="HZ100" s="174"/>
      <c r="IA100" s="174"/>
      <c r="IB100" s="174"/>
      <c r="IC100" s="174"/>
      <c r="ID100" s="174"/>
      <c r="IE100" s="174"/>
      <c r="IF100" s="174"/>
      <c r="IG100" s="174"/>
      <c r="IH100" s="174"/>
      <c r="II100" s="174"/>
      <c r="IJ100" s="174"/>
      <c r="IK100" s="174"/>
      <c r="IL100" s="174"/>
      <c r="IM100" s="174"/>
      <c r="IN100" s="174"/>
      <c r="IO100" s="174"/>
      <c r="IP100" s="174"/>
      <c r="IQ100" s="174"/>
      <c r="IR100" s="174"/>
      <c r="IS100" s="174"/>
      <c r="IT100" s="174"/>
      <c r="IU100" s="174"/>
      <c r="IV100" s="174"/>
      <c r="IW100" s="174"/>
      <c r="IX100" s="174"/>
      <c r="IY100" s="174"/>
      <c r="IZ100" s="174"/>
      <c r="JA100" s="174"/>
      <c r="JB100" s="174"/>
      <c r="JC100" s="174"/>
      <c r="JD100" s="174"/>
      <c r="JE100" s="174"/>
      <c r="JF100" s="174"/>
      <c r="JG100" s="174"/>
      <c r="JH100" s="174"/>
      <c r="JI100" s="174"/>
      <c r="JJ100" s="174"/>
      <c r="JK100" s="174"/>
      <c r="JL100" s="174"/>
      <c r="JM100" s="174"/>
      <c r="JN100" s="174"/>
      <c r="JO100" s="174"/>
      <c r="JP100" s="174"/>
      <c r="JQ100" s="174"/>
      <c r="JR100" s="174"/>
      <c r="JS100" s="174"/>
      <c r="JT100" s="174"/>
      <c r="JU100" s="174"/>
      <c r="JV100" s="174"/>
    </row>
    <row r="101" spans="1:282" s="146" customFormat="1">
      <c r="A101" s="232"/>
      <c r="B101" s="173"/>
      <c r="C101" s="173"/>
      <c r="D101" s="233"/>
      <c r="E101" s="228"/>
      <c r="F101" s="234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3"/>
      <c r="AT101" s="173"/>
      <c r="AU101" s="173"/>
      <c r="AV101" s="173"/>
      <c r="AW101" s="173"/>
      <c r="AX101" s="173"/>
      <c r="AY101" s="173"/>
      <c r="AZ101" s="173"/>
      <c r="BA101" s="276"/>
      <c r="BB101" s="173"/>
      <c r="BC101" s="173"/>
      <c r="BD101" s="173"/>
      <c r="BE101" s="173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73"/>
      <c r="BP101" s="173"/>
      <c r="BQ101" s="173"/>
      <c r="BR101" s="173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73"/>
      <c r="CC101" s="173"/>
      <c r="CD101" s="173"/>
      <c r="CE101" s="173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73"/>
      <c r="CP101" s="173"/>
      <c r="CQ101" s="173"/>
      <c r="CR101" s="151"/>
      <c r="CS101" s="173"/>
      <c r="CT101" s="173"/>
      <c r="CU101" s="173"/>
      <c r="CV101" s="173"/>
      <c r="CW101" s="173"/>
      <c r="CX101" s="173"/>
      <c r="CY101" s="173"/>
      <c r="CZ101" s="173"/>
      <c r="DA101" s="222"/>
      <c r="DB101" s="222"/>
      <c r="DC101" s="222"/>
      <c r="DD101" s="222"/>
      <c r="DE101" s="222"/>
      <c r="DF101" s="222"/>
      <c r="DG101" s="222"/>
      <c r="DH101" s="222"/>
      <c r="DI101" s="222"/>
      <c r="DJ101" s="222"/>
      <c r="DK101" s="222"/>
      <c r="DL101" s="222"/>
      <c r="DM101" s="222"/>
      <c r="DN101" s="174"/>
      <c r="DO101" s="174"/>
      <c r="DP101" s="174"/>
      <c r="DQ101" s="174"/>
      <c r="DR101" s="174"/>
      <c r="DS101" s="174"/>
      <c r="DT101" s="174"/>
      <c r="DU101" s="174"/>
      <c r="DV101" s="174"/>
      <c r="DW101" s="174"/>
      <c r="DX101" s="174"/>
      <c r="DY101" s="174"/>
      <c r="DZ101" s="174"/>
      <c r="EA101" s="174"/>
      <c r="EB101" s="174"/>
      <c r="EC101" s="174"/>
      <c r="ED101" s="174"/>
      <c r="EE101" s="174"/>
      <c r="EF101" s="174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  <c r="FC101" s="174"/>
      <c r="FD101" s="174"/>
      <c r="FE101" s="174"/>
      <c r="FF101" s="174"/>
      <c r="FG101" s="174"/>
      <c r="FH101" s="174"/>
      <c r="FI101" s="174"/>
      <c r="FJ101" s="174"/>
      <c r="FK101" s="174"/>
      <c r="FL101" s="174"/>
      <c r="FM101" s="174"/>
      <c r="FN101" s="174"/>
      <c r="FO101" s="174"/>
      <c r="FP101" s="174"/>
      <c r="FQ101" s="174"/>
      <c r="FR101" s="174"/>
      <c r="FS101" s="174"/>
      <c r="FT101" s="174"/>
      <c r="FU101" s="174"/>
      <c r="FV101" s="174"/>
      <c r="FW101" s="174"/>
      <c r="FX101" s="174"/>
      <c r="FY101" s="174"/>
      <c r="FZ101" s="174"/>
      <c r="GA101" s="174"/>
      <c r="GB101" s="174"/>
      <c r="GC101" s="174"/>
      <c r="GD101" s="174"/>
      <c r="GE101" s="174"/>
      <c r="GF101" s="174"/>
      <c r="GG101" s="174"/>
      <c r="GH101" s="174"/>
      <c r="GI101" s="174"/>
      <c r="GJ101" s="174"/>
      <c r="GK101" s="174"/>
      <c r="GL101" s="174"/>
      <c r="GM101" s="174"/>
      <c r="GN101" s="174"/>
      <c r="GO101" s="174"/>
      <c r="GP101" s="174"/>
      <c r="GQ101" s="174"/>
      <c r="GR101" s="174"/>
      <c r="GS101" s="174"/>
      <c r="GT101" s="174"/>
      <c r="GU101" s="174"/>
      <c r="GV101" s="174"/>
      <c r="GW101" s="174"/>
      <c r="GX101" s="174"/>
      <c r="GY101" s="174"/>
      <c r="GZ101" s="174"/>
      <c r="HA101" s="174"/>
      <c r="HB101" s="174"/>
      <c r="HC101" s="174"/>
      <c r="HD101" s="174"/>
      <c r="HE101" s="174"/>
      <c r="HF101" s="174"/>
      <c r="HG101" s="174"/>
      <c r="HH101" s="174"/>
      <c r="HI101" s="174"/>
      <c r="HJ101" s="174"/>
      <c r="HK101" s="174"/>
      <c r="HL101" s="174"/>
      <c r="HM101" s="174"/>
      <c r="HN101" s="174"/>
      <c r="HO101" s="174"/>
      <c r="HP101" s="174"/>
      <c r="HQ101" s="174"/>
      <c r="HR101" s="174"/>
      <c r="HS101" s="174"/>
      <c r="HT101" s="174"/>
      <c r="HU101" s="174"/>
      <c r="HV101" s="174"/>
      <c r="HW101" s="174"/>
      <c r="HX101" s="174"/>
      <c r="HY101" s="174"/>
      <c r="HZ101" s="174"/>
      <c r="IA101" s="174"/>
      <c r="IB101" s="174"/>
      <c r="IC101" s="174"/>
      <c r="ID101" s="174"/>
      <c r="IE101" s="174"/>
      <c r="IF101" s="174"/>
      <c r="IG101" s="174"/>
      <c r="IH101" s="174"/>
      <c r="II101" s="174"/>
      <c r="IJ101" s="174"/>
      <c r="IK101" s="174"/>
      <c r="IL101" s="174"/>
      <c r="IM101" s="174"/>
      <c r="IN101" s="174"/>
      <c r="IO101" s="174"/>
      <c r="IP101" s="174"/>
      <c r="IQ101" s="174"/>
      <c r="IR101" s="174"/>
      <c r="IS101" s="174"/>
      <c r="IT101" s="174"/>
      <c r="IU101" s="174"/>
      <c r="IV101" s="174"/>
      <c r="IW101" s="174"/>
      <c r="IX101" s="174"/>
      <c r="IY101" s="174"/>
      <c r="IZ101" s="174"/>
      <c r="JA101" s="174"/>
      <c r="JB101" s="174"/>
      <c r="JC101" s="174"/>
      <c r="JD101" s="174"/>
      <c r="JE101" s="174"/>
      <c r="JF101" s="174"/>
      <c r="JG101" s="174"/>
      <c r="JH101" s="174"/>
      <c r="JI101" s="174"/>
      <c r="JJ101" s="174"/>
      <c r="JK101" s="174"/>
      <c r="JL101" s="174"/>
      <c r="JM101" s="174"/>
      <c r="JN101" s="174"/>
      <c r="JO101" s="174"/>
      <c r="JP101" s="174"/>
      <c r="JQ101" s="174"/>
      <c r="JR101" s="174"/>
      <c r="JS101" s="174"/>
      <c r="JT101" s="174"/>
      <c r="JU101" s="174"/>
      <c r="JV101" s="174"/>
    </row>
    <row r="102" spans="1:282" s="146" customFormat="1">
      <c r="A102" s="232"/>
      <c r="B102" s="173"/>
      <c r="C102" s="173"/>
      <c r="D102" s="233"/>
      <c r="E102" s="228"/>
      <c r="F102" s="234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3"/>
      <c r="AT102" s="173"/>
      <c r="AU102" s="173"/>
      <c r="AV102" s="173"/>
      <c r="AW102" s="173"/>
      <c r="AX102" s="173"/>
      <c r="AY102" s="173"/>
      <c r="AZ102" s="173"/>
      <c r="BA102" s="277"/>
      <c r="BB102" s="173"/>
      <c r="BC102" s="173"/>
      <c r="BD102" s="173"/>
      <c r="BE102" s="173"/>
      <c r="BF102" s="173"/>
      <c r="BG102" s="173"/>
      <c r="BH102" s="173"/>
      <c r="BI102" s="173"/>
      <c r="BJ102" s="173"/>
      <c r="BK102" s="173"/>
      <c r="BL102" s="173"/>
      <c r="BM102" s="173"/>
      <c r="BN102" s="173"/>
      <c r="BO102" s="173"/>
      <c r="BP102" s="173"/>
      <c r="BQ102" s="173"/>
      <c r="BR102" s="173"/>
      <c r="BS102" s="173"/>
      <c r="BT102" s="173"/>
      <c r="BU102" s="173"/>
      <c r="BV102" s="173"/>
      <c r="BW102" s="173"/>
      <c r="BX102" s="173"/>
      <c r="BY102" s="173"/>
      <c r="BZ102" s="173"/>
      <c r="CA102" s="173"/>
      <c r="CB102" s="173"/>
      <c r="CC102" s="173"/>
      <c r="CD102" s="173"/>
      <c r="CE102" s="173"/>
      <c r="CF102" s="173"/>
      <c r="CG102" s="173"/>
      <c r="CH102" s="173"/>
      <c r="CI102" s="173"/>
      <c r="CJ102" s="173"/>
      <c r="CK102" s="173"/>
      <c r="CL102" s="173"/>
      <c r="CM102" s="173"/>
      <c r="CN102" s="173"/>
      <c r="CO102" s="173"/>
      <c r="CP102" s="173"/>
      <c r="CQ102" s="173"/>
      <c r="CR102" s="151"/>
      <c r="CS102" s="173"/>
      <c r="CT102" s="173"/>
      <c r="CU102" s="173"/>
      <c r="CV102" s="173"/>
      <c r="CW102" s="173"/>
      <c r="CX102" s="173"/>
      <c r="CY102" s="173"/>
      <c r="CZ102" s="173"/>
      <c r="DA102" s="222"/>
      <c r="DB102" s="222"/>
      <c r="DC102" s="222"/>
      <c r="DD102" s="222"/>
      <c r="DE102" s="222"/>
      <c r="DF102" s="222"/>
      <c r="DG102" s="222"/>
      <c r="DH102" s="222"/>
      <c r="DI102" s="222"/>
      <c r="DJ102" s="222"/>
      <c r="DK102" s="222"/>
      <c r="DL102" s="222"/>
      <c r="DM102" s="222"/>
      <c r="DN102" s="174"/>
      <c r="DO102" s="174"/>
      <c r="DP102" s="174"/>
      <c r="DQ102" s="174"/>
      <c r="DR102" s="174"/>
      <c r="DS102" s="174"/>
      <c r="DT102" s="174"/>
      <c r="DU102" s="174"/>
      <c r="DV102" s="174"/>
      <c r="DW102" s="174"/>
      <c r="DX102" s="174"/>
      <c r="DY102" s="174"/>
      <c r="DZ102" s="174"/>
      <c r="EA102" s="174"/>
      <c r="EB102" s="174"/>
      <c r="EC102" s="174"/>
      <c r="ED102" s="174"/>
      <c r="EE102" s="174"/>
      <c r="EF102" s="174"/>
      <c r="EG102" s="174"/>
      <c r="EH102" s="174"/>
      <c r="EI102" s="174"/>
      <c r="EJ102" s="174"/>
      <c r="EK102" s="174"/>
      <c r="EL102" s="174"/>
      <c r="EM102" s="174"/>
      <c r="EN102" s="174"/>
      <c r="EO102" s="174"/>
      <c r="EP102" s="174"/>
      <c r="EQ102" s="174"/>
      <c r="ER102" s="174"/>
      <c r="ES102" s="174"/>
      <c r="ET102" s="174"/>
      <c r="EU102" s="174"/>
      <c r="EV102" s="174"/>
      <c r="EW102" s="174"/>
      <c r="EX102" s="174"/>
      <c r="EY102" s="174"/>
      <c r="EZ102" s="174"/>
      <c r="FA102" s="174"/>
      <c r="FB102" s="174"/>
      <c r="FC102" s="174"/>
      <c r="FD102" s="174"/>
      <c r="FE102" s="174"/>
      <c r="FF102" s="174"/>
      <c r="FG102" s="174"/>
      <c r="FH102" s="174"/>
      <c r="FI102" s="174"/>
      <c r="FJ102" s="174"/>
      <c r="FK102" s="174"/>
      <c r="FL102" s="174"/>
      <c r="FM102" s="174"/>
      <c r="FN102" s="174"/>
      <c r="FO102" s="174"/>
      <c r="FP102" s="174"/>
      <c r="FQ102" s="174"/>
      <c r="FR102" s="174"/>
      <c r="FS102" s="174"/>
      <c r="FT102" s="174"/>
      <c r="FU102" s="174"/>
      <c r="FV102" s="174"/>
      <c r="FW102" s="174"/>
      <c r="FX102" s="174"/>
      <c r="FY102" s="174"/>
      <c r="FZ102" s="174"/>
      <c r="GA102" s="174"/>
      <c r="GB102" s="174"/>
      <c r="GC102" s="174"/>
      <c r="GD102" s="174"/>
      <c r="GE102" s="174"/>
      <c r="GF102" s="174"/>
      <c r="GG102" s="174"/>
      <c r="GH102" s="174"/>
      <c r="GI102" s="174"/>
      <c r="GJ102" s="174"/>
      <c r="GK102" s="174"/>
      <c r="GL102" s="174"/>
      <c r="GM102" s="174"/>
      <c r="GN102" s="174"/>
      <c r="GO102" s="174"/>
      <c r="GP102" s="174"/>
      <c r="GQ102" s="174"/>
      <c r="GR102" s="174"/>
      <c r="GS102" s="174"/>
      <c r="GT102" s="174"/>
      <c r="GU102" s="174"/>
      <c r="GV102" s="174"/>
      <c r="GW102" s="174"/>
      <c r="GX102" s="174"/>
      <c r="GY102" s="174"/>
      <c r="GZ102" s="174"/>
      <c r="HA102" s="174"/>
      <c r="HB102" s="174"/>
      <c r="HC102" s="174"/>
      <c r="HD102" s="174"/>
      <c r="HE102" s="174"/>
      <c r="HF102" s="174"/>
      <c r="HG102" s="174"/>
      <c r="HH102" s="174"/>
      <c r="HI102" s="174"/>
      <c r="HJ102" s="174"/>
      <c r="HK102" s="174"/>
      <c r="HL102" s="174"/>
      <c r="HM102" s="174"/>
      <c r="HN102" s="174"/>
      <c r="HO102" s="174"/>
      <c r="HP102" s="174"/>
      <c r="HQ102" s="174"/>
      <c r="HR102" s="174"/>
      <c r="HS102" s="174"/>
      <c r="HT102" s="174"/>
      <c r="HU102" s="174"/>
      <c r="HV102" s="174"/>
      <c r="HW102" s="174"/>
      <c r="HX102" s="174"/>
      <c r="HY102" s="174"/>
      <c r="HZ102" s="174"/>
      <c r="IA102" s="174"/>
      <c r="IB102" s="174"/>
      <c r="IC102" s="174"/>
      <c r="ID102" s="174"/>
      <c r="IE102" s="174"/>
      <c r="IF102" s="174"/>
      <c r="IG102" s="174"/>
      <c r="IH102" s="174"/>
      <c r="II102" s="174"/>
      <c r="IJ102" s="174"/>
      <c r="IK102" s="174"/>
      <c r="IL102" s="174"/>
      <c r="IM102" s="174"/>
      <c r="IN102" s="174"/>
      <c r="IO102" s="174"/>
      <c r="IP102" s="174"/>
      <c r="IQ102" s="174"/>
      <c r="IR102" s="174"/>
      <c r="IS102" s="174"/>
      <c r="IT102" s="174"/>
      <c r="IU102" s="174"/>
      <c r="IV102" s="174"/>
      <c r="IW102" s="174"/>
      <c r="IX102" s="174"/>
      <c r="IY102" s="174"/>
      <c r="IZ102" s="174"/>
      <c r="JA102" s="174"/>
      <c r="JB102" s="174"/>
      <c r="JC102" s="174"/>
      <c r="JD102" s="174"/>
      <c r="JE102" s="174"/>
      <c r="JF102" s="174"/>
      <c r="JG102" s="174"/>
      <c r="JH102" s="174"/>
      <c r="JI102" s="174"/>
      <c r="JJ102" s="174"/>
      <c r="JK102" s="174"/>
      <c r="JL102" s="174"/>
      <c r="JM102" s="174"/>
      <c r="JN102" s="174"/>
      <c r="JO102" s="174"/>
      <c r="JP102" s="174"/>
      <c r="JQ102" s="174"/>
      <c r="JR102" s="174"/>
      <c r="JS102" s="174"/>
      <c r="JT102" s="174"/>
      <c r="JU102" s="174"/>
      <c r="JV102" s="174"/>
    </row>
    <row r="103" spans="1:282" s="146" customFormat="1">
      <c r="A103" s="232"/>
      <c r="B103" s="173"/>
      <c r="C103" s="173"/>
      <c r="D103" s="233"/>
      <c r="E103" s="228"/>
      <c r="F103" s="234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3"/>
      <c r="AT103" s="173"/>
      <c r="AU103" s="173"/>
      <c r="AV103" s="173"/>
      <c r="AW103" s="173"/>
      <c r="AX103" s="173"/>
      <c r="AY103" s="173"/>
      <c r="AZ103" s="173"/>
      <c r="BA103" s="277"/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3"/>
      <c r="CG103" s="173"/>
      <c r="CH103" s="173"/>
      <c r="CI103" s="173"/>
      <c r="CJ103" s="173"/>
      <c r="CK103" s="173"/>
      <c r="CL103" s="173"/>
      <c r="CM103" s="173"/>
      <c r="CN103" s="173"/>
      <c r="CO103" s="173"/>
      <c r="CP103" s="173"/>
      <c r="CQ103" s="173"/>
      <c r="CR103" s="151"/>
      <c r="CS103" s="173"/>
      <c r="CT103" s="173"/>
      <c r="CU103" s="173"/>
      <c r="CV103" s="173"/>
      <c r="CW103" s="173"/>
      <c r="CX103" s="173"/>
      <c r="CY103" s="173"/>
      <c r="CZ103" s="173"/>
      <c r="DA103" s="222"/>
      <c r="DB103" s="222"/>
      <c r="DC103" s="222"/>
      <c r="DD103" s="222"/>
      <c r="DE103" s="222"/>
      <c r="DF103" s="222"/>
      <c r="DG103" s="222"/>
      <c r="DH103" s="222"/>
      <c r="DI103" s="222"/>
      <c r="DJ103" s="222"/>
      <c r="DK103" s="222"/>
      <c r="DL103" s="222"/>
      <c r="DM103" s="222"/>
      <c r="DN103" s="174"/>
      <c r="DO103" s="174"/>
      <c r="DP103" s="174"/>
      <c r="DQ103" s="174"/>
      <c r="DR103" s="174"/>
      <c r="DS103" s="174"/>
      <c r="DT103" s="174"/>
      <c r="DU103" s="174"/>
      <c r="DV103" s="174"/>
      <c r="DW103" s="174"/>
      <c r="DX103" s="174"/>
      <c r="DY103" s="174"/>
      <c r="DZ103" s="174"/>
      <c r="EA103" s="174"/>
      <c r="EB103" s="174"/>
      <c r="EC103" s="174"/>
      <c r="ED103" s="174"/>
      <c r="EE103" s="174"/>
      <c r="EF103" s="174"/>
      <c r="EG103" s="174"/>
      <c r="EH103" s="174"/>
      <c r="EI103" s="174"/>
      <c r="EJ103" s="174"/>
      <c r="EK103" s="174"/>
      <c r="EL103" s="174"/>
      <c r="EM103" s="174"/>
      <c r="EN103" s="174"/>
      <c r="EO103" s="174"/>
      <c r="EP103" s="174"/>
      <c r="EQ103" s="174"/>
      <c r="ER103" s="174"/>
      <c r="ES103" s="174"/>
      <c r="ET103" s="174"/>
      <c r="EU103" s="174"/>
      <c r="EV103" s="174"/>
      <c r="EW103" s="174"/>
      <c r="EX103" s="174"/>
      <c r="EY103" s="174"/>
      <c r="EZ103" s="174"/>
      <c r="FA103" s="174"/>
      <c r="FB103" s="174"/>
      <c r="FC103" s="174"/>
      <c r="FD103" s="174"/>
      <c r="FE103" s="174"/>
      <c r="FF103" s="174"/>
      <c r="FG103" s="174"/>
      <c r="FH103" s="174"/>
      <c r="FI103" s="174"/>
      <c r="FJ103" s="174"/>
      <c r="FK103" s="174"/>
      <c r="FL103" s="174"/>
      <c r="FM103" s="174"/>
      <c r="FN103" s="174"/>
      <c r="FO103" s="174"/>
      <c r="FP103" s="174"/>
      <c r="FQ103" s="174"/>
      <c r="FR103" s="174"/>
      <c r="FS103" s="174"/>
      <c r="FT103" s="174"/>
      <c r="FU103" s="174"/>
      <c r="FV103" s="174"/>
      <c r="FW103" s="174"/>
      <c r="FX103" s="174"/>
      <c r="FY103" s="174"/>
      <c r="FZ103" s="174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4"/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U103" s="174"/>
      <c r="GV103" s="174"/>
      <c r="GW103" s="174"/>
      <c r="GX103" s="174"/>
      <c r="GY103" s="174"/>
      <c r="GZ103" s="174"/>
      <c r="HA103" s="174"/>
      <c r="HB103" s="174"/>
      <c r="HC103" s="174"/>
      <c r="HD103" s="174"/>
      <c r="HE103" s="174"/>
      <c r="HF103" s="174"/>
      <c r="HG103" s="174"/>
      <c r="HH103" s="174"/>
      <c r="HI103" s="174"/>
      <c r="HJ103" s="174"/>
      <c r="HK103" s="174"/>
      <c r="HL103" s="174"/>
      <c r="HM103" s="174"/>
      <c r="HN103" s="174"/>
      <c r="HO103" s="174"/>
      <c r="HP103" s="174"/>
      <c r="HQ103" s="174"/>
      <c r="HR103" s="174"/>
      <c r="HS103" s="174"/>
      <c r="HT103" s="174"/>
      <c r="HU103" s="174"/>
      <c r="HV103" s="174"/>
      <c r="HW103" s="174"/>
      <c r="HX103" s="174"/>
      <c r="HY103" s="174"/>
      <c r="HZ103" s="174"/>
      <c r="IA103" s="174"/>
      <c r="IB103" s="174"/>
      <c r="IC103" s="174"/>
      <c r="ID103" s="174"/>
      <c r="IE103" s="174"/>
      <c r="IF103" s="174"/>
      <c r="IG103" s="174"/>
      <c r="IH103" s="174"/>
      <c r="II103" s="174"/>
      <c r="IJ103" s="174"/>
      <c r="IK103" s="174"/>
      <c r="IL103" s="174"/>
      <c r="IM103" s="174"/>
      <c r="IN103" s="174"/>
      <c r="IO103" s="174"/>
      <c r="IP103" s="174"/>
      <c r="IQ103" s="174"/>
      <c r="IR103" s="174"/>
      <c r="IS103" s="174"/>
      <c r="IT103" s="174"/>
      <c r="IU103" s="174"/>
      <c r="IV103" s="174"/>
      <c r="IW103" s="174"/>
      <c r="IX103" s="174"/>
      <c r="IY103" s="174"/>
      <c r="IZ103" s="174"/>
      <c r="JA103" s="174"/>
      <c r="JB103" s="174"/>
      <c r="JC103" s="174"/>
      <c r="JD103" s="174"/>
      <c r="JE103" s="174"/>
      <c r="JF103" s="174"/>
      <c r="JG103" s="174"/>
      <c r="JH103" s="174"/>
      <c r="JI103" s="174"/>
      <c r="JJ103" s="174"/>
      <c r="JK103" s="174"/>
      <c r="JL103" s="174"/>
      <c r="JM103" s="174"/>
      <c r="JN103" s="174"/>
      <c r="JO103" s="174"/>
      <c r="JP103" s="174"/>
      <c r="JQ103" s="174"/>
      <c r="JR103" s="174"/>
      <c r="JS103" s="174"/>
      <c r="JT103" s="174"/>
      <c r="JU103" s="174"/>
      <c r="JV103" s="174"/>
    </row>
    <row r="104" spans="1:282" s="146" customFormat="1">
      <c r="A104" s="232"/>
      <c r="B104" s="173"/>
      <c r="C104" s="173"/>
      <c r="D104" s="233"/>
      <c r="E104" s="228"/>
      <c r="F104" s="234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3"/>
      <c r="AT104" s="236"/>
      <c r="AU104" s="236"/>
      <c r="AV104" s="173"/>
      <c r="AW104" s="173"/>
      <c r="AX104" s="173"/>
      <c r="AY104" s="173"/>
      <c r="AZ104" s="173"/>
      <c r="BA104" s="277"/>
      <c r="BB104" s="173"/>
      <c r="BC104" s="173"/>
      <c r="BD104" s="173"/>
      <c r="BE104" s="173"/>
      <c r="BF104" s="173"/>
      <c r="BG104" s="173"/>
      <c r="BH104" s="173"/>
      <c r="BI104" s="173"/>
      <c r="BJ104" s="173"/>
      <c r="BK104" s="173"/>
      <c r="BL104" s="173"/>
      <c r="BM104" s="173"/>
      <c r="BN104" s="173"/>
      <c r="BO104" s="173"/>
      <c r="BP104" s="173"/>
      <c r="BQ104" s="173"/>
      <c r="BR104" s="173"/>
      <c r="BS104" s="173"/>
      <c r="BT104" s="173"/>
      <c r="BU104" s="173"/>
      <c r="BV104" s="173"/>
      <c r="BW104" s="173"/>
      <c r="BX104" s="173"/>
      <c r="BY104" s="173"/>
      <c r="BZ104" s="173"/>
      <c r="CA104" s="173"/>
      <c r="CB104" s="173"/>
      <c r="CC104" s="173"/>
      <c r="CD104" s="173"/>
      <c r="CE104" s="173"/>
      <c r="CF104" s="173"/>
      <c r="CG104" s="173"/>
      <c r="CH104" s="173"/>
      <c r="CI104" s="173"/>
      <c r="CJ104" s="173"/>
      <c r="CK104" s="173"/>
      <c r="CL104" s="173"/>
      <c r="CM104" s="173"/>
      <c r="CN104" s="173"/>
      <c r="CO104" s="173"/>
      <c r="CP104" s="173"/>
      <c r="CQ104" s="173"/>
      <c r="CS104" s="173"/>
      <c r="CT104" s="173"/>
      <c r="CU104" s="173"/>
      <c r="CV104" s="173"/>
      <c r="CW104" s="173"/>
      <c r="CY104" s="173"/>
      <c r="CZ104" s="173"/>
      <c r="DA104" s="222"/>
      <c r="DB104" s="222"/>
      <c r="DC104" s="222"/>
      <c r="DD104" s="222"/>
      <c r="DE104" s="222"/>
      <c r="DF104" s="222"/>
      <c r="DG104" s="222"/>
      <c r="DH104" s="222"/>
      <c r="DI104" s="222"/>
      <c r="DJ104" s="222"/>
      <c r="DK104" s="222"/>
      <c r="DL104" s="222"/>
      <c r="DM104" s="222"/>
      <c r="DN104" s="174"/>
      <c r="DO104" s="174"/>
      <c r="DP104" s="174"/>
      <c r="DQ104" s="174"/>
      <c r="DR104" s="174"/>
      <c r="DS104" s="174"/>
      <c r="DT104" s="174"/>
      <c r="DU104" s="174"/>
      <c r="DV104" s="174"/>
      <c r="DW104" s="174"/>
      <c r="DX104" s="174"/>
      <c r="DY104" s="174"/>
      <c r="DZ104" s="174"/>
      <c r="EA104" s="174"/>
      <c r="EB104" s="174"/>
      <c r="EC104" s="174"/>
      <c r="ED104" s="174"/>
      <c r="EE104" s="174"/>
      <c r="EF104" s="174"/>
      <c r="EG104" s="174"/>
      <c r="EH104" s="174"/>
      <c r="EI104" s="174"/>
      <c r="EJ104" s="174"/>
      <c r="EK104" s="174"/>
      <c r="EL104" s="174"/>
      <c r="EM104" s="174"/>
      <c r="EN104" s="174"/>
      <c r="EO104" s="174"/>
      <c r="EP104" s="174"/>
      <c r="EQ104" s="174"/>
      <c r="ER104" s="174"/>
      <c r="ES104" s="174"/>
      <c r="ET104" s="174"/>
      <c r="EU104" s="174"/>
      <c r="EV104" s="174"/>
      <c r="EW104" s="174"/>
      <c r="EX104" s="174"/>
      <c r="EY104" s="174"/>
      <c r="EZ104" s="174"/>
      <c r="FA104" s="174"/>
      <c r="FB104" s="174"/>
      <c r="FC104" s="174"/>
      <c r="FD104" s="174"/>
      <c r="FE104" s="174"/>
      <c r="FF104" s="174"/>
      <c r="FG104" s="174"/>
      <c r="FH104" s="174"/>
      <c r="FI104" s="174"/>
      <c r="FJ104" s="174"/>
      <c r="FK104" s="174"/>
      <c r="FL104" s="174"/>
      <c r="FM104" s="174"/>
      <c r="FN104" s="174"/>
      <c r="FO104" s="174"/>
      <c r="FP104" s="174"/>
      <c r="FQ104" s="174"/>
      <c r="FR104" s="174"/>
      <c r="FS104" s="174"/>
      <c r="FT104" s="174"/>
      <c r="FU104" s="174"/>
      <c r="FV104" s="174"/>
      <c r="FW104" s="174"/>
      <c r="FX104" s="174"/>
      <c r="FY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4"/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U104" s="174"/>
      <c r="GV104" s="174"/>
      <c r="GW104" s="174"/>
      <c r="GX104" s="174"/>
      <c r="GY104" s="174"/>
      <c r="GZ104" s="174"/>
      <c r="HA104" s="174"/>
      <c r="HB104" s="174"/>
      <c r="HC104" s="174"/>
      <c r="HD104" s="174"/>
      <c r="HE104" s="174"/>
      <c r="HF104" s="174"/>
      <c r="HG104" s="174"/>
      <c r="HH104" s="174"/>
      <c r="HI104" s="174"/>
      <c r="HJ104" s="174"/>
      <c r="HK104" s="174"/>
      <c r="HL104" s="174"/>
      <c r="HM104" s="174"/>
      <c r="HN104" s="174"/>
      <c r="HO104" s="174"/>
      <c r="HP104" s="174"/>
      <c r="HQ104" s="174"/>
      <c r="HR104" s="174"/>
      <c r="HS104" s="174"/>
      <c r="HT104" s="174"/>
      <c r="HU104" s="174"/>
      <c r="HV104" s="174"/>
      <c r="HW104" s="174"/>
      <c r="HX104" s="174"/>
      <c r="HY104" s="174"/>
      <c r="HZ104" s="174"/>
      <c r="IA104" s="174"/>
      <c r="IB104" s="174"/>
      <c r="IC104" s="174"/>
      <c r="ID104" s="174"/>
      <c r="IE104" s="174"/>
      <c r="IF104" s="174"/>
      <c r="IG104" s="174"/>
      <c r="IH104" s="174"/>
      <c r="II104" s="174"/>
      <c r="IJ104" s="174"/>
      <c r="IK104" s="174"/>
      <c r="IL104" s="174"/>
      <c r="IM104" s="174"/>
      <c r="IN104" s="174"/>
      <c r="IO104" s="174"/>
      <c r="IP104" s="174"/>
      <c r="IQ104" s="174"/>
      <c r="IR104" s="174"/>
      <c r="IS104" s="174"/>
      <c r="IT104" s="174"/>
      <c r="IU104" s="174"/>
      <c r="IV104" s="174"/>
      <c r="IW104" s="174"/>
      <c r="IX104" s="174"/>
      <c r="IY104" s="174"/>
      <c r="IZ104" s="174"/>
      <c r="JA104" s="174"/>
      <c r="JB104" s="174"/>
      <c r="JC104" s="174"/>
      <c r="JD104" s="174"/>
      <c r="JE104" s="174"/>
      <c r="JF104" s="174"/>
      <c r="JG104" s="174"/>
      <c r="JH104" s="174"/>
      <c r="JI104" s="174"/>
      <c r="JJ104" s="174"/>
      <c r="JK104" s="174"/>
      <c r="JL104" s="174"/>
      <c r="JM104" s="174"/>
      <c r="JN104" s="174"/>
      <c r="JO104" s="174"/>
      <c r="JP104" s="174"/>
      <c r="JQ104" s="174"/>
      <c r="JR104" s="174"/>
      <c r="JS104" s="174"/>
      <c r="JT104" s="174"/>
      <c r="JU104" s="174"/>
      <c r="JV104" s="174"/>
    </row>
    <row r="105" spans="1:282" s="159" customFormat="1">
      <c r="A105" s="238"/>
      <c r="D105" s="239"/>
      <c r="E105" s="240"/>
      <c r="F105" s="241"/>
      <c r="BA105" s="278"/>
      <c r="CR105" s="151"/>
      <c r="DA105" s="160"/>
      <c r="DB105" s="160"/>
      <c r="DC105" s="160"/>
      <c r="DD105" s="160"/>
      <c r="DE105" s="160"/>
      <c r="DF105" s="160"/>
      <c r="DG105" s="160"/>
      <c r="DH105" s="160"/>
      <c r="DI105" s="160"/>
      <c r="DJ105" s="160"/>
      <c r="DK105" s="160"/>
      <c r="DL105" s="160"/>
      <c r="DM105" s="160"/>
      <c r="DN105" s="160"/>
      <c r="DO105" s="160"/>
      <c r="DP105" s="160"/>
      <c r="DQ105" s="160"/>
      <c r="DR105" s="160"/>
      <c r="DS105" s="160"/>
      <c r="DT105" s="160"/>
      <c r="DU105" s="160"/>
      <c r="DV105" s="160"/>
      <c r="DW105" s="160"/>
      <c r="DX105" s="160"/>
      <c r="DY105" s="160"/>
      <c r="DZ105" s="160"/>
      <c r="EA105" s="160"/>
      <c r="EB105" s="160"/>
      <c r="EC105" s="160"/>
      <c r="ED105" s="160"/>
      <c r="EE105" s="160"/>
      <c r="EF105" s="160"/>
      <c r="EG105" s="160"/>
      <c r="EH105" s="160"/>
      <c r="EI105" s="160"/>
      <c r="EJ105" s="160"/>
      <c r="EK105" s="160"/>
      <c r="EL105" s="160"/>
      <c r="EM105" s="160"/>
      <c r="EN105" s="160"/>
      <c r="EO105" s="160"/>
      <c r="EP105" s="160"/>
      <c r="EQ105" s="160"/>
      <c r="ER105" s="160"/>
      <c r="ES105" s="160"/>
      <c r="ET105" s="160"/>
      <c r="EU105" s="160"/>
      <c r="EV105" s="160"/>
      <c r="EW105" s="160"/>
      <c r="EX105" s="160"/>
      <c r="EY105" s="160"/>
      <c r="EZ105" s="160"/>
      <c r="FA105" s="160"/>
      <c r="FB105" s="160"/>
      <c r="FC105" s="160"/>
      <c r="FD105" s="160"/>
      <c r="FE105" s="160"/>
      <c r="FF105" s="160"/>
      <c r="FG105" s="160"/>
      <c r="FH105" s="160"/>
      <c r="FI105" s="160"/>
      <c r="FJ105" s="160"/>
      <c r="FK105" s="160"/>
      <c r="FL105" s="160"/>
      <c r="FM105" s="160"/>
      <c r="FN105" s="160"/>
      <c r="FO105" s="160"/>
      <c r="FP105" s="160"/>
      <c r="FQ105" s="160"/>
      <c r="FR105" s="160"/>
      <c r="FS105" s="160"/>
      <c r="FT105" s="160"/>
      <c r="FU105" s="160"/>
      <c r="FV105" s="160"/>
      <c r="FW105" s="160"/>
      <c r="FX105" s="160"/>
      <c r="FY105" s="160"/>
      <c r="FZ105" s="160"/>
      <c r="GA105" s="160"/>
      <c r="GB105" s="160"/>
      <c r="GC105" s="160"/>
      <c r="GD105" s="160"/>
      <c r="GE105" s="160"/>
      <c r="GF105" s="160"/>
      <c r="GG105" s="160"/>
      <c r="GH105" s="160"/>
      <c r="GI105" s="160"/>
      <c r="GJ105" s="160"/>
      <c r="GK105" s="160"/>
      <c r="GL105" s="160"/>
      <c r="GM105" s="160"/>
      <c r="GN105" s="160"/>
      <c r="GO105" s="160"/>
      <c r="GP105" s="160"/>
      <c r="GQ105" s="160"/>
      <c r="GR105" s="160"/>
      <c r="GS105" s="160"/>
      <c r="GT105" s="160"/>
      <c r="GU105" s="160"/>
      <c r="GV105" s="160"/>
      <c r="GW105" s="160"/>
      <c r="GX105" s="160"/>
      <c r="GY105" s="160"/>
      <c r="GZ105" s="160"/>
      <c r="HA105" s="160"/>
      <c r="HB105" s="160"/>
      <c r="HC105" s="160"/>
      <c r="HD105" s="160"/>
      <c r="HE105" s="160"/>
      <c r="HF105" s="160"/>
      <c r="HG105" s="160"/>
      <c r="HH105" s="160"/>
      <c r="HI105" s="160"/>
      <c r="HJ105" s="160"/>
      <c r="HK105" s="160"/>
      <c r="HL105" s="160"/>
      <c r="HM105" s="160"/>
      <c r="HN105" s="160"/>
      <c r="HO105" s="160"/>
      <c r="HP105" s="160"/>
      <c r="HQ105" s="160"/>
      <c r="HR105" s="160"/>
      <c r="HS105" s="160"/>
      <c r="HT105" s="160"/>
      <c r="HU105" s="160"/>
      <c r="HV105" s="160"/>
      <c r="HW105" s="160"/>
      <c r="HX105" s="160"/>
      <c r="HY105" s="160"/>
      <c r="HZ105" s="160"/>
      <c r="IA105" s="160"/>
      <c r="IB105" s="160"/>
      <c r="IC105" s="160"/>
      <c r="ID105" s="160"/>
      <c r="IE105" s="160"/>
      <c r="IF105" s="160"/>
      <c r="IG105" s="160"/>
      <c r="IH105" s="160"/>
      <c r="II105" s="160"/>
      <c r="IJ105" s="160"/>
      <c r="IK105" s="160"/>
      <c r="IL105" s="160"/>
      <c r="IM105" s="160"/>
      <c r="IN105" s="160"/>
      <c r="IO105" s="160"/>
      <c r="IP105" s="160"/>
      <c r="IQ105" s="160"/>
      <c r="IR105" s="160"/>
      <c r="IS105" s="160"/>
      <c r="IT105" s="160"/>
      <c r="IU105" s="160"/>
      <c r="IV105" s="160"/>
      <c r="IW105" s="160"/>
      <c r="IX105" s="160"/>
      <c r="IY105" s="160"/>
      <c r="IZ105" s="160"/>
      <c r="JA105" s="160"/>
      <c r="JB105" s="160"/>
      <c r="JC105" s="160"/>
      <c r="JD105" s="160"/>
      <c r="JE105" s="160"/>
      <c r="JF105" s="160"/>
      <c r="JG105" s="160"/>
      <c r="JH105" s="160"/>
      <c r="JI105" s="160"/>
      <c r="JJ105" s="160"/>
      <c r="JK105" s="160"/>
      <c r="JL105" s="160"/>
      <c r="JM105" s="160"/>
      <c r="JN105" s="160"/>
      <c r="JO105" s="160"/>
      <c r="JP105" s="160"/>
      <c r="JQ105" s="160"/>
      <c r="JR105" s="160"/>
      <c r="JS105" s="160"/>
      <c r="JT105" s="160"/>
      <c r="JU105" s="160"/>
      <c r="JV105" s="160"/>
    </row>
    <row r="106" spans="1:282" s="159" customFormat="1">
      <c r="A106" s="238"/>
      <c r="D106" s="239"/>
      <c r="E106" s="240"/>
      <c r="F106" s="241"/>
      <c r="BA106" s="278"/>
      <c r="CR106" s="242"/>
      <c r="DA106" s="252"/>
      <c r="DB106" s="252"/>
      <c r="DC106" s="252"/>
      <c r="DD106" s="252"/>
      <c r="DE106" s="252"/>
      <c r="DF106" s="252"/>
      <c r="DG106" s="252"/>
      <c r="DH106" s="252"/>
      <c r="DI106" s="252"/>
      <c r="DJ106" s="252"/>
      <c r="DK106" s="160"/>
      <c r="DL106" s="160"/>
      <c r="DM106" s="160"/>
      <c r="DN106" s="160"/>
      <c r="DO106" s="160"/>
      <c r="DP106" s="160"/>
      <c r="DQ106" s="160"/>
      <c r="DR106" s="160"/>
      <c r="DS106" s="160"/>
      <c r="DT106" s="160"/>
      <c r="DU106" s="160"/>
      <c r="DV106" s="160"/>
      <c r="DW106" s="160"/>
      <c r="DX106" s="160"/>
      <c r="DY106" s="160"/>
      <c r="DZ106" s="160"/>
      <c r="EA106" s="160"/>
      <c r="EB106" s="160"/>
      <c r="EC106" s="160"/>
      <c r="ED106" s="160"/>
      <c r="EE106" s="160"/>
      <c r="EF106" s="160"/>
      <c r="EG106" s="160"/>
      <c r="EH106" s="160"/>
      <c r="EI106" s="160"/>
      <c r="EJ106" s="160"/>
      <c r="EK106" s="160"/>
      <c r="EL106" s="160"/>
      <c r="EM106" s="160"/>
      <c r="EN106" s="160"/>
      <c r="EO106" s="160"/>
      <c r="EP106" s="160"/>
      <c r="EQ106" s="160"/>
      <c r="ER106" s="160"/>
      <c r="ES106" s="160"/>
      <c r="ET106" s="160"/>
      <c r="EU106" s="160"/>
      <c r="EV106" s="160"/>
      <c r="EW106" s="160"/>
      <c r="EX106" s="160"/>
      <c r="EY106" s="160"/>
      <c r="EZ106" s="160"/>
      <c r="FA106" s="160"/>
      <c r="FB106" s="160"/>
      <c r="FC106" s="160"/>
      <c r="FD106" s="160"/>
      <c r="FE106" s="160"/>
      <c r="FF106" s="160"/>
      <c r="FG106" s="160"/>
      <c r="FH106" s="160"/>
      <c r="FI106" s="160"/>
      <c r="FJ106" s="160"/>
      <c r="FK106" s="160"/>
      <c r="FL106" s="160"/>
      <c r="FM106" s="160"/>
      <c r="FN106" s="160"/>
      <c r="FO106" s="160"/>
      <c r="FP106" s="160"/>
      <c r="FQ106" s="160"/>
      <c r="FR106" s="160"/>
      <c r="FS106" s="160"/>
      <c r="FT106" s="160"/>
      <c r="FU106" s="160"/>
      <c r="FV106" s="160"/>
      <c r="FW106" s="160"/>
      <c r="FX106" s="160"/>
      <c r="FY106" s="160"/>
      <c r="FZ106" s="160"/>
      <c r="GA106" s="160"/>
      <c r="GB106" s="160"/>
      <c r="GC106" s="160"/>
      <c r="GD106" s="160"/>
      <c r="GE106" s="160"/>
      <c r="GF106" s="160"/>
      <c r="GG106" s="160"/>
      <c r="GH106" s="160"/>
      <c r="GI106" s="160"/>
      <c r="GJ106" s="160"/>
      <c r="GK106" s="160"/>
      <c r="GL106" s="160"/>
      <c r="GM106" s="160"/>
      <c r="GN106" s="160"/>
      <c r="GO106" s="160"/>
      <c r="GP106" s="160"/>
      <c r="GQ106" s="160"/>
      <c r="GR106" s="160"/>
      <c r="GS106" s="160"/>
      <c r="GT106" s="160"/>
      <c r="GU106" s="160"/>
      <c r="GV106" s="160"/>
      <c r="GW106" s="160"/>
      <c r="GX106" s="160"/>
      <c r="GY106" s="160"/>
      <c r="GZ106" s="160"/>
      <c r="HA106" s="160"/>
      <c r="HB106" s="160"/>
      <c r="HC106" s="160"/>
      <c r="HD106" s="160"/>
      <c r="HE106" s="160"/>
      <c r="HF106" s="160"/>
      <c r="HG106" s="160"/>
      <c r="HH106" s="160"/>
      <c r="HI106" s="160"/>
      <c r="HJ106" s="160"/>
      <c r="HK106" s="160"/>
      <c r="HL106" s="160"/>
      <c r="HM106" s="160"/>
      <c r="HN106" s="160"/>
      <c r="HO106" s="160"/>
      <c r="HP106" s="160"/>
      <c r="HQ106" s="160"/>
      <c r="HR106" s="160"/>
      <c r="HS106" s="160"/>
      <c r="HT106" s="160"/>
      <c r="HU106" s="160"/>
      <c r="HV106" s="160"/>
      <c r="HW106" s="160"/>
      <c r="HX106" s="160"/>
      <c r="HY106" s="160"/>
      <c r="HZ106" s="160"/>
      <c r="IA106" s="160"/>
      <c r="IB106" s="160"/>
      <c r="IC106" s="160"/>
      <c r="ID106" s="160"/>
      <c r="IE106" s="160"/>
      <c r="IF106" s="160"/>
      <c r="IG106" s="160"/>
      <c r="IH106" s="160"/>
      <c r="II106" s="160"/>
      <c r="IJ106" s="160"/>
      <c r="IK106" s="160"/>
      <c r="IL106" s="160"/>
      <c r="IM106" s="160"/>
      <c r="IN106" s="160"/>
      <c r="IO106" s="160"/>
      <c r="IP106" s="160"/>
      <c r="IQ106" s="160"/>
      <c r="IR106" s="160"/>
      <c r="IS106" s="160"/>
      <c r="IT106" s="160"/>
      <c r="IU106" s="160"/>
      <c r="IV106" s="160"/>
      <c r="IW106" s="160"/>
      <c r="IX106" s="160"/>
      <c r="IY106" s="160"/>
      <c r="IZ106" s="160"/>
      <c r="JA106" s="160"/>
      <c r="JB106" s="160"/>
      <c r="JC106" s="160"/>
      <c r="JD106" s="160"/>
      <c r="JE106" s="160"/>
      <c r="JF106" s="160"/>
      <c r="JG106" s="160"/>
      <c r="JH106" s="160"/>
      <c r="JI106" s="160"/>
      <c r="JJ106" s="160"/>
      <c r="JK106" s="160"/>
      <c r="JL106" s="160"/>
      <c r="JM106" s="160"/>
      <c r="JN106" s="160"/>
      <c r="JO106" s="160"/>
      <c r="JP106" s="160"/>
      <c r="JQ106" s="160"/>
      <c r="JR106" s="160"/>
      <c r="JS106" s="160"/>
      <c r="JT106" s="160"/>
      <c r="JU106" s="160"/>
      <c r="JV106" s="160"/>
    </row>
    <row r="107" spans="1:282" s="146" customFormat="1">
      <c r="A107" s="232"/>
      <c r="B107" s="173"/>
      <c r="C107" s="173"/>
      <c r="D107" s="233"/>
      <c r="E107" s="228"/>
      <c r="F107" s="234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73"/>
      <c r="BA107" s="277"/>
      <c r="BB107" s="173"/>
      <c r="BC107" s="173"/>
      <c r="BD107" s="173"/>
      <c r="BE107" s="173"/>
      <c r="BF107" s="173"/>
      <c r="BG107" s="173"/>
      <c r="BH107" s="173"/>
      <c r="BI107" s="173"/>
      <c r="BJ107" s="173"/>
      <c r="BK107" s="173"/>
      <c r="BL107" s="173"/>
      <c r="BM107" s="173"/>
      <c r="BN107" s="173"/>
      <c r="BO107" s="173"/>
      <c r="BP107" s="173"/>
      <c r="BQ107" s="173"/>
      <c r="BR107" s="173"/>
      <c r="BS107" s="173"/>
      <c r="BT107" s="173"/>
      <c r="BU107" s="173"/>
      <c r="BV107" s="173"/>
      <c r="BW107" s="173"/>
      <c r="BX107" s="173"/>
      <c r="BY107" s="173"/>
      <c r="BZ107" s="173"/>
      <c r="CA107" s="173"/>
      <c r="CB107" s="173"/>
      <c r="CC107" s="173"/>
      <c r="CD107" s="173"/>
      <c r="CE107" s="173"/>
      <c r="CF107" s="173"/>
      <c r="CG107" s="173"/>
      <c r="CH107" s="173"/>
      <c r="CI107" s="173"/>
      <c r="CJ107" s="173"/>
      <c r="CK107" s="173"/>
      <c r="CL107" s="173"/>
      <c r="CM107" s="173"/>
      <c r="CN107" s="173"/>
      <c r="CO107" s="173"/>
      <c r="CP107" s="173"/>
      <c r="CQ107" s="173"/>
      <c r="CR107" s="151"/>
      <c r="CS107" s="173"/>
      <c r="CT107" s="173"/>
      <c r="CU107" s="173"/>
      <c r="CV107" s="173"/>
      <c r="CW107" s="173"/>
      <c r="CX107" s="173"/>
      <c r="CY107" s="173"/>
      <c r="CZ107" s="173"/>
      <c r="DA107" s="222"/>
      <c r="DB107" s="222"/>
      <c r="DC107" s="222"/>
      <c r="DD107" s="222"/>
      <c r="DE107" s="222"/>
      <c r="DF107" s="222"/>
      <c r="DG107" s="222"/>
      <c r="DH107" s="222"/>
      <c r="DI107" s="222"/>
      <c r="DJ107" s="222"/>
      <c r="DK107" s="222"/>
      <c r="DL107" s="222"/>
      <c r="DM107" s="222"/>
      <c r="DN107" s="174"/>
      <c r="DO107" s="174"/>
      <c r="DP107" s="174"/>
      <c r="DQ107" s="174"/>
      <c r="DR107" s="174"/>
      <c r="DS107" s="174"/>
      <c r="DT107" s="174"/>
      <c r="DU107" s="174"/>
      <c r="DV107" s="174"/>
      <c r="DW107" s="174"/>
      <c r="DX107" s="174"/>
      <c r="DY107" s="174"/>
      <c r="DZ107" s="174"/>
      <c r="EA107" s="174"/>
      <c r="EB107" s="174"/>
      <c r="EC107" s="174"/>
      <c r="ED107" s="174"/>
      <c r="EE107" s="174"/>
      <c r="EF107" s="174"/>
      <c r="EG107" s="174"/>
      <c r="EH107" s="174"/>
      <c r="EI107" s="174"/>
      <c r="EJ107" s="174"/>
      <c r="EK107" s="174"/>
      <c r="EL107" s="174"/>
      <c r="EM107" s="174"/>
      <c r="EN107" s="174"/>
      <c r="EO107" s="174"/>
      <c r="EP107" s="174"/>
      <c r="EQ107" s="174"/>
      <c r="ER107" s="174"/>
      <c r="ES107" s="174"/>
      <c r="ET107" s="174"/>
      <c r="EU107" s="174"/>
      <c r="EV107" s="174"/>
      <c r="EW107" s="174"/>
      <c r="EX107" s="174"/>
      <c r="EY107" s="174"/>
      <c r="EZ107" s="174"/>
      <c r="FA107" s="174"/>
      <c r="FB107" s="174"/>
      <c r="FC107" s="174"/>
      <c r="FD107" s="174"/>
      <c r="FE107" s="174"/>
      <c r="FF107" s="174"/>
      <c r="FG107" s="174"/>
      <c r="FH107" s="174"/>
      <c r="FI107" s="174"/>
      <c r="FJ107" s="174"/>
      <c r="FK107" s="174"/>
      <c r="FL107" s="174"/>
      <c r="FM107" s="174"/>
      <c r="FN107" s="174"/>
      <c r="FO107" s="174"/>
      <c r="FP107" s="174"/>
      <c r="FQ107" s="174"/>
      <c r="FR107" s="174"/>
      <c r="FS107" s="174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4"/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4"/>
      <c r="GV107" s="174"/>
      <c r="GW107" s="174"/>
      <c r="GX107" s="174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  <c r="HO107" s="174"/>
      <c r="HP107" s="174"/>
      <c r="HQ107" s="174"/>
      <c r="HR107" s="174"/>
      <c r="HS107" s="174"/>
      <c r="HT107" s="174"/>
      <c r="HU107" s="174"/>
      <c r="HV107" s="174"/>
      <c r="HW107" s="174"/>
      <c r="HX107" s="174"/>
      <c r="HY107" s="174"/>
      <c r="HZ107" s="174"/>
      <c r="IA107" s="174"/>
      <c r="IB107" s="174"/>
      <c r="IC107" s="174"/>
      <c r="ID107" s="174"/>
      <c r="IE107" s="174"/>
      <c r="IF107" s="174"/>
      <c r="IG107" s="174"/>
      <c r="IH107" s="174"/>
      <c r="II107" s="174"/>
      <c r="IJ107" s="174"/>
      <c r="IK107" s="174"/>
      <c r="IL107" s="174"/>
      <c r="IM107" s="174"/>
      <c r="IN107" s="174"/>
      <c r="IO107" s="174"/>
      <c r="IP107" s="174"/>
      <c r="IQ107" s="174"/>
      <c r="IR107" s="174"/>
      <c r="IS107" s="174"/>
      <c r="IT107" s="174"/>
      <c r="IU107" s="174"/>
      <c r="IV107" s="174"/>
      <c r="IW107" s="174"/>
      <c r="IX107" s="174"/>
      <c r="IY107" s="174"/>
      <c r="IZ107" s="174"/>
      <c r="JA107" s="174"/>
      <c r="JB107" s="174"/>
      <c r="JC107" s="174"/>
      <c r="JD107" s="174"/>
      <c r="JE107" s="174"/>
      <c r="JF107" s="174"/>
      <c r="JG107" s="174"/>
      <c r="JH107" s="174"/>
      <c r="JI107" s="174"/>
      <c r="JJ107" s="174"/>
      <c r="JK107" s="174"/>
      <c r="JL107" s="174"/>
      <c r="JM107" s="174"/>
      <c r="JN107" s="174"/>
      <c r="JO107" s="174"/>
      <c r="JP107" s="174"/>
      <c r="JQ107" s="174"/>
      <c r="JR107" s="174"/>
      <c r="JS107" s="174"/>
      <c r="JT107" s="174"/>
      <c r="JU107" s="174"/>
      <c r="JV107" s="174"/>
    </row>
    <row r="108" spans="1:282" s="146" customFormat="1" ht="18" customHeight="1">
      <c r="A108" s="232"/>
      <c r="B108" s="173"/>
      <c r="C108" s="173"/>
      <c r="D108" s="233"/>
      <c r="E108" s="228"/>
      <c r="F108" s="234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73"/>
      <c r="BA108" s="277"/>
      <c r="BB108" s="173"/>
      <c r="BC108" s="173"/>
      <c r="BD108" s="173"/>
      <c r="BE108" s="173"/>
      <c r="BF108" s="173"/>
      <c r="BG108" s="173"/>
      <c r="BH108" s="173"/>
      <c r="BI108" s="173"/>
      <c r="BJ108" s="173"/>
      <c r="BK108" s="173"/>
      <c r="BL108" s="173"/>
      <c r="BM108" s="173"/>
      <c r="BN108" s="173"/>
      <c r="BO108" s="173"/>
      <c r="BP108" s="173"/>
      <c r="BQ108" s="173"/>
      <c r="BR108" s="173"/>
      <c r="BS108" s="173"/>
      <c r="BT108" s="173"/>
      <c r="BU108" s="173"/>
      <c r="BV108" s="173"/>
      <c r="BW108" s="173"/>
      <c r="BX108" s="173"/>
      <c r="BY108" s="173"/>
      <c r="BZ108" s="173"/>
      <c r="CA108" s="173"/>
      <c r="CB108" s="173"/>
      <c r="CC108" s="173"/>
      <c r="CD108" s="173"/>
      <c r="CE108" s="173"/>
      <c r="CF108" s="173"/>
      <c r="CG108" s="173"/>
      <c r="CH108" s="173"/>
      <c r="CI108" s="173"/>
      <c r="CJ108" s="173"/>
      <c r="CK108" s="173"/>
      <c r="CL108" s="173"/>
      <c r="CM108" s="173"/>
      <c r="CN108" s="173"/>
      <c r="CO108" s="173"/>
      <c r="CP108" s="173"/>
      <c r="CQ108" s="173"/>
      <c r="CR108" s="151"/>
      <c r="CS108" s="173"/>
      <c r="CT108" s="173"/>
      <c r="CU108" s="173"/>
      <c r="CV108" s="173"/>
      <c r="CW108" s="173"/>
      <c r="CX108" s="173"/>
      <c r="CY108" s="173"/>
      <c r="CZ108" s="173"/>
      <c r="DA108" s="222"/>
      <c r="DB108" s="222"/>
      <c r="DC108" s="222"/>
      <c r="DD108" s="222"/>
      <c r="DE108" s="222"/>
      <c r="DF108" s="222"/>
      <c r="DG108" s="222"/>
      <c r="DH108" s="222"/>
      <c r="DI108" s="222"/>
      <c r="DJ108" s="222"/>
      <c r="DK108" s="222"/>
      <c r="DL108" s="222"/>
      <c r="DM108" s="222"/>
      <c r="DN108" s="174"/>
      <c r="DO108" s="174"/>
      <c r="DP108" s="174"/>
      <c r="DQ108" s="174"/>
      <c r="DR108" s="174"/>
      <c r="DS108" s="174"/>
      <c r="DT108" s="174"/>
      <c r="DU108" s="174"/>
      <c r="DV108" s="174"/>
      <c r="DW108" s="174"/>
      <c r="DX108" s="174"/>
      <c r="DY108" s="174"/>
      <c r="DZ108" s="174"/>
      <c r="EA108" s="174"/>
      <c r="EB108" s="174"/>
      <c r="EC108" s="174"/>
      <c r="ED108" s="174"/>
      <c r="EE108" s="174"/>
      <c r="EF108" s="174"/>
      <c r="EG108" s="174"/>
      <c r="EH108" s="174"/>
      <c r="EI108" s="174"/>
      <c r="EJ108" s="174"/>
      <c r="EK108" s="174"/>
      <c r="EL108" s="174"/>
      <c r="EM108" s="174"/>
      <c r="EN108" s="174"/>
      <c r="EO108" s="174"/>
      <c r="EP108" s="174"/>
      <c r="EQ108" s="174"/>
      <c r="ER108" s="174"/>
      <c r="ES108" s="174"/>
      <c r="ET108" s="174"/>
      <c r="EU108" s="174"/>
      <c r="EV108" s="174"/>
      <c r="EW108" s="174"/>
      <c r="EX108" s="174"/>
      <c r="EY108" s="174"/>
      <c r="EZ108" s="174"/>
      <c r="FA108" s="174"/>
      <c r="FB108" s="174"/>
      <c r="FC108" s="174"/>
      <c r="FD108" s="174"/>
      <c r="FE108" s="174"/>
      <c r="FF108" s="174"/>
      <c r="FG108" s="174"/>
      <c r="FH108" s="174"/>
      <c r="FI108" s="174"/>
      <c r="FJ108" s="174"/>
      <c r="FK108" s="174"/>
      <c r="FL108" s="174"/>
      <c r="FM108" s="174"/>
      <c r="FN108" s="174"/>
      <c r="FO108" s="174"/>
      <c r="FP108" s="174"/>
      <c r="FQ108" s="174"/>
      <c r="FR108" s="174"/>
      <c r="FS108" s="174"/>
      <c r="FT108" s="174"/>
      <c r="FU108" s="174"/>
      <c r="FV108" s="174"/>
      <c r="FW108" s="174"/>
      <c r="FX108" s="174"/>
      <c r="FY108" s="174"/>
      <c r="FZ108" s="174"/>
      <c r="GA108" s="174"/>
      <c r="GB108" s="174"/>
      <c r="GC108" s="174"/>
      <c r="GD108" s="174"/>
      <c r="GE108" s="174"/>
      <c r="GF108" s="174"/>
      <c r="GG108" s="174"/>
      <c r="GH108" s="174"/>
      <c r="GI108" s="174"/>
      <c r="GJ108" s="174"/>
      <c r="GK108" s="174"/>
      <c r="GL108" s="174"/>
      <c r="GM108" s="174"/>
      <c r="GN108" s="174"/>
      <c r="GO108" s="174"/>
      <c r="GP108" s="174"/>
      <c r="GQ108" s="174"/>
      <c r="GR108" s="174"/>
      <c r="GS108" s="174"/>
      <c r="GT108" s="174"/>
      <c r="GU108" s="174"/>
      <c r="GV108" s="174"/>
      <c r="GW108" s="174"/>
      <c r="GX108" s="174"/>
      <c r="GY108" s="174"/>
      <c r="GZ108" s="174"/>
      <c r="HA108" s="174"/>
      <c r="HB108" s="174"/>
      <c r="HC108" s="174"/>
      <c r="HD108" s="174"/>
      <c r="HE108" s="174"/>
      <c r="HF108" s="174"/>
      <c r="HG108" s="174"/>
      <c r="HH108" s="174"/>
      <c r="HI108" s="174"/>
      <c r="HJ108" s="174"/>
      <c r="HK108" s="174"/>
      <c r="HL108" s="174"/>
      <c r="HM108" s="174"/>
      <c r="HN108" s="174"/>
      <c r="HO108" s="174"/>
      <c r="HP108" s="174"/>
      <c r="HQ108" s="174"/>
      <c r="HR108" s="174"/>
      <c r="HS108" s="174"/>
      <c r="HT108" s="174"/>
      <c r="HU108" s="174"/>
      <c r="HV108" s="174"/>
      <c r="HW108" s="174"/>
      <c r="HX108" s="174"/>
      <c r="HY108" s="174"/>
      <c r="HZ108" s="174"/>
      <c r="IA108" s="174"/>
      <c r="IB108" s="174"/>
      <c r="IC108" s="174"/>
      <c r="ID108" s="174"/>
      <c r="IE108" s="174"/>
      <c r="IF108" s="174"/>
      <c r="IG108" s="174"/>
      <c r="IH108" s="174"/>
      <c r="II108" s="174"/>
      <c r="IJ108" s="174"/>
      <c r="IK108" s="174"/>
      <c r="IL108" s="174"/>
      <c r="IM108" s="174"/>
      <c r="IN108" s="174"/>
      <c r="IO108" s="174"/>
      <c r="IP108" s="174"/>
      <c r="IQ108" s="174"/>
      <c r="IR108" s="174"/>
      <c r="IS108" s="174"/>
      <c r="IT108" s="174"/>
      <c r="IU108" s="174"/>
      <c r="IV108" s="174"/>
      <c r="IW108" s="174"/>
      <c r="IX108" s="174"/>
      <c r="IY108" s="174"/>
      <c r="IZ108" s="174"/>
      <c r="JA108" s="174"/>
      <c r="JB108" s="174"/>
      <c r="JC108" s="174"/>
      <c r="JD108" s="174"/>
      <c r="JE108" s="174"/>
      <c r="JF108" s="174"/>
      <c r="JG108" s="174"/>
      <c r="JH108" s="174"/>
      <c r="JI108" s="174"/>
      <c r="JJ108" s="174"/>
      <c r="JK108" s="174"/>
      <c r="JL108" s="174"/>
      <c r="JM108" s="174"/>
      <c r="JN108" s="174"/>
      <c r="JO108" s="174"/>
      <c r="JP108" s="174"/>
      <c r="JQ108" s="174"/>
      <c r="JR108" s="174"/>
      <c r="JS108" s="174"/>
      <c r="JT108" s="174"/>
      <c r="JU108" s="174"/>
      <c r="JV108" s="174"/>
    </row>
    <row r="109" spans="1:282" s="146" customFormat="1">
      <c r="A109" s="232"/>
      <c r="B109" s="173"/>
      <c r="C109" s="173"/>
      <c r="D109" s="233"/>
      <c r="E109" s="228"/>
      <c r="F109" s="234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3"/>
      <c r="AT109" s="173"/>
      <c r="AU109" s="228"/>
      <c r="AV109" s="173"/>
      <c r="AW109" s="173"/>
      <c r="AX109" s="173"/>
      <c r="AY109" s="173"/>
      <c r="AZ109" s="173"/>
      <c r="BA109" s="277"/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173"/>
      <c r="BN109" s="173"/>
      <c r="BO109" s="173"/>
      <c r="BP109" s="173"/>
      <c r="BQ109" s="173"/>
      <c r="BR109" s="173"/>
      <c r="BS109" s="173"/>
      <c r="BT109" s="173"/>
      <c r="BU109" s="173"/>
      <c r="BV109" s="173"/>
      <c r="BW109" s="173"/>
      <c r="BX109" s="173"/>
      <c r="BY109" s="173"/>
      <c r="BZ109" s="173"/>
      <c r="CA109" s="173"/>
      <c r="CB109" s="173"/>
      <c r="CC109" s="173"/>
      <c r="CD109" s="173"/>
      <c r="CE109" s="173"/>
      <c r="CF109" s="173"/>
      <c r="CG109" s="173"/>
      <c r="CH109" s="173"/>
      <c r="CI109" s="173"/>
      <c r="CJ109" s="173"/>
      <c r="CK109" s="173"/>
      <c r="CL109" s="173"/>
      <c r="CM109" s="173"/>
      <c r="CN109" s="173"/>
      <c r="CO109" s="173"/>
      <c r="CP109" s="173"/>
      <c r="CQ109" s="173"/>
      <c r="CR109" s="151"/>
      <c r="CS109" s="173"/>
      <c r="CT109" s="173"/>
      <c r="CU109" s="173"/>
      <c r="CV109" s="173"/>
      <c r="CW109" s="173"/>
      <c r="CX109" s="173"/>
      <c r="CY109" s="173"/>
      <c r="CZ109" s="173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222"/>
      <c r="DL109" s="222"/>
      <c r="DM109" s="222"/>
      <c r="DN109" s="174"/>
      <c r="DO109" s="174"/>
      <c r="DP109" s="174"/>
      <c r="DQ109" s="174"/>
      <c r="DR109" s="174"/>
      <c r="DS109" s="174"/>
      <c r="DT109" s="174"/>
      <c r="DU109" s="174"/>
      <c r="DV109" s="174"/>
      <c r="DW109" s="174"/>
      <c r="DX109" s="174"/>
      <c r="DY109" s="174"/>
      <c r="DZ109" s="174"/>
      <c r="EA109" s="174"/>
      <c r="EB109" s="174"/>
      <c r="EC109" s="174"/>
      <c r="ED109" s="174"/>
      <c r="EE109" s="174"/>
      <c r="EF109" s="174"/>
      <c r="EG109" s="174"/>
      <c r="EH109" s="174"/>
      <c r="EI109" s="174"/>
      <c r="EJ109" s="174"/>
      <c r="EK109" s="174"/>
      <c r="EL109" s="174"/>
      <c r="EM109" s="174"/>
      <c r="EN109" s="174"/>
      <c r="EO109" s="174"/>
      <c r="EP109" s="174"/>
      <c r="EQ109" s="174"/>
      <c r="ER109" s="174"/>
      <c r="ES109" s="174"/>
      <c r="ET109" s="174"/>
      <c r="EU109" s="174"/>
      <c r="EV109" s="174"/>
      <c r="EW109" s="174"/>
      <c r="EX109" s="174"/>
      <c r="EY109" s="174"/>
      <c r="EZ109" s="174"/>
      <c r="FA109" s="174"/>
      <c r="FB109" s="174"/>
      <c r="FC109" s="174"/>
      <c r="FD109" s="174"/>
      <c r="FE109" s="174"/>
      <c r="FF109" s="174"/>
      <c r="FG109" s="174"/>
      <c r="FH109" s="174"/>
      <c r="FI109" s="174"/>
      <c r="FJ109" s="174"/>
      <c r="FK109" s="174"/>
      <c r="FL109" s="174"/>
      <c r="FM109" s="174"/>
      <c r="FN109" s="174"/>
      <c r="FO109" s="174"/>
      <c r="FP109" s="174"/>
      <c r="FQ109" s="174"/>
      <c r="FR109" s="174"/>
      <c r="FS109" s="174"/>
      <c r="FT109" s="174"/>
      <c r="FU109" s="174"/>
      <c r="FV109" s="174"/>
      <c r="FW109" s="174"/>
      <c r="FX109" s="174"/>
      <c r="FY109" s="174"/>
      <c r="FZ109" s="174"/>
      <c r="GA109" s="174"/>
      <c r="GB109" s="174"/>
      <c r="GC109" s="174"/>
      <c r="GD109" s="174"/>
      <c r="GE109" s="174"/>
      <c r="GF109" s="174"/>
      <c r="GG109" s="174"/>
      <c r="GH109" s="174"/>
      <c r="GI109" s="174"/>
      <c r="GJ109" s="174"/>
      <c r="GK109" s="174"/>
      <c r="GL109" s="174"/>
      <c r="GM109" s="174"/>
      <c r="GN109" s="174"/>
      <c r="GO109" s="174"/>
      <c r="GP109" s="174"/>
      <c r="GQ109" s="174"/>
      <c r="GR109" s="174"/>
      <c r="GS109" s="174"/>
      <c r="GT109" s="174"/>
      <c r="GU109" s="174"/>
      <c r="GV109" s="174"/>
      <c r="GW109" s="174"/>
      <c r="GX109" s="174"/>
      <c r="GY109" s="174"/>
      <c r="GZ109" s="174"/>
      <c r="HA109" s="174"/>
      <c r="HB109" s="174"/>
      <c r="HC109" s="174"/>
      <c r="HD109" s="174"/>
      <c r="HE109" s="174"/>
      <c r="HF109" s="174"/>
      <c r="HG109" s="174"/>
      <c r="HH109" s="174"/>
      <c r="HI109" s="174"/>
      <c r="HJ109" s="174"/>
      <c r="HK109" s="174"/>
      <c r="HL109" s="174"/>
      <c r="HM109" s="174"/>
      <c r="HN109" s="174"/>
      <c r="HO109" s="174"/>
      <c r="HP109" s="174"/>
      <c r="HQ109" s="174"/>
      <c r="HR109" s="174"/>
      <c r="HS109" s="174"/>
      <c r="HT109" s="174"/>
      <c r="HU109" s="174"/>
      <c r="HV109" s="174"/>
      <c r="HW109" s="174"/>
      <c r="HX109" s="174"/>
      <c r="HY109" s="174"/>
      <c r="HZ109" s="174"/>
      <c r="IA109" s="174"/>
      <c r="IB109" s="174"/>
      <c r="IC109" s="174"/>
      <c r="ID109" s="174"/>
      <c r="IE109" s="174"/>
      <c r="IF109" s="174"/>
      <c r="IG109" s="174"/>
      <c r="IH109" s="174"/>
      <c r="II109" s="174"/>
      <c r="IJ109" s="174"/>
      <c r="IK109" s="174"/>
      <c r="IL109" s="174"/>
      <c r="IM109" s="174"/>
      <c r="IN109" s="174"/>
      <c r="IO109" s="174"/>
      <c r="IP109" s="174"/>
      <c r="IQ109" s="174"/>
      <c r="IR109" s="174"/>
      <c r="IS109" s="174"/>
      <c r="IT109" s="174"/>
      <c r="IU109" s="174"/>
      <c r="IV109" s="174"/>
      <c r="IW109" s="174"/>
      <c r="IX109" s="174"/>
      <c r="IY109" s="174"/>
      <c r="IZ109" s="174"/>
      <c r="JA109" s="174"/>
      <c r="JB109" s="174"/>
      <c r="JC109" s="174"/>
      <c r="JD109" s="174"/>
      <c r="JE109" s="174"/>
      <c r="JF109" s="174"/>
      <c r="JG109" s="174"/>
      <c r="JH109" s="174"/>
      <c r="JI109" s="174"/>
      <c r="JJ109" s="174"/>
      <c r="JK109" s="174"/>
      <c r="JL109" s="174"/>
      <c r="JM109" s="174"/>
      <c r="JN109" s="174"/>
      <c r="JO109" s="174"/>
      <c r="JP109" s="174"/>
      <c r="JQ109" s="174"/>
      <c r="JR109" s="174"/>
      <c r="JS109" s="174"/>
      <c r="JT109" s="174"/>
      <c r="JU109" s="174"/>
      <c r="JV109" s="174"/>
    </row>
    <row r="110" spans="1:282" s="146" customFormat="1">
      <c r="A110" s="232"/>
      <c r="B110" s="173"/>
      <c r="C110" s="173"/>
      <c r="D110" s="233"/>
      <c r="E110" s="228"/>
      <c r="F110" s="234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73"/>
      <c r="BA110" s="277"/>
      <c r="BB110" s="173"/>
      <c r="BC110" s="173"/>
      <c r="BD110" s="173"/>
      <c r="BE110" s="173"/>
      <c r="BF110" s="173"/>
      <c r="BG110" s="173"/>
      <c r="BH110" s="173"/>
      <c r="BI110" s="173"/>
      <c r="BJ110" s="173"/>
      <c r="BK110" s="173"/>
      <c r="BL110" s="173"/>
      <c r="BM110" s="173"/>
      <c r="BN110" s="173"/>
      <c r="BO110" s="173"/>
      <c r="BP110" s="173"/>
      <c r="BQ110" s="173"/>
      <c r="BR110" s="173"/>
      <c r="BS110" s="173"/>
      <c r="BT110" s="173"/>
      <c r="BU110" s="173"/>
      <c r="BV110" s="173"/>
      <c r="BW110" s="173"/>
      <c r="BX110" s="173"/>
      <c r="BY110" s="173"/>
      <c r="BZ110" s="173"/>
      <c r="CA110" s="173"/>
      <c r="CB110" s="173"/>
      <c r="CC110" s="173"/>
      <c r="CD110" s="173"/>
      <c r="CE110" s="173"/>
      <c r="CF110" s="173"/>
      <c r="CG110" s="173"/>
      <c r="CH110" s="173"/>
      <c r="CI110" s="173"/>
      <c r="CJ110" s="173"/>
      <c r="CK110" s="173"/>
      <c r="CL110" s="173"/>
      <c r="CM110" s="173"/>
      <c r="CN110" s="173"/>
      <c r="CO110" s="173"/>
      <c r="CP110" s="173"/>
      <c r="CQ110" s="173"/>
      <c r="CR110" s="151"/>
      <c r="CS110" s="173"/>
      <c r="CT110" s="173"/>
      <c r="CU110" s="173"/>
      <c r="CV110" s="173"/>
      <c r="CW110" s="173"/>
      <c r="CX110" s="173"/>
      <c r="CY110" s="173"/>
      <c r="CZ110" s="173"/>
      <c r="DA110" s="222"/>
      <c r="DB110" s="222"/>
      <c r="DC110" s="222"/>
      <c r="DD110" s="222"/>
      <c r="DE110" s="222"/>
      <c r="DF110" s="222"/>
      <c r="DG110" s="222"/>
      <c r="DH110" s="222"/>
      <c r="DI110" s="222"/>
      <c r="DJ110" s="222"/>
      <c r="DK110" s="222"/>
      <c r="DL110" s="222"/>
      <c r="DM110" s="222"/>
      <c r="DN110" s="174"/>
      <c r="DO110" s="174"/>
      <c r="DP110" s="174"/>
      <c r="DQ110" s="174"/>
      <c r="DR110" s="174"/>
      <c r="DS110" s="174"/>
      <c r="DT110" s="174"/>
      <c r="DU110" s="174"/>
      <c r="DV110" s="174"/>
      <c r="DW110" s="174"/>
      <c r="DX110" s="174"/>
      <c r="DY110" s="174"/>
      <c r="DZ110" s="174"/>
      <c r="EA110" s="174"/>
      <c r="EB110" s="174"/>
      <c r="EC110" s="174"/>
      <c r="ED110" s="174"/>
      <c r="EE110" s="174"/>
      <c r="EF110" s="174"/>
      <c r="EG110" s="174"/>
      <c r="EH110" s="174"/>
      <c r="EI110" s="174"/>
      <c r="EJ110" s="174"/>
      <c r="EK110" s="174"/>
      <c r="EL110" s="174"/>
      <c r="EM110" s="174"/>
      <c r="EN110" s="174"/>
      <c r="EO110" s="174"/>
      <c r="EP110" s="174"/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  <c r="FC110" s="174"/>
      <c r="FD110" s="174"/>
      <c r="FE110" s="174"/>
      <c r="FF110" s="174"/>
      <c r="FG110" s="174"/>
      <c r="FH110" s="174"/>
      <c r="FI110" s="174"/>
      <c r="FJ110" s="174"/>
      <c r="FK110" s="174"/>
      <c r="FL110" s="174"/>
      <c r="FM110" s="174"/>
      <c r="FN110" s="174"/>
      <c r="FO110" s="174"/>
      <c r="FP110" s="174"/>
      <c r="FQ110" s="174"/>
      <c r="FR110" s="174"/>
      <c r="FS110" s="174"/>
      <c r="FT110" s="174"/>
      <c r="FU110" s="174"/>
      <c r="FV110" s="174"/>
      <c r="FW110" s="174"/>
      <c r="FX110" s="174"/>
      <c r="FY110" s="174"/>
      <c r="FZ110" s="174"/>
      <c r="GA110" s="174"/>
      <c r="GB110" s="174"/>
      <c r="GC110" s="174"/>
      <c r="GD110" s="174"/>
      <c r="GE110" s="174"/>
      <c r="GF110" s="174"/>
      <c r="GG110" s="174"/>
      <c r="GH110" s="174"/>
      <c r="GI110" s="174"/>
      <c r="GJ110" s="174"/>
      <c r="GK110" s="174"/>
      <c r="GL110" s="174"/>
      <c r="GM110" s="174"/>
      <c r="GN110" s="174"/>
      <c r="GO110" s="174"/>
      <c r="GP110" s="174"/>
      <c r="GQ110" s="174"/>
      <c r="GR110" s="174"/>
      <c r="GS110" s="174"/>
      <c r="GT110" s="174"/>
      <c r="GU110" s="174"/>
      <c r="GV110" s="174"/>
      <c r="GW110" s="174"/>
      <c r="GX110" s="174"/>
      <c r="GY110" s="174"/>
      <c r="GZ110" s="174"/>
      <c r="HA110" s="174"/>
      <c r="HB110" s="174"/>
      <c r="HC110" s="174"/>
      <c r="HD110" s="174"/>
      <c r="HE110" s="174"/>
      <c r="HF110" s="174"/>
      <c r="HG110" s="174"/>
      <c r="HH110" s="174"/>
      <c r="HI110" s="174"/>
      <c r="HJ110" s="174"/>
      <c r="HK110" s="174"/>
      <c r="HL110" s="174"/>
      <c r="HM110" s="174"/>
      <c r="HN110" s="174"/>
      <c r="HO110" s="174"/>
      <c r="HP110" s="174"/>
      <c r="HQ110" s="174"/>
      <c r="HR110" s="174"/>
      <c r="HS110" s="174"/>
      <c r="HT110" s="174"/>
      <c r="HU110" s="174"/>
      <c r="HV110" s="174"/>
      <c r="HW110" s="174"/>
      <c r="HX110" s="174"/>
      <c r="HY110" s="174"/>
      <c r="HZ110" s="174"/>
      <c r="IA110" s="174"/>
      <c r="IB110" s="174"/>
      <c r="IC110" s="174"/>
      <c r="ID110" s="174"/>
      <c r="IE110" s="174"/>
      <c r="IF110" s="174"/>
      <c r="IG110" s="174"/>
      <c r="IH110" s="174"/>
      <c r="II110" s="174"/>
      <c r="IJ110" s="174"/>
      <c r="IK110" s="174"/>
      <c r="IL110" s="174"/>
      <c r="IM110" s="174"/>
      <c r="IN110" s="174"/>
      <c r="IO110" s="174"/>
      <c r="IP110" s="174"/>
      <c r="IQ110" s="174"/>
      <c r="IR110" s="174"/>
      <c r="IS110" s="174"/>
      <c r="IT110" s="174"/>
      <c r="IU110" s="174"/>
      <c r="IV110" s="174"/>
      <c r="IW110" s="174"/>
      <c r="IX110" s="174"/>
      <c r="IY110" s="174"/>
      <c r="IZ110" s="174"/>
      <c r="JA110" s="174"/>
      <c r="JB110" s="174"/>
      <c r="JC110" s="174"/>
      <c r="JD110" s="174"/>
      <c r="JE110" s="174"/>
      <c r="JF110" s="174"/>
      <c r="JG110" s="174"/>
      <c r="JH110" s="174"/>
      <c r="JI110" s="174"/>
      <c r="JJ110" s="174"/>
      <c r="JK110" s="174"/>
      <c r="JL110" s="174"/>
      <c r="JM110" s="174"/>
      <c r="JN110" s="174"/>
      <c r="JO110" s="174"/>
      <c r="JP110" s="174"/>
      <c r="JQ110" s="174"/>
      <c r="JR110" s="174"/>
      <c r="JS110" s="174"/>
      <c r="JT110" s="174"/>
      <c r="JU110" s="174"/>
      <c r="JV110" s="174"/>
    </row>
    <row r="111" spans="1:282" s="146" customFormat="1">
      <c r="A111" s="232"/>
      <c r="B111" s="173"/>
      <c r="C111" s="173"/>
      <c r="D111" s="233"/>
      <c r="E111" s="228"/>
      <c r="F111" s="234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73"/>
      <c r="BA111" s="277"/>
      <c r="BB111" s="173"/>
      <c r="BC111" s="173"/>
      <c r="BD111" s="173"/>
      <c r="BE111" s="173"/>
      <c r="BF111" s="173"/>
      <c r="BG111" s="173"/>
      <c r="BH111" s="173"/>
      <c r="BI111" s="173"/>
      <c r="BJ111" s="173"/>
      <c r="BK111" s="173"/>
      <c r="BL111" s="173"/>
      <c r="BM111" s="173"/>
      <c r="BN111" s="173"/>
      <c r="BO111" s="173"/>
      <c r="BP111" s="173"/>
      <c r="BQ111" s="173"/>
      <c r="BR111" s="173"/>
      <c r="BS111" s="173"/>
      <c r="BT111" s="173"/>
      <c r="BU111" s="173"/>
      <c r="BV111" s="173"/>
      <c r="BW111" s="173"/>
      <c r="BX111" s="173"/>
      <c r="BY111" s="173"/>
      <c r="BZ111" s="173"/>
      <c r="CA111" s="173"/>
      <c r="CB111" s="173"/>
      <c r="CC111" s="173"/>
      <c r="CD111" s="173"/>
      <c r="CE111" s="173"/>
      <c r="CF111" s="173"/>
      <c r="CG111" s="173"/>
      <c r="CH111" s="173"/>
      <c r="CI111" s="173"/>
      <c r="CJ111" s="173"/>
      <c r="CK111" s="173"/>
      <c r="CL111" s="173"/>
      <c r="CM111" s="173"/>
      <c r="CN111" s="173"/>
      <c r="CO111" s="173"/>
      <c r="CP111" s="173"/>
      <c r="CQ111" s="173"/>
      <c r="CR111" s="151"/>
      <c r="CS111" s="173"/>
      <c r="CT111" s="173"/>
      <c r="CU111" s="173"/>
      <c r="CV111" s="173"/>
      <c r="CW111" s="173"/>
      <c r="CX111" s="173"/>
      <c r="CY111" s="173"/>
      <c r="CZ111" s="173"/>
      <c r="DA111" s="222"/>
      <c r="DB111" s="222"/>
      <c r="DC111" s="222"/>
      <c r="DD111" s="222"/>
      <c r="DE111" s="222"/>
      <c r="DF111" s="222"/>
      <c r="DG111" s="222"/>
      <c r="DH111" s="222"/>
      <c r="DI111" s="222"/>
      <c r="DJ111" s="222"/>
      <c r="DK111" s="222"/>
      <c r="DL111" s="222"/>
      <c r="DM111" s="222"/>
      <c r="DN111" s="174"/>
      <c r="DO111" s="174"/>
      <c r="DP111" s="174"/>
      <c r="DQ111" s="174"/>
      <c r="DR111" s="174"/>
      <c r="DS111" s="174"/>
      <c r="DT111" s="174"/>
      <c r="DU111" s="174"/>
      <c r="DV111" s="174"/>
      <c r="DW111" s="174"/>
      <c r="DX111" s="174"/>
      <c r="DY111" s="174"/>
      <c r="DZ111" s="174"/>
      <c r="EA111" s="174"/>
      <c r="EB111" s="174"/>
      <c r="EC111" s="174"/>
      <c r="ED111" s="174"/>
      <c r="EE111" s="174"/>
      <c r="EF111" s="174"/>
      <c r="EG111" s="174"/>
      <c r="EH111" s="174"/>
      <c r="EI111" s="174"/>
      <c r="EJ111" s="174"/>
      <c r="EK111" s="174"/>
      <c r="EL111" s="174"/>
      <c r="EM111" s="174"/>
      <c r="EN111" s="174"/>
      <c r="EO111" s="174"/>
      <c r="EP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  <c r="FC111" s="174"/>
      <c r="FD111" s="174"/>
      <c r="FE111" s="174"/>
      <c r="FF111" s="174"/>
      <c r="FG111" s="174"/>
      <c r="FH111" s="174"/>
      <c r="FI111" s="174"/>
      <c r="FJ111" s="174"/>
      <c r="FK111" s="174"/>
      <c r="FL111" s="174"/>
      <c r="FM111" s="174"/>
      <c r="FN111" s="174"/>
      <c r="FO111" s="174"/>
      <c r="FP111" s="174"/>
      <c r="FQ111" s="174"/>
      <c r="FR111" s="174"/>
      <c r="FS111" s="174"/>
      <c r="FT111" s="174"/>
      <c r="FU111" s="174"/>
      <c r="FV111" s="174"/>
      <c r="FW111" s="174"/>
      <c r="FX111" s="174"/>
      <c r="FY111" s="174"/>
      <c r="FZ111" s="174"/>
      <c r="GA111" s="174"/>
      <c r="GB111" s="174"/>
      <c r="GC111" s="174"/>
      <c r="GD111" s="174"/>
      <c r="GE111" s="174"/>
      <c r="GF111" s="174"/>
      <c r="GG111" s="174"/>
      <c r="GH111" s="174"/>
      <c r="GI111" s="174"/>
      <c r="GJ111" s="174"/>
      <c r="GK111" s="174"/>
      <c r="GL111" s="174"/>
      <c r="GM111" s="174"/>
      <c r="GN111" s="174"/>
      <c r="GO111" s="174"/>
      <c r="GP111" s="174"/>
      <c r="GQ111" s="174"/>
      <c r="GR111" s="174"/>
      <c r="GS111" s="174"/>
      <c r="GT111" s="174"/>
      <c r="GU111" s="174"/>
      <c r="GV111" s="174"/>
      <c r="GW111" s="174"/>
      <c r="GX111" s="174"/>
      <c r="GY111" s="174"/>
      <c r="GZ111" s="174"/>
      <c r="HA111" s="174"/>
      <c r="HB111" s="174"/>
      <c r="HC111" s="174"/>
      <c r="HD111" s="174"/>
      <c r="HE111" s="174"/>
      <c r="HF111" s="174"/>
      <c r="HG111" s="174"/>
      <c r="HH111" s="174"/>
      <c r="HI111" s="174"/>
      <c r="HJ111" s="174"/>
      <c r="HK111" s="174"/>
      <c r="HL111" s="174"/>
      <c r="HM111" s="174"/>
      <c r="HN111" s="174"/>
      <c r="HO111" s="174"/>
      <c r="HP111" s="174"/>
      <c r="HQ111" s="174"/>
      <c r="HR111" s="174"/>
      <c r="HS111" s="174"/>
      <c r="HT111" s="174"/>
      <c r="HU111" s="174"/>
      <c r="HV111" s="174"/>
      <c r="HW111" s="174"/>
      <c r="HX111" s="174"/>
      <c r="HY111" s="174"/>
      <c r="HZ111" s="174"/>
      <c r="IA111" s="174"/>
      <c r="IB111" s="174"/>
      <c r="IC111" s="174"/>
      <c r="ID111" s="174"/>
      <c r="IE111" s="174"/>
      <c r="IF111" s="174"/>
      <c r="IG111" s="174"/>
      <c r="IH111" s="174"/>
      <c r="II111" s="174"/>
      <c r="IJ111" s="174"/>
      <c r="IK111" s="174"/>
      <c r="IL111" s="174"/>
      <c r="IM111" s="174"/>
      <c r="IN111" s="174"/>
      <c r="IO111" s="174"/>
      <c r="IP111" s="174"/>
      <c r="IQ111" s="174"/>
      <c r="IR111" s="174"/>
      <c r="IS111" s="174"/>
      <c r="IT111" s="174"/>
      <c r="IU111" s="174"/>
      <c r="IV111" s="174"/>
      <c r="IW111" s="174"/>
      <c r="IX111" s="174"/>
      <c r="IY111" s="174"/>
      <c r="IZ111" s="174"/>
      <c r="JA111" s="174"/>
      <c r="JB111" s="174"/>
      <c r="JC111" s="174"/>
      <c r="JD111" s="174"/>
      <c r="JE111" s="174"/>
      <c r="JF111" s="174"/>
      <c r="JG111" s="174"/>
      <c r="JH111" s="174"/>
      <c r="JI111" s="174"/>
      <c r="JJ111" s="174"/>
      <c r="JK111" s="174"/>
      <c r="JL111" s="174"/>
      <c r="JM111" s="174"/>
      <c r="JN111" s="174"/>
      <c r="JO111" s="174"/>
      <c r="JP111" s="174"/>
      <c r="JQ111" s="174"/>
      <c r="JR111" s="174"/>
      <c r="JS111" s="174"/>
      <c r="JT111" s="174"/>
      <c r="JU111" s="174"/>
      <c r="JV111" s="174"/>
    </row>
    <row r="112" spans="1:282" s="146" customFormat="1">
      <c r="A112" s="232"/>
      <c r="B112" s="173"/>
      <c r="C112" s="173"/>
      <c r="D112" s="233"/>
      <c r="E112" s="228"/>
      <c r="F112" s="234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73"/>
      <c r="BA112" s="277"/>
      <c r="BB112" s="173"/>
      <c r="BC112" s="173"/>
      <c r="BD112" s="173"/>
      <c r="BE112" s="173"/>
      <c r="BF112" s="173"/>
      <c r="BG112" s="173"/>
      <c r="BH112" s="173"/>
      <c r="BI112" s="173"/>
      <c r="BJ112" s="173"/>
      <c r="BK112" s="173"/>
      <c r="BL112" s="173"/>
      <c r="BM112" s="173"/>
      <c r="BN112" s="173"/>
      <c r="BO112" s="173"/>
      <c r="BP112" s="173"/>
      <c r="BQ112" s="173"/>
      <c r="BR112" s="173"/>
      <c r="BS112" s="173"/>
      <c r="BT112" s="173"/>
      <c r="BU112" s="173"/>
      <c r="BV112" s="173"/>
      <c r="BW112" s="173"/>
      <c r="BX112" s="173"/>
      <c r="BY112" s="173"/>
      <c r="BZ112" s="173"/>
      <c r="CA112" s="173"/>
      <c r="CB112" s="173"/>
      <c r="CC112" s="173"/>
      <c r="CD112" s="173"/>
      <c r="CE112" s="173"/>
      <c r="CF112" s="173"/>
      <c r="CG112" s="173"/>
      <c r="CH112" s="173"/>
      <c r="CI112" s="173"/>
      <c r="CJ112" s="173"/>
      <c r="CK112" s="173"/>
      <c r="CL112" s="173"/>
      <c r="CM112" s="173"/>
      <c r="CN112" s="173"/>
      <c r="CO112" s="173"/>
      <c r="CP112" s="173"/>
      <c r="CQ112" s="173"/>
      <c r="CR112" s="151"/>
      <c r="CS112" s="173"/>
      <c r="CT112" s="173"/>
      <c r="CU112" s="173"/>
      <c r="CV112" s="173"/>
      <c r="CW112" s="173"/>
      <c r="CX112" s="173"/>
      <c r="CY112" s="173"/>
      <c r="CZ112" s="173"/>
      <c r="DA112" s="222"/>
      <c r="DB112" s="222"/>
      <c r="DC112" s="222"/>
      <c r="DD112" s="222"/>
      <c r="DE112" s="222"/>
      <c r="DF112" s="222"/>
      <c r="DG112" s="222"/>
      <c r="DH112" s="222"/>
      <c r="DI112" s="222"/>
      <c r="DJ112" s="222"/>
      <c r="DK112" s="222"/>
      <c r="DL112" s="222"/>
      <c r="DM112" s="222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4"/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M112" s="174"/>
      <c r="EN112" s="174"/>
      <c r="EO112" s="174"/>
      <c r="EP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  <c r="FC112" s="174"/>
      <c r="FD112" s="174"/>
      <c r="FE112" s="174"/>
      <c r="FF112" s="174"/>
      <c r="FG112" s="174"/>
      <c r="FH112" s="174"/>
      <c r="FI112" s="174"/>
      <c r="FJ112" s="174"/>
      <c r="FK112" s="174"/>
      <c r="FL112" s="174"/>
      <c r="FM112" s="174"/>
      <c r="FN112" s="174"/>
      <c r="FO112" s="174"/>
      <c r="FP112" s="174"/>
      <c r="FQ112" s="174"/>
      <c r="FR112" s="174"/>
      <c r="FS112" s="174"/>
      <c r="FT112" s="174"/>
      <c r="FU112" s="174"/>
      <c r="FV112" s="174"/>
      <c r="FW112" s="174"/>
      <c r="FX112" s="174"/>
      <c r="FY112" s="174"/>
      <c r="FZ112" s="174"/>
      <c r="GA112" s="174"/>
      <c r="GB112" s="174"/>
      <c r="GC112" s="174"/>
      <c r="GD112" s="174"/>
      <c r="GE112" s="174"/>
      <c r="GF112" s="174"/>
      <c r="GG112" s="174"/>
      <c r="GH112" s="174"/>
      <c r="GI112" s="174"/>
      <c r="GJ112" s="174"/>
      <c r="GK112" s="174"/>
      <c r="GL112" s="174"/>
      <c r="GM112" s="174"/>
      <c r="GN112" s="174"/>
      <c r="GO112" s="174"/>
      <c r="GP112" s="174"/>
      <c r="GQ112" s="174"/>
      <c r="GR112" s="174"/>
      <c r="GS112" s="174"/>
      <c r="GT112" s="174"/>
      <c r="GU112" s="174"/>
      <c r="GV112" s="174"/>
      <c r="GW112" s="174"/>
      <c r="GX112" s="174"/>
      <c r="GY112" s="174"/>
      <c r="GZ112" s="174"/>
      <c r="HA112" s="174"/>
      <c r="HB112" s="174"/>
      <c r="HC112" s="174"/>
      <c r="HD112" s="174"/>
      <c r="HE112" s="174"/>
      <c r="HF112" s="174"/>
      <c r="HG112" s="174"/>
      <c r="HH112" s="174"/>
      <c r="HI112" s="174"/>
      <c r="HJ112" s="174"/>
      <c r="HK112" s="174"/>
      <c r="HL112" s="174"/>
      <c r="HM112" s="174"/>
      <c r="HN112" s="174"/>
      <c r="HO112" s="174"/>
      <c r="HP112" s="174"/>
      <c r="HQ112" s="174"/>
      <c r="HR112" s="174"/>
      <c r="HS112" s="174"/>
      <c r="HT112" s="174"/>
      <c r="HU112" s="174"/>
      <c r="HV112" s="174"/>
      <c r="HW112" s="174"/>
      <c r="HX112" s="174"/>
      <c r="HY112" s="174"/>
      <c r="HZ112" s="174"/>
      <c r="IA112" s="174"/>
      <c r="IB112" s="174"/>
      <c r="IC112" s="174"/>
      <c r="ID112" s="174"/>
      <c r="IE112" s="174"/>
      <c r="IF112" s="174"/>
      <c r="IG112" s="174"/>
      <c r="IH112" s="174"/>
      <c r="II112" s="174"/>
      <c r="IJ112" s="174"/>
      <c r="IK112" s="174"/>
      <c r="IL112" s="174"/>
      <c r="IM112" s="174"/>
      <c r="IN112" s="174"/>
      <c r="IO112" s="174"/>
      <c r="IP112" s="174"/>
      <c r="IQ112" s="174"/>
      <c r="IR112" s="174"/>
      <c r="IS112" s="174"/>
      <c r="IT112" s="174"/>
      <c r="IU112" s="174"/>
      <c r="IV112" s="174"/>
      <c r="IW112" s="174"/>
      <c r="IX112" s="174"/>
      <c r="IY112" s="174"/>
      <c r="IZ112" s="174"/>
      <c r="JA112" s="174"/>
      <c r="JB112" s="174"/>
      <c r="JC112" s="174"/>
      <c r="JD112" s="174"/>
      <c r="JE112" s="174"/>
      <c r="JF112" s="174"/>
      <c r="JG112" s="174"/>
      <c r="JH112" s="174"/>
      <c r="JI112" s="174"/>
      <c r="JJ112" s="174"/>
      <c r="JK112" s="174"/>
      <c r="JL112" s="174"/>
      <c r="JM112" s="174"/>
      <c r="JN112" s="174"/>
      <c r="JO112" s="174"/>
      <c r="JP112" s="174"/>
      <c r="JQ112" s="174"/>
      <c r="JR112" s="174"/>
      <c r="JS112" s="174"/>
      <c r="JT112" s="174"/>
      <c r="JU112" s="174"/>
      <c r="JV112" s="174"/>
    </row>
    <row r="113" spans="1:282" s="146" customFormat="1">
      <c r="A113" s="232"/>
      <c r="B113" s="173"/>
      <c r="C113" s="173"/>
      <c r="D113" s="233"/>
      <c r="E113" s="228"/>
      <c r="F113" s="234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73"/>
      <c r="AY113" s="173"/>
      <c r="AZ113" s="173"/>
      <c r="BA113" s="277"/>
      <c r="BB113" s="173"/>
      <c r="BC113" s="173"/>
      <c r="BD113" s="173"/>
      <c r="BE113" s="173"/>
      <c r="BF113" s="173"/>
      <c r="BG113" s="173"/>
      <c r="BH113" s="173"/>
      <c r="BI113" s="173"/>
      <c r="BJ113" s="173"/>
      <c r="BK113" s="173"/>
      <c r="BL113" s="173"/>
      <c r="BM113" s="173"/>
      <c r="BN113" s="173"/>
      <c r="BO113" s="173"/>
      <c r="BP113" s="173"/>
      <c r="BQ113" s="173"/>
      <c r="BR113" s="173"/>
      <c r="BS113" s="173"/>
      <c r="BT113" s="173"/>
      <c r="BU113" s="173"/>
      <c r="BV113" s="173"/>
      <c r="BW113" s="173"/>
      <c r="BX113" s="173"/>
      <c r="BY113" s="173"/>
      <c r="BZ113" s="173"/>
      <c r="CA113" s="173"/>
      <c r="CB113" s="173"/>
      <c r="CC113" s="173"/>
      <c r="CD113" s="173"/>
      <c r="CE113" s="173"/>
      <c r="CF113" s="173"/>
      <c r="CG113" s="173"/>
      <c r="CH113" s="173"/>
      <c r="CI113" s="173"/>
      <c r="CJ113" s="173"/>
      <c r="CK113" s="173"/>
      <c r="CL113" s="173"/>
      <c r="CM113" s="173"/>
      <c r="CN113" s="173"/>
      <c r="CO113" s="173"/>
      <c r="CP113" s="173"/>
      <c r="CQ113" s="173"/>
      <c r="CR113" s="151"/>
      <c r="CS113" s="173"/>
      <c r="CT113" s="173"/>
      <c r="CU113" s="173"/>
      <c r="CV113" s="173"/>
      <c r="CW113" s="173"/>
      <c r="CX113" s="173"/>
      <c r="CY113" s="173"/>
      <c r="CZ113" s="173"/>
      <c r="DA113" s="222"/>
      <c r="DB113" s="222"/>
      <c r="DC113" s="222"/>
      <c r="DD113" s="222"/>
      <c r="DE113" s="222"/>
      <c r="DF113" s="222"/>
      <c r="DG113" s="222"/>
      <c r="DH113" s="222"/>
      <c r="DI113" s="222"/>
      <c r="DJ113" s="222"/>
      <c r="DK113" s="222"/>
      <c r="DL113" s="222"/>
      <c r="DM113" s="222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4"/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  <c r="FC113" s="174"/>
      <c r="FD113" s="174"/>
      <c r="FE113" s="174"/>
      <c r="FF113" s="174"/>
      <c r="FG113" s="174"/>
      <c r="FH113" s="174"/>
      <c r="FI113" s="174"/>
      <c r="FJ113" s="174"/>
      <c r="FK113" s="174"/>
      <c r="FL113" s="174"/>
      <c r="FM113" s="174"/>
      <c r="FN113" s="174"/>
      <c r="FO113" s="174"/>
      <c r="FP113" s="174"/>
      <c r="FQ113" s="174"/>
      <c r="FR113" s="174"/>
      <c r="FS113" s="174"/>
      <c r="FT113" s="174"/>
      <c r="FU113" s="174"/>
      <c r="FV113" s="174"/>
      <c r="FW113" s="174"/>
      <c r="FX113" s="174"/>
      <c r="FY113" s="174"/>
      <c r="FZ113" s="174"/>
      <c r="GA113" s="174"/>
      <c r="GB113" s="174"/>
      <c r="GC113" s="174"/>
      <c r="GD113" s="174"/>
      <c r="GE113" s="174"/>
      <c r="GF113" s="174"/>
      <c r="GG113" s="174"/>
      <c r="GH113" s="174"/>
      <c r="GI113" s="174"/>
      <c r="GJ113" s="174"/>
      <c r="GK113" s="174"/>
      <c r="GL113" s="174"/>
      <c r="GM113" s="174"/>
      <c r="GN113" s="174"/>
      <c r="GO113" s="174"/>
      <c r="GP113" s="174"/>
      <c r="GQ113" s="174"/>
      <c r="GR113" s="174"/>
      <c r="GS113" s="174"/>
      <c r="GT113" s="174"/>
      <c r="GU113" s="174"/>
      <c r="GV113" s="174"/>
      <c r="GW113" s="174"/>
      <c r="GX113" s="174"/>
      <c r="GY113" s="174"/>
      <c r="GZ113" s="174"/>
      <c r="HA113" s="174"/>
      <c r="HB113" s="174"/>
      <c r="HC113" s="174"/>
      <c r="HD113" s="174"/>
      <c r="HE113" s="174"/>
      <c r="HF113" s="174"/>
      <c r="HG113" s="174"/>
      <c r="HH113" s="174"/>
      <c r="HI113" s="174"/>
      <c r="HJ113" s="174"/>
      <c r="HK113" s="174"/>
      <c r="HL113" s="174"/>
      <c r="HM113" s="174"/>
      <c r="HN113" s="174"/>
      <c r="HO113" s="174"/>
      <c r="HP113" s="174"/>
      <c r="HQ113" s="174"/>
      <c r="HR113" s="174"/>
      <c r="HS113" s="174"/>
      <c r="HT113" s="174"/>
      <c r="HU113" s="174"/>
      <c r="HV113" s="174"/>
      <c r="HW113" s="174"/>
      <c r="HX113" s="174"/>
      <c r="HY113" s="174"/>
      <c r="HZ113" s="174"/>
      <c r="IA113" s="174"/>
      <c r="IB113" s="174"/>
      <c r="IC113" s="174"/>
      <c r="ID113" s="174"/>
      <c r="IE113" s="174"/>
      <c r="IF113" s="174"/>
      <c r="IG113" s="174"/>
      <c r="IH113" s="174"/>
      <c r="II113" s="174"/>
      <c r="IJ113" s="174"/>
      <c r="IK113" s="174"/>
      <c r="IL113" s="174"/>
      <c r="IM113" s="174"/>
      <c r="IN113" s="174"/>
      <c r="IO113" s="174"/>
      <c r="IP113" s="174"/>
      <c r="IQ113" s="174"/>
      <c r="IR113" s="174"/>
      <c r="IS113" s="174"/>
      <c r="IT113" s="174"/>
      <c r="IU113" s="174"/>
      <c r="IV113" s="174"/>
      <c r="IW113" s="174"/>
      <c r="IX113" s="174"/>
      <c r="IY113" s="174"/>
      <c r="IZ113" s="174"/>
      <c r="JA113" s="174"/>
      <c r="JB113" s="174"/>
      <c r="JC113" s="174"/>
      <c r="JD113" s="174"/>
      <c r="JE113" s="174"/>
      <c r="JF113" s="174"/>
      <c r="JG113" s="174"/>
      <c r="JH113" s="174"/>
      <c r="JI113" s="174"/>
      <c r="JJ113" s="174"/>
      <c r="JK113" s="174"/>
      <c r="JL113" s="174"/>
      <c r="JM113" s="174"/>
      <c r="JN113" s="174"/>
      <c r="JO113" s="174"/>
      <c r="JP113" s="174"/>
      <c r="JQ113" s="174"/>
      <c r="JR113" s="174"/>
      <c r="JS113" s="174"/>
      <c r="JT113" s="174"/>
      <c r="JU113" s="174"/>
      <c r="JV113" s="174"/>
    </row>
    <row r="114" spans="1:282" s="146" customFormat="1">
      <c r="A114" s="232"/>
      <c r="B114" s="173"/>
      <c r="C114" s="173"/>
      <c r="D114" s="233"/>
      <c r="E114" s="228"/>
      <c r="F114" s="234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73"/>
      <c r="AZ114" s="173"/>
      <c r="BA114" s="277"/>
      <c r="BB114" s="173"/>
      <c r="BC114" s="173"/>
      <c r="BD114" s="173"/>
      <c r="BE114" s="173"/>
      <c r="BF114" s="173"/>
      <c r="BG114" s="173"/>
      <c r="BH114" s="173"/>
      <c r="BI114" s="173"/>
      <c r="BJ114" s="173"/>
      <c r="BK114" s="173"/>
      <c r="BL114" s="173"/>
      <c r="BM114" s="173"/>
      <c r="BN114" s="173"/>
      <c r="BO114" s="173"/>
      <c r="BP114" s="173"/>
      <c r="BQ114" s="173"/>
      <c r="BR114" s="173"/>
      <c r="BS114" s="173"/>
      <c r="BT114" s="173"/>
      <c r="BU114" s="173"/>
      <c r="BV114" s="173"/>
      <c r="BW114" s="173"/>
      <c r="BX114" s="173"/>
      <c r="BY114" s="173"/>
      <c r="BZ114" s="173"/>
      <c r="CA114" s="173"/>
      <c r="CB114" s="173"/>
      <c r="CC114" s="173"/>
      <c r="CD114" s="173"/>
      <c r="CE114" s="173"/>
      <c r="CF114" s="173"/>
      <c r="CG114" s="173"/>
      <c r="CH114" s="173"/>
      <c r="CI114" s="173"/>
      <c r="CJ114" s="173"/>
      <c r="CK114" s="173"/>
      <c r="CL114" s="173"/>
      <c r="CM114" s="173"/>
      <c r="CN114" s="173"/>
      <c r="CO114" s="173"/>
      <c r="CP114" s="173"/>
      <c r="CQ114" s="173"/>
      <c r="CR114" s="151"/>
      <c r="CS114" s="173"/>
      <c r="CT114" s="173"/>
      <c r="CU114" s="173"/>
      <c r="CV114" s="173"/>
      <c r="CW114" s="173"/>
      <c r="CX114" s="173"/>
      <c r="CY114" s="173"/>
      <c r="CZ114" s="173"/>
      <c r="DA114" s="150"/>
      <c r="DB114" s="150"/>
      <c r="DC114" s="150"/>
      <c r="DD114" s="150"/>
      <c r="DE114" s="150"/>
      <c r="DF114" s="150"/>
      <c r="DG114" s="150"/>
      <c r="DH114" s="150"/>
      <c r="DI114" s="150"/>
      <c r="DJ114" s="150"/>
      <c r="DK114" s="222"/>
      <c r="DL114" s="222"/>
      <c r="DM114" s="222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4"/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  <c r="FC114" s="174"/>
      <c r="FD114" s="174"/>
      <c r="FE114" s="174"/>
      <c r="FF114" s="174"/>
      <c r="FG114" s="174"/>
      <c r="FH114" s="174"/>
      <c r="FI114" s="174"/>
      <c r="FJ114" s="174"/>
      <c r="FK114" s="174"/>
      <c r="FL114" s="174"/>
      <c r="FM114" s="174"/>
      <c r="FN114" s="174"/>
      <c r="FO114" s="174"/>
      <c r="FP114" s="174"/>
      <c r="FQ114" s="174"/>
      <c r="FR114" s="174"/>
      <c r="FS114" s="174"/>
      <c r="FT114" s="174"/>
      <c r="FU114" s="174"/>
      <c r="FV114" s="174"/>
      <c r="FW114" s="174"/>
      <c r="FX114" s="174"/>
      <c r="FY114" s="174"/>
      <c r="FZ114" s="174"/>
      <c r="GA114" s="174"/>
      <c r="GB114" s="174"/>
      <c r="GC114" s="174"/>
      <c r="GD114" s="174"/>
      <c r="GE114" s="174"/>
      <c r="GF114" s="174"/>
      <c r="GG114" s="174"/>
      <c r="GH114" s="174"/>
      <c r="GI114" s="174"/>
      <c r="GJ114" s="174"/>
      <c r="GK114" s="174"/>
      <c r="GL114" s="174"/>
      <c r="GM114" s="174"/>
      <c r="GN114" s="174"/>
      <c r="GO114" s="174"/>
      <c r="GP114" s="174"/>
      <c r="GQ114" s="174"/>
      <c r="GR114" s="174"/>
      <c r="GS114" s="174"/>
      <c r="GT114" s="174"/>
      <c r="GU114" s="174"/>
      <c r="GV114" s="174"/>
      <c r="GW114" s="174"/>
      <c r="GX114" s="174"/>
      <c r="GY114" s="174"/>
      <c r="GZ114" s="174"/>
      <c r="HA114" s="174"/>
      <c r="HB114" s="174"/>
      <c r="HC114" s="174"/>
      <c r="HD114" s="174"/>
      <c r="HE114" s="174"/>
      <c r="HF114" s="174"/>
      <c r="HG114" s="174"/>
      <c r="HH114" s="174"/>
      <c r="HI114" s="174"/>
      <c r="HJ114" s="174"/>
      <c r="HK114" s="174"/>
      <c r="HL114" s="174"/>
      <c r="HM114" s="174"/>
      <c r="HN114" s="174"/>
      <c r="HO114" s="174"/>
      <c r="HP114" s="174"/>
      <c r="HQ114" s="174"/>
      <c r="HR114" s="174"/>
      <c r="HS114" s="174"/>
      <c r="HT114" s="174"/>
      <c r="HU114" s="174"/>
      <c r="HV114" s="174"/>
      <c r="HW114" s="174"/>
      <c r="HX114" s="174"/>
      <c r="HY114" s="174"/>
      <c r="HZ114" s="174"/>
      <c r="IA114" s="174"/>
      <c r="IB114" s="174"/>
      <c r="IC114" s="174"/>
      <c r="ID114" s="174"/>
      <c r="IE114" s="174"/>
      <c r="IF114" s="174"/>
      <c r="IG114" s="174"/>
      <c r="IH114" s="174"/>
      <c r="II114" s="174"/>
      <c r="IJ114" s="174"/>
      <c r="IK114" s="174"/>
      <c r="IL114" s="174"/>
      <c r="IM114" s="174"/>
      <c r="IN114" s="174"/>
      <c r="IO114" s="174"/>
      <c r="IP114" s="174"/>
      <c r="IQ114" s="174"/>
      <c r="IR114" s="174"/>
      <c r="IS114" s="174"/>
      <c r="IT114" s="174"/>
      <c r="IU114" s="174"/>
      <c r="IV114" s="174"/>
      <c r="IW114" s="174"/>
      <c r="IX114" s="174"/>
      <c r="IY114" s="174"/>
      <c r="IZ114" s="174"/>
      <c r="JA114" s="174"/>
      <c r="JB114" s="174"/>
      <c r="JC114" s="174"/>
      <c r="JD114" s="174"/>
      <c r="JE114" s="174"/>
      <c r="JF114" s="174"/>
      <c r="JG114" s="174"/>
      <c r="JH114" s="174"/>
      <c r="JI114" s="174"/>
      <c r="JJ114" s="174"/>
      <c r="JK114" s="174"/>
      <c r="JL114" s="174"/>
      <c r="JM114" s="174"/>
      <c r="JN114" s="174"/>
      <c r="JO114" s="174"/>
      <c r="JP114" s="174"/>
      <c r="JQ114" s="174"/>
      <c r="JR114" s="174"/>
      <c r="JS114" s="174"/>
      <c r="JT114" s="174"/>
      <c r="JU114" s="174"/>
      <c r="JV114" s="174"/>
    </row>
    <row r="115" spans="1:282" s="146" customFormat="1">
      <c r="A115" s="232"/>
      <c r="B115" s="173"/>
      <c r="C115" s="173"/>
      <c r="D115" s="233"/>
      <c r="E115" s="228"/>
      <c r="F115" s="234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73"/>
      <c r="AZ115" s="173"/>
      <c r="BA115" s="277"/>
      <c r="BB115" s="173"/>
      <c r="BC115" s="173"/>
      <c r="BD115" s="173"/>
      <c r="BE115" s="173"/>
      <c r="BF115" s="173"/>
      <c r="BG115" s="173"/>
      <c r="BH115" s="173"/>
      <c r="BI115" s="173"/>
      <c r="BJ115" s="173"/>
      <c r="BK115" s="173"/>
      <c r="BL115" s="173"/>
      <c r="BM115" s="173"/>
      <c r="BN115" s="173"/>
      <c r="BO115" s="173"/>
      <c r="BP115" s="173"/>
      <c r="BQ115" s="173"/>
      <c r="BR115" s="173"/>
      <c r="BS115" s="173"/>
      <c r="BT115" s="173"/>
      <c r="BU115" s="173"/>
      <c r="BV115" s="173"/>
      <c r="BW115" s="173"/>
      <c r="BX115" s="173"/>
      <c r="BY115" s="173"/>
      <c r="BZ115" s="173"/>
      <c r="CA115" s="173"/>
      <c r="CB115" s="173"/>
      <c r="CC115" s="173"/>
      <c r="CD115" s="173"/>
      <c r="CE115" s="173"/>
      <c r="CF115" s="173"/>
      <c r="CG115" s="173"/>
      <c r="CH115" s="173"/>
      <c r="CI115" s="173"/>
      <c r="CJ115" s="173"/>
      <c r="CK115" s="173"/>
      <c r="CL115" s="173"/>
      <c r="CM115" s="173"/>
      <c r="CN115" s="173"/>
      <c r="CO115" s="173"/>
      <c r="CP115" s="173"/>
      <c r="CQ115" s="173"/>
      <c r="CR115" s="151"/>
      <c r="CS115" s="173"/>
      <c r="CT115" s="173"/>
      <c r="CU115" s="173"/>
      <c r="CV115" s="173"/>
      <c r="CW115" s="173"/>
      <c r="CX115" s="173"/>
      <c r="CY115" s="173"/>
      <c r="CZ115" s="173"/>
      <c r="DA115" s="150"/>
      <c r="DB115" s="150"/>
      <c r="DC115" s="150"/>
      <c r="DD115" s="150"/>
      <c r="DE115" s="150"/>
      <c r="DF115" s="150"/>
      <c r="DG115" s="150"/>
      <c r="DH115" s="150"/>
      <c r="DI115" s="150"/>
      <c r="DJ115" s="150"/>
      <c r="DK115" s="222"/>
      <c r="DL115" s="222"/>
      <c r="DM115" s="222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4"/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  <c r="FC115" s="174"/>
      <c r="FD115" s="174"/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74"/>
      <c r="FT115" s="174"/>
      <c r="FU115" s="174"/>
      <c r="FV115" s="174"/>
      <c r="FW115" s="174"/>
      <c r="FX115" s="174"/>
      <c r="FY115" s="174"/>
      <c r="FZ115" s="174"/>
      <c r="GA115" s="174"/>
      <c r="GB115" s="174"/>
      <c r="GC115" s="174"/>
      <c r="GD115" s="174"/>
      <c r="GE115" s="174"/>
      <c r="GF115" s="174"/>
      <c r="GG115" s="174"/>
      <c r="GH115" s="174"/>
      <c r="GI115" s="174"/>
      <c r="GJ115" s="174"/>
      <c r="GK115" s="174"/>
      <c r="GL115" s="174"/>
      <c r="GM115" s="174"/>
      <c r="GN115" s="174"/>
      <c r="GO115" s="174"/>
      <c r="GP115" s="174"/>
      <c r="GQ115" s="174"/>
      <c r="GR115" s="174"/>
      <c r="GS115" s="174"/>
      <c r="GT115" s="174"/>
      <c r="GU115" s="174"/>
      <c r="GV115" s="174"/>
      <c r="GW115" s="174"/>
      <c r="GX115" s="174"/>
      <c r="GY115" s="174"/>
      <c r="GZ115" s="174"/>
      <c r="HA115" s="174"/>
      <c r="HB115" s="174"/>
      <c r="HC115" s="174"/>
      <c r="HD115" s="174"/>
      <c r="HE115" s="174"/>
      <c r="HF115" s="174"/>
      <c r="HG115" s="174"/>
      <c r="HH115" s="174"/>
      <c r="HI115" s="174"/>
      <c r="HJ115" s="174"/>
      <c r="HK115" s="174"/>
      <c r="HL115" s="174"/>
      <c r="HM115" s="174"/>
      <c r="HN115" s="174"/>
      <c r="HO115" s="174"/>
      <c r="HP115" s="174"/>
      <c r="HQ115" s="174"/>
      <c r="HR115" s="174"/>
      <c r="HS115" s="174"/>
      <c r="HT115" s="174"/>
      <c r="HU115" s="174"/>
      <c r="HV115" s="174"/>
      <c r="HW115" s="174"/>
      <c r="HX115" s="174"/>
      <c r="HY115" s="174"/>
      <c r="HZ115" s="174"/>
      <c r="IA115" s="174"/>
      <c r="IB115" s="174"/>
      <c r="IC115" s="174"/>
      <c r="ID115" s="174"/>
      <c r="IE115" s="174"/>
      <c r="IF115" s="174"/>
      <c r="IG115" s="174"/>
      <c r="IH115" s="174"/>
      <c r="II115" s="174"/>
      <c r="IJ115" s="174"/>
      <c r="IK115" s="174"/>
      <c r="IL115" s="174"/>
      <c r="IM115" s="174"/>
      <c r="IN115" s="174"/>
      <c r="IO115" s="174"/>
      <c r="IP115" s="174"/>
      <c r="IQ115" s="174"/>
      <c r="IR115" s="174"/>
      <c r="IS115" s="174"/>
      <c r="IT115" s="174"/>
      <c r="IU115" s="174"/>
      <c r="IV115" s="174"/>
      <c r="IW115" s="174"/>
      <c r="IX115" s="174"/>
      <c r="IY115" s="174"/>
      <c r="IZ115" s="174"/>
      <c r="JA115" s="174"/>
      <c r="JB115" s="174"/>
      <c r="JC115" s="174"/>
      <c r="JD115" s="174"/>
      <c r="JE115" s="174"/>
      <c r="JF115" s="174"/>
      <c r="JG115" s="174"/>
      <c r="JH115" s="174"/>
      <c r="JI115" s="174"/>
      <c r="JJ115" s="174"/>
      <c r="JK115" s="174"/>
      <c r="JL115" s="174"/>
      <c r="JM115" s="174"/>
      <c r="JN115" s="174"/>
      <c r="JO115" s="174"/>
      <c r="JP115" s="174"/>
      <c r="JQ115" s="174"/>
      <c r="JR115" s="174"/>
      <c r="JS115" s="174"/>
      <c r="JT115" s="174"/>
      <c r="JU115" s="174"/>
      <c r="JV115" s="174"/>
    </row>
    <row r="116" spans="1:282" s="146" customFormat="1">
      <c r="A116" s="232"/>
      <c r="B116" s="173"/>
      <c r="C116" s="173"/>
      <c r="D116" s="233"/>
      <c r="E116" s="228"/>
      <c r="F116" s="234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73"/>
      <c r="AZ116" s="173"/>
      <c r="BA116" s="277"/>
      <c r="BB116" s="173"/>
      <c r="BC116" s="173"/>
      <c r="BD116" s="173"/>
      <c r="BE116" s="173"/>
      <c r="BF116" s="173"/>
      <c r="BG116" s="173"/>
      <c r="BH116" s="173"/>
      <c r="BI116" s="173"/>
      <c r="BJ116" s="173"/>
      <c r="BK116" s="173"/>
      <c r="BL116" s="173"/>
      <c r="BM116" s="173"/>
      <c r="BN116" s="173"/>
      <c r="BO116" s="173"/>
      <c r="BP116" s="173"/>
      <c r="BQ116" s="173"/>
      <c r="BR116" s="173"/>
      <c r="BS116" s="173"/>
      <c r="BT116" s="173"/>
      <c r="BU116" s="173"/>
      <c r="BV116" s="173"/>
      <c r="BW116" s="173"/>
      <c r="BX116" s="173"/>
      <c r="BY116" s="173"/>
      <c r="BZ116" s="173"/>
      <c r="CA116" s="173"/>
      <c r="CB116" s="173"/>
      <c r="CC116" s="173"/>
      <c r="CD116" s="173"/>
      <c r="CE116" s="173"/>
      <c r="CF116" s="173"/>
      <c r="CG116" s="173"/>
      <c r="CH116" s="173"/>
      <c r="CI116" s="173"/>
      <c r="CJ116" s="173"/>
      <c r="CK116" s="173"/>
      <c r="CL116" s="173"/>
      <c r="CM116" s="173"/>
      <c r="CN116" s="173"/>
      <c r="CO116" s="173"/>
      <c r="CP116" s="173"/>
      <c r="CQ116" s="173"/>
      <c r="CR116" s="151"/>
      <c r="CS116" s="173"/>
      <c r="CT116" s="173"/>
      <c r="CU116" s="173"/>
      <c r="CV116" s="173"/>
      <c r="CW116" s="173"/>
      <c r="CX116" s="173"/>
      <c r="CY116" s="173"/>
      <c r="CZ116" s="173"/>
      <c r="DA116" s="222"/>
      <c r="DB116" s="222"/>
      <c r="DC116" s="222"/>
      <c r="DD116" s="222"/>
      <c r="DE116" s="222"/>
      <c r="DF116" s="222"/>
      <c r="DG116" s="222"/>
      <c r="DH116" s="222"/>
      <c r="DI116" s="222"/>
      <c r="DJ116" s="222"/>
      <c r="DK116" s="222"/>
      <c r="DL116" s="222"/>
      <c r="DM116" s="222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4"/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  <c r="FC116" s="174"/>
      <c r="FD116" s="174"/>
      <c r="FE116" s="174"/>
      <c r="FF116" s="174"/>
      <c r="FG116" s="174"/>
      <c r="FH116" s="174"/>
      <c r="FI116" s="174"/>
      <c r="FJ116" s="174"/>
      <c r="FK116" s="174"/>
      <c r="FL116" s="174"/>
      <c r="FM116" s="174"/>
      <c r="FN116" s="174"/>
      <c r="FO116" s="174"/>
      <c r="FP116" s="174"/>
      <c r="FQ116" s="174"/>
      <c r="FR116" s="174"/>
      <c r="FS116" s="174"/>
      <c r="FT116" s="174"/>
      <c r="FU116" s="174"/>
      <c r="FV116" s="174"/>
      <c r="FW116" s="174"/>
      <c r="FX116" s="174"/>
      <c r="FY116" s="174"/>
      <c r="FZ116" s="174"/>
      <c r="GA116" s="174"/>
      <c r="GB116" s="174"/>
      <c r="GC116" s="174"/>
      <c r="GD116" s="174"/>
      <c r="GE116" s="174"/>
      <c r="GF116" s="174"/>
      <c r="GG116" s="174"/>
      <c r="GH116" s="174"/>
      <c r="GI116" s="174"/>
      <c r="GJ116" s="174"/>
      <c r="GK116" s="174"/>
      <c r="GL116" s="174"/>
      <c r="GM116" s="174"/>
      <c r="GN116" s="174"/>
      <c r="GO116" s="174"/>
      <c r="GP116" s="174"/>
      <c r="GQ116" s="174"/>
      <c r="GR116" s="174"/>
      <c r="GS116" s="174"/>
      <c r="GT116" s="174"/>
      <c r="GU116" s="174"/>
      <c r="GV116" s="174"/>
      <c r="GW116" s="174"/>
      <c r="GX116" s="174"/>
      <c r="GY116" s="174"/>
      <c r="GZ116" s="174"/>
      <c r="HA116" s="174"/>
      <c r="HB116" s="174"/>
      <c r="HC116" s="174"/>
      <c r="HD116" s="174"/>
      <c r="HE116" s="174"/>
      <c r="HF116" s="174"/>
      <c r="HG116" s="174"/>
      <c r="HH116" s="174"/>
      <c r="HI116" s="174"/>
      <c r="HJ116" s="174"/>
      <c r="HK116" s="174"/>
      <c r="HL116" s="174"/>
      <c r="HM116" s="174"/>
      <c r="HN116" s="174"/>
      <c r="HO116" s="174"/>
      <c r="HP116" s="174"/>
      <c r="HQ116" s="174"/>
      <c r="HR116" s="174"/>
      <c r="HS116" s="174"/>
      <c r="HT116" s="174"/>
      <c r="HU116" s="174"/>
      <c r="HV116" s="174"/>
      <c r="HW116" s="174"/>
      <c r="HX116" s="174"/>
      <c r="HY116" s="174"/>
      <c r="HZ116" s="174"/>
      <c r="IA116" s="174"/>
      <c r="IB116" s="174"/>
      <c r="IC116" s="174"/>
      <c r="ID116" s="174"/>
      <c r="IE116" s="174"/>
      <c r="IF116" s="174"/>
      <c r="IG116" s="174"/>
      <c r="IH116" s="174"/>
      <c r="II116" s="174"/>
      <c r="IJ116" s="174"/>
      <c r="IK116" s="174"/>
      <c r="IL116" s="174"/>
      <c r="IM116" s="174"/>
      <c r="IN116" s="174"/>
      <c r="IO116" s="174"/>
      <c r="IP116" s="174"/>
      <c r="IQ116" s="174"/>
      <c r="IR116" s="174"/>
      <c r="IS116" s="174"/>
      <c r="IT116" s="174"/>
      <c r="IU116" s="174"/>
      <c r="IV116" s="174"/>
      <c r="IW116" s="174"/>
      <c r="IX116" s="174"/>
      <c r="IY116" s="174"/>
      <c r="IZ116" s="174"/>
      <c r="JA116" s="174"/>
      <c r="JB116" s="174"/>
      <c r="JC116" s="174"/>
      <c r="JD116" s="174"/>
      <c r="JE116" s="174"/>
      <c r="JF116" s="174"/>
      <c r="JG116" s="174"/>
      <c r="JH116" s="174"/>
      <c r="JI116" s="174"/>
      <c r="JJ116" s="174"/>
      <c r="JK116" s="174"/>
      <c r="JL116" s="174"/>
      <c r="JM116" s="174"/>
      <c r="JN116" s="174"/>
      <c r="JO116" s="174"/>
      <c r="JP116" s="174"/>
      <c r="JQ116" s="174"/>
      <c r="JR116" s="174"/>
      <c r="JS116" s="174"/>
      <c r="JT116" s="174"/>
      <c r="JU116" s="174"/>
      <c r="JV116" s="174"/>
    </row>
    <row r="117" spans="1:282" s="146" customFormat="1">
      <c r="A117" s="232"/>
      <c r="B117" s="173"/>
      <c r="C117" s="173"/>
      <c r="D117" s="233"/>
      <c r="E117" s="228"/>
      <c r="F117" s="234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3"/>
      <c r="AT117" s="236"/>
      <c r="AU117" s="236"/>
      <c r="AV117" s="173"/>
      <c r="AW117" s="173"/>
      <c r="AX117" s="173"/>
      <c r="AY117" s="173"/>
      <c r="AZ117" s="173"/>
      <c r="BA117" s="277"/>
      <c r="BB117" s="173"/>
      <c r="BC117" s="173"/>
      <c r="BD117" s="173"/>
      <c r="BE117" s="173"/>
      <c r="BF117" s="173"/>
      <c r="BG117" s="173"/>
      <c r="BH117" s="173"/>
      <c r="BI117" s="173"/>
      <c r="BJ117" s="173"/>
      <c r="BK117" s="173"/>
      <c r="BL117" s="173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173"/>
      <c r="CC117" s="173"/>
      <c r="CD117" s="173"/>
      <c r="CE117" s="173"/>
      <c r="CF117" s="173"/>
      <c r="CG117" s="173"/>
      <c r="CH117" s="173"/>
      <c r="CI117" s="173"/>
      <c r="CJ117" s="173"/>
      <c r="CK117" s="173"/>
      <c r="CL117" s="173"/>
      <c r="CM117" s="173"/>
      <c r="CN117" s="173"/>
      <c r="CO117" s="173"/>
      <c r="CP117" s="173"/>
      <c r="CQ117" s="173"/>
      <c r="CR117" s="151"/>
      <c r="CS117" s="173"/>
      <c r="CT117" s="173"/>
      <c r="CU117" s="173"/>
      <c r="CV117" s="173"/>
      <c r="CW117" s="173"/>
      <c r="CX117" s="173"/>
      <c r="CY117" s="173"/>
      <c r="CZ117" s="173"/>
      <c r="DA117" s="150"/>
      <c r="DB117" s="150"/>
      <c r="DC117" s="150"/>
      <c r="DD117" s="150"/>
      <c r="DE117" s="150"/>
      <c r="DF117" s="150"/>
      <c r="DG117" s="150"/>
      <c r="DH117" s="150"/>
      <c r="DI117" s="150"/>
      <c r="DJ117" s="150"/>
      <c r="DK117" s="222"/>
      <c r="DL117" s="222"/>
      <c r="DM117" s="222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4"/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  <c r="FC117" s="174"/>
      <c r="FD117" s="174"/>
      <c r="FE117" s="174"/>
      <c r="FF117" s="174"/>
      <c r="FG117" s="174"/>
      <c r="FH117" s="174"/>
      <c r="FI117" s="174"/>
      <c r="FJ117" s="174"/>
      <c r="FK117" s="174"/>
      <c r="FL117" s="174"/>
      <c r="FM117" s="174"/>
      <c r="FN117" s="174"/>
      <c r="FO117" s="174"/>
      <c r="FP117" s="174"/>
      <c r="FQ117" s="174"/>
      <c r="FR117" s="174"/>
      <c r="FS117" s="174"/>
      <c r="FT117" s="174"/>
      <c r="FU117" s="174"/>
      <c r="FV117" s="174"/>
      <c r="FW117" s="174"/>
      <c r="FX117" s="174"/>
      <c r="FY117" s="174"/>
      <c r="FZ117" s="174"/>
      <c r="GA117" s="174"/>
      <c r="GB117" s="174"/>
      <c r="GC117" s="174"/>
      <c r="GD117" s="174"/>
      <c r="GE117" s="174"/>
      <c r="GF117" s="174"/>
      <c r="GG117" s="174"/>
      <c r="GH117" s="174"/>
      <c r="GI117" s="174"/>
      <c r="GJ117" s="174"/>
      <c r="GK117" s="174"/>
      <c r="GL117" s="174"/>
      <c r="GM117" s="174"/>
      <c r="GN117" s="174"/>
      <c r="GO117" s="174"/>
      <c r="GP117" s="174"/>
      <c r="GQ117" s="174"/>
      <c r="GR117" s="174"/>
      <c r="GS117" s="174"/>
      <c r="GT117" s="174"/>
      <c r="GU117" s="174"/>
      <c r="GV117" s="174"/>
      <c r="GW117" s="174"/>
      <c r="GX117" s="174"/>
      <c r="GY117" s="174"/>
      <c r="GZ117" s="174"/>
      <c r="HA117" s="174"/>
      <c r="HB117" s="174"/>
      <c r="HC117" s="174"/>
      <c r="HD117" s="174"/>
      <c r="HE117" s="174"/>
      <c r="HF117" s="174"/>
      <c r="HG117" s="174"/>
      <c r="HH117" s="174"/>
      <c r="HI117" s="174"/>
      <c r="HJ117" s="174"/>
      <c r="HK117" s="174"/>
      <c r="HL117" s="174"/>
      <c r="HM117" s="174"/>
      <c r="HN117" s="174"/>
      <c r="HO117" s="174"/>
      <c r="HP117" s="174"/>
      <c r="HQ117" s="174"/>
      <c r="HR117" s="174"/>
      <c r="HS117" s="174"/>
      <c r="HT117" s="174"/>
      <c r="HU117" s="174"/>
      <c r="HV117" s="174"/>
      <c r="HW117" s="174"/>
      <c r="HX117" s="174"/>
      <c r="HY117" s="174"/>
      <c r="HZ117" s="174"/>
      <c r="IA117" s="174"/>
      <c r="IB117" s="174"/>
      <c r="IC117" s="174"/>
      <c r="ID117" s="174"/>
      <c r="IE117" s="174"/>
      <c r="IF117" s="174"/>
      <c r="IG117" s="174"/>
      <c r="IH117" s="174"/>
      <c r="II117" s="174"/>
      <c r="IJ117" s="174"/>
      <c r="IK117" s="174"/>
      <c r="IL117" s="174"/>
      <c r="IM117" s="174"/>
      <c r="IN117" s="174"/>
      <c r="IO117" s="174"/>
      <c r="IP117" s="174"/>
      <c r="IQ117" s="174"/>
      <c r="IR117" s="174"/>
      <c r="IS117" s="174"/>
      <c r="IT117" s="174"/>
      <c r="IU117" s="174"/>
      <c r="IV117" s="174"/>
      <c r="IW117" s="174"/>
      <c r="IX117" s="174"/>
      <c r="IY117" s="174"/>
      <c r="IZ117" s="174"/>
      <c r="JA117" s="174"/>
      <c r="JB117" s="174"/>
      <c r="JC117" s="174"/>
      <c r="JD117" s="174"/>
      <c r="JE117" s="174"/>
      <c r="JF117" s="174"/>
      <c r="JG117" s="174"/>
      <c r="JH117" s="174"/>
      <c r="JI117" s="174"/>
      <c r="JJ117" s="174"/>
      <c r="JK117" s="174"/>
      <c r="JL117" s="174"/>
      <c r="JM117" s="174"/>
      <c r="JN117" s="174"/>
      <c r="JO117" s="174"/>
      <c r="JP117" s="174"/>
      <c r="JQ117" s="174"/>
      <c r="JR117" s="174"/>
      <c r="JS117" s="174"/>
      <c r="JT117" s="174"/>
      <c r="JU117" s="174"/>
      <c r="JV117" s="174"/>
    </row>
    <row r="118" spans="1:282" s="146" customFormat="1">
      <c r="A118" s="232"/>
      <c r="B118" s="173"/>
      <c r="C118" s="173"/>
      <c r="D118" s="233"/>
      <c r="E118" s="228"/>
      <c r="F118" s="234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277"/>
      <c r="BB118" s="173"/>
      <c r="BC118" s="173"/>
      <c r="BD118" s="173"/>
      <c r="BE118" s="173"/>
      <c r="BF118" s="173"/>
      <c r="BG118" s="173"/>
      <c r="BH118" s="173"/>
      <c r="BI118" s="173"/>
      <c r="BJ118" s="173"/>
      <c r="BK118" s="173"/>
      <c r="BL118" s="173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B118" s="173"/>
      <c r="CC118" s="173"/>
      <c r="CD118" s="173"/>
      <c r="CE118" s="173"/>
      <c r="CF118" s="173"/>
      <c r="CG118" s="173"/>
      <c r="CH118" s="173"/>
      <c r="CI118" s="173"/>
      <c r="CJ118" s="173"/>
      <c r="CK118" s="173"/>
      <c r="CL118" s="173"/>
      <c r="CM118" s="173"/>
      <c r="CN118" s="173"/>
      <c r="CO118" s="173"/>
      <c r="CP118" s="173"/>
      <c r="CQ118" s="173"/>
      <c r="CR118" s="151"/>
      <c r="CS118" s="173"/>
      <c r="CT118" s="173"/>
      <c r="CU118" s="173"/>
      <c r="CV118" s="173"/>
      <c r="CW118" s="173"/>
      <c r="CX118" s="173"/>
      <c r="CY118" s="173"/>
      <c r="CZ118" s="173"/>
      <c r="DA118" s="150"/>
      <c r="DB118" s="150"/>
      <c r="DC118" s="150"/>
      <c r="DD118" s="150"/>
      <c r="DE118" s="150"/>
      <c r="DF118" s="150"/>
      <c r="DG118" s="150"/>
      <c r="DH118" s="150"/>
      <c r="DI118" s="150"/>
      <c r="DJ118" s="150"/>
      <c r="DK118" s="222"/>
      <c r="DL118" s="222"/>
      <c r="DM118" s="222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4"/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74"/>
      <c r="FT118" s="174"/>
      <c r="FU118" s="174"/>
      <c r="FV118" s="174"/>
      <c r="FW118" s="174"/>
      <c r="FX118" s="174"/>
      <c r="FY118" s="174"/>
      <c r="FZ118" s="174"/>
      <c r="GA118" s="174"/>
      <c r="GB118" s="174"/>
      <c r="GC118" s="174"/>
      <c r="GD118" s="174"/>
      <c r="GE118" s="174"/>
      <c r="GF118" s="174"/>
      <c r="GG118" s="174"/>
      <c r="GH118" s="174"/>
      <c r="GI118" s="174"/>
      <c r="GJ118" s="174"/>
      <c r="GK118" s="174"/>
      <c r="GL118" s="174"/>
      <c r="GM118" s="174"/>
      <c r="GN118" s="174"/>
      <c r="GO118" s="174"/>
      <c r="GP118" s="174"/>
      <c r="GQ118" s="174"/>
      <c r="GR118" s="174"/>
      <c r="GS118" s="174"/>
      <c r="GT118" s="174"/>
      <c r="GU118" s="174"/>
      <c r="GV118" s="174"/>
      <c r="GW118" s="174"/>
      <c r="GX118" s="174"/>
      <c r="GY118" s="174"/>
      <c r="GZ118" s="174"/>
      <c r="HA118" s="174"/>
      <c r="HB118" s="174"/>
      <c r="HC118" s="174"/>
      <c r="HD118" s="174"/>
      <c r="HE118" s="174"/>
      <c r="HF118" s="174"/>
      <c r="HG118" s="174"/>
      <c r="HH118" s="174"/>
      <c r="HI118" s="174"/>
      <c r="HJ118" s="174"/>
      <c r="HK118" s="174"/>
      <c r="HL118" s="174"/>
      <c r="HM118" s="174"/>
      <c r="HN118" s="174"/>
      <c r="HO118" s="174"/>
      <c r="HP118" s="174"/>
      <c r="HQ118" s="174"/>
      <c r="HR118" s="174"/>
      <c r="HS118" s="174"/>
      <c r="HT118" s="174"/>
      <c r="HU118" s="174"/>
      <c r="HV118" s="174"/>
      <c r="HW118" s="174"/>
      <c r="HX118" s="174"/>
      <c r="HY118" s="174"/>
      <c r="HZ118" s="174"/>
      <c r="IA118" s="174"/>
      <c r="IB118" s="174"/>
      <c r="IC118" s="174"/>
      <c r="ID118" s="174"/>
      <c r="IE118" s="174"/>
      <c r="IF118" s="174"/>
      <c r="IG118" s="174"/>
      <c r="IH118" s="174"/>
      <c r="II118" s="174"/>
      <c r="IJ118" s="174"/>
      <c r="IK118" s="174"/>
      <c r="IL118" s="174"/>
      <c r="IM118" s="174"/>
      <c r="IN118" s="174"/>
      <c r="IO118" s="174"/>
      <c r="IP118" s="174"/>
      <c r="IQ118" s="174"/>
      <c r="IR118" s="174"/>
      <c r="IS118" s="174"/>
      <c r="IT118" s="174"/>
      <c r="IU118" s="174"/>
      <c r="IV118" s="174"/>
      <c r="IW118" s="174"/>
      <c r="IX118" s="174"/>
      <c r="IY118" s="174"/>
      <c r="IZ118" s="174"/>
      <c r="JA118" s="174"/>
      <c r="JB118" s="174"/>
      <c r="JC118" s="174"/>
      <c r="JD118" s="174"/>
      <c r="JE118" s="174"/>
      <c r="JF118" s="174"/>
      <c r="JG118" s="174"/>
      <c r="JH118" s="174"/>
      <c r="JI118" s="174"/>
      <c r="JJ118" s="174"/>
      <c r="JK118" s="174"/>
      <c r="JL118" s="174"/>
      <c r="JM118" s="174"/>
      <c r="JN118" s="174"/>
      <c r="JO118" s="174"/>
      <c r="JP118" s="174"/>
      <c r="JQ118" s="174"/>
      <c r="JR118" s="174"/>
      <c r="JS118" s="174"/>
      <c r="JT118" s="174"/>
      <c r="JU118" s="174"/>
      <c r="JV118" s="174"/>
    </row>
    <row r="119" spans="1:282" s="146" customFormat="1">
      <c r="A119" s="232"/>
      <c r="B119" s="173"/>
      <c r="C119" s="173"/>
      <c r="D119" s="233"/>
      <c r="E119" s="228"/>
      <c r="F119" s="234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73"/>
      <c r="AZ119" s="173"/>
      <c r="BA119" s="277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173"/>
      <c r="CC119" s="173"/>
      <c r="CD119" s="173"/>
      <c r="CE119" s="173"/>
      <c r="CF119" s="173"/>
      <c r="CG119" s="173"/>
      <c r="CH119" s="173"/>
      <c r="CI119" s="173"/>
      <c r="CJ119" s="173"/>
      <c r="CK119" s="173"/>
      <c r="CL119" s="173"/>
      <c r="CM119" s="173"/>
      <c r="CN119" s="173"/>
      <c r="CO119" s="173"/>
      <c r="CP119" s="173"/>
      <c r="CQ119" s="173"/>
      <c r="CR119" s="151"/>
      <c r="CS119" s="173"/>
      <c r="CT119" s="173"/>
      <c r="CU119" s="173"/>
      <c r="CV119" s="173"/>
      <c r="CW119" s="173"/>
      <c r="CX119" s="173"/>
      <c r="CY119" s="173"/>
      <c r="CZ119" s="173"/>
      <c r="DA119" s="150"/>
      <c r="DB119" s="150"/>
      <c r="DC119" s="150"/>
      <c r="DD119" s="150"/>
      <c r="DE119" s="150"/>
      <c r="DF119" s="150"/>
      <c r="DG119" s="150"/>
      <c r="DH119" s="150"/>
      <c r="DI119" s="150"/>
      <c r="DJ119" s="150"/>
      <c r="DK119" s="222"/>
      <c r="DL119" s="222"/>
      <c r="DM119" s="222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4"/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74"/>
      <c r="FW119" s="174"/>
      <c r="FX119" s="174"/>
      <c r="FY119" s="174"/>
      <c r="FZ119" s="174"/>
      <c r="GA119" s="174"/>
      <c r="GB119" s="174"/>
      <c r="GC119" s="174"/>
      <c r="GD119" s="174"/>
      <c r="GE119" s="174"/>
      <c r="GF119" s="174"/>
      <c r="GG119" s="174"/>
      <c r="GH119" s="174"/>
      <c r="GI119" s="174"/>
      <c r="GJ119" s="174"/>
      <c r="GK119" s="174"/>
      <c r="GL119" s="174"/>
      <c r="GM119" s="174"/>
      <c r="GN119" s="174"/>
      <c r="GO119" s="174"/>
      <c r="GP119" s="174"/>
      <c r="GQ119" s="174"/>
      <c r="GR119" s="174"/>
      <c r="GS119" s="174"/>
      <c r="GT119" s="174"/>
      <c r="GU119" s="174"/>
      <c r="GV119" s="174"/>
      <c r="GW119" s="174"/>
      <c r="GX119" s="174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4"/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4"/>
      <c r="II119" s="174"/>
      <c r="IJ119" s="174"/>
      <c r="IK119" s="174"/>
      <c r="IL119" s="174"/>
      <c r="IM119" s="174"/>
      <c r="IN119" s="174"/>
      <c r="IO119" s="174"/>
      <c r="IP119" s="174"/>
      <c r="IQ119" s="174"/>
      <c r="IR119" s="174"/>
      <c r="IS119" s="174"/>
      <c r="IT119" s="174"/>
      <c r="IU119" s="174"/>
      <c r="IV119" s="174"/>
      <c r="IW119" s="174"/>
      <c r="IX119" s="174"/>
      <c r="IY119" s="174"/>
      <c r="IZ119" s="174"/>
      <c r="JA119" s="174"/>
      <c r="JB119" s="174"/>
      <c r="JC119" s="174"/>
      <c r="JD119" s="174"/>
      <c r="JE119" s="174"/>
      <c r="JF119" s="174"/>
      <c r="JG119" s="174"/>
      <c r="JH119" s="174"/>
      <c r="JI119" s="174"/>
      <c r="JJ119" s="174"/>
      <c r="JK119" s="174"/>
      <c r="JL119" s="174"/>
      <c r="JM119" s="174"/>
      <c r="JN119" s="174"/>
      <c r="JO119" s="174"/>
      <c r="JP119" s="174"/>
      <c r="JQ119" s="174"/>
      <c r="JR119" s="174"/>
      <c r="JS119" s="174"/>
      <c r="JT119" s="174"/>
      <c r="JU119" s="174"/>
      <c r="JV119" s="174"/>
    </row>
    <row r="120" spans="1:282" s="146" customFormat="1">
      <c r="A120" s="232"/>
      <c r="B120" s="173"/>
      <c r="C120" s="173"/>
      <c r="D120" s="233"/>
      <c r="E120" s="228"/>
      <c r="F120" s="234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73"/>
      <c r="AY120" s="173"/>
      <c r="AZ120" s="173"/>
      <c r="BA120" s="277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173"/>
      <c r="CC120" s="173"/>
      <c r="CD120" s="173"/>
      <c r="CE120" s="173"/>
      <c r="CF120" s="173"/>
      <c r="CG120" s="173"/>
      <c r="CH120" s="173"/>
      <c r="CI120" s="173"/>
      <c r="CJ120" s="173"/>
      <c r="CK120" s="173"/>
      <c r="CL120" s="173"/>
      <c r="CM120" s="173"/>
      <c r="CN120" s="173"/>
      <c r="CO120" s="173"/>
      <c r="CP120" s="173"/>
      <c r="CQ120" s="173"/>
      <c r="CR120" s="151"/>
      <c r="CS120" s="173"/>
      <c r="CT120" s="173"/>
      <c r="CU120" s="173"/>
      <c r="CV120" s="173"/>
      <c r="CW120" s="173"/>
      <c r="CX120" s="173"/>
      <c r="CY120" s="173"/>
      <c r="CZ120" s="173"/>
      <c r="DA120" s="150"/>
      <c r="DB120" s="150"/>
      <c r="DC120" s="150"/>
      <c r="DD120" s="150"/>
      <c r="DE120" s="150"/>
      <c r="DF120" s="150"/>
      <c r="DG120" s="150"/>
      <c r="DH120" s="150"/>
      <c r="DI120" s="150"/>
      <c r="DJ120" s="150"/>
      <c r="DK120" s="222"/>
      <c r="DL120" s="222"/>
      <c r="DM120" s="222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4"/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  <c r="FC120" s="174"/>
      <c r="FD120" s="174"/>
      <c r="FE120" s="174"/>
      <c r="FF120" s="174"/>
      <c r="FG120" s="174"/>
      <c r="FH120" s="174"/>
      <c r="FI120" s="174"/>
      <c r="FJ120" s="174"/>
      <c r="FK120" s="174"/>
      <c r="FL120" s="174"/>
      <c r="FM120" s="174"/>
      <c r="FN120" s="174"/>
      <c r="FO120" s="174"/>
      <c r="FP120" s="174"/>
      <c r="FQ120" s="174"/>
      <c r="FR120" s="174"/>
      <c r="FS120" s="174"/>
      <c r="FT120" s="174"/>
      <c r="FU120" s="174"/>
      <c r="FV120" s="174"/>
      <c r="FW120" s="174"/>
      <c r="FX120" s="174"/>
      <c r="FY120" s="174"/>
      <c r="FZ120" s="174"/>
      <c r="GA120" s="174"/>
      <c r="GB120" s="174"/>
      <c r="GC120" s="174"/>
      <c r="GD120" s="174"/>
      <c r="GE120" s="174"/>
      <c r="GF120" s="174"/>
      <c r="GG120" s="174"/>
      <c r="GH120" s="174"/>
      <c r="GI120" s="174"/>
      <c r="GJ120" s="174"/>
      <c r="GK120" s="174"/>
      <c r="GL120" s="174"/>
      <c r="GM120" s="174"/>
      <c r="GN120" s="174"/>
      <c r="GO120" s="174"/>
      <c r="GP120" s="174"/>
      <c r="GQ120" s="174"/>
      <c r="GR120" s="174"/>
      <c r="GS120" s="174"/>
      <c r="GT120" s="174"/>
      <c r="GU120" s="174"/>
      <c r="GV120" s="174"/>
      <c r="GW120" s="174"/>
      <c r="GX120" s="174"/>
      <c r="GY120" s="174"/>
      <c r="GZ120" s="174"/>
      <c r="HA120" s="174"/>
      <c r="HB120" s="174"/>
      <c r="HC120" s="174"/>
      <c r="HD120" s="174"/>
      <c r="HE120" s="174"/>
      <c r="HF120" s="174"/>
      <c r="HG120" s="174"/>
      <c r="HH120" s="174"/>
      <c r="HI120" s="174"/>
      <c r="HJ120" s="174"/>
      <c r="HK120" s="174"/>
      <c r="HL120" s="174"/>
      <c r="HM120" s="174"/>
      <c r="HN120" s="174"/>
      <c r="HO120" s="174"/>
      <c r="HP120" s="174"/>
      <c r="HQ120" s="174"/>
      <c r="HR120" s="174"/>
      <c r="HS120" s="174"/>
      <c r="HT120" s="174"/>
      <c r="HU120" s="174"/>
      <c r="HV120" s="174"/>
      <c r="HW120" s="174"/>
      <c r="HX120" s="174"/>
      <c r="HY120" s="174"/>
      <c r="HZ120" s="174"/>
      <c r="IA120" s="174"/>
      <c r="IB120" s="174"/>
      <c r="IC120" s="174"/>
      <c r="ID120" s="174"/>
      <c r="IE120" s="174"/>
      <c r="IF120" s="174"/>
      <c r="IG120" s="174"/>
      <c r="IH120" s="174"/>
      <c r="II120" s="174"/>
      <c r="IJ120" s="174"/>
      <c r="IK120" s="174"/>
      <c r="IL120" s="174"/>
      <c r="IM120" s="174"/>
      <c r="IN120" s="174"/>
      <c r="IO120" s="174"/>
      <c r="IP120" s="174"/>
      <c r="IQ120" s="174"/>
      <c r="IR120" s="174"/>
      <c r="IS120" s="174"/>
      <c r="IT120" s="174"/>
      <c r="IU120" s="174"/>
      <c r="IV120" s="174"/>
      <c r="IW120" s="174"/>
      <c r="IX120" s="174"/>
      <c r="IY120" s="174"/>
      <c r="IZ120" s="174"/>
      <c r="JA120" s="174"/>
      <c r="JB120" s="174"/>
      <c r="JC120" s="174"/>
      <c r="JD120" s="174"/>
      <c r="JE120" s="174"/>
      <c r="JF120" s="174"/>
      <c r="JG120" s="174"/>
      <c r="JH120" s="174"/>
      <c r="JI120" s="174"/>
      <c r="JJ120" s="174"/>
      <c r="JK120" s="174"/>
      <c r="JL120" s="174"/>
      <c r="JM120" s="174"/>
      <c r="JN120" s="174"/>
      <c r="JO120" s="174"/>
      <c r="JP120" s="174"/>
      <c r="JQ120" s="174"/>
      <c r="JR120" s="174"/>
      <c r="JS120" s="174"/>
      <c r="JT120" s="174"/>
      <c r="JU120" s="174"/>
      <c r="JV120" s="174"/>
    </row>
    <row r="121" spans="1:282" s="146" customFormat="1">
      <c r="A121" s="232"/>
      <c r="B121" s="173"/>
      <c r="C121" s="173"/>
      <c r="D121" s="233"/>
      <c r="E121" s="228"/>
      <c r="F121" s="234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  <c r="AT121" s="173"/>
      <c r="AU121" s="173"/>
      <c r="AV121" s="173"/>
      <c r="AW121" s="173"/>
      <c r="AX121" s="173"/>
      <c r="AY121" s="173"/>
      <c r="AZ121" s="173"/>
      <c r="BA121" s="276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73"/>
      <c r="CC121" s="173"/>
      <c r="CD121" s="173"/>
      <c r="CE121" s="173"/>
      <c r="CF121" s="173"/>
      <c r="CG121" s="173"/>
      <c r="CH121" s="173"/>
      <c r="CI121" s="173"/>
      <c r="CJ121" s="173"/>
      <c r="CK121" s="173"/>
      <c r="CL121" s="173"/>
      <c r="CM121" s="173"/>
      <c r="CN121" s="173"/>
      <c r="CO121" s="173"/>
      <c r="CP121" s="173"/>
      <c r="CQ121" s="173"/>
      <c r="CR121" s="151"/>
      <c r="CS121" s="173"/>
      <c r="CT121" s="173"/>
      <c r="CU121" s="173"/>
      <c r="CV121" s="173"/>
      <c r="CW121" s="173"/>
      <c r="CX121" s="173"/>
      <c r="CY121" s="173"/>
      <c r="CZ121" s="173"/>
      <c r="DA121" s="222"/>
      <c r="DB121" s="222"/>
      <c r="DC121" s="222"/>
      <c r="DD121" s="222"/>
      <c r="DE121" s="222"/>
      <c r="DF121" s="222"/>
      <c r="DG121" s="222"/>
      <c r="DH121" s="222"/>
      <c r="DI121" s="222"/>
      <c r="DJ121" s="222"/>
      <c r="DK121" s="222"/>
      <c r="DL121" s="222"/>
      <c r="DM121" s="222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4"/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  <c r="FC121" s="174"/>
      <c r="FD121" s="174"/>
      <c r="FE121" s="174"/>
      <c r="FF121" s="174"/>
      <c r="FG121" s="174"/>
      <c r="FH121" s="174"/>
      <c r="FI121" s="174"/>
      <c r="FJ121" s="174"/>
      <c r="FK121" s="174"/>
      <c r="FL121" s="174"/>
      <c r="FM121" s="174"/>
      <c r="FN121" s="174"/>
      <c r="FO121" s="174"/>
      <c r="FP121" s="174"/>
      <c r="FQ121" s="174"/>
      <c r="FR121" s="174"/>
      <c r="FS121" s="174"/>
      <c r="FT121" s="174"/>
      <c r="FU121" s="174"/>
      <c r="FV121" s="174"/>
      <c r="FW121" s="174"/>
      <c r="FX121" s="174"/>
      <c r="FY121" s="174"/>
      <c r="FZ121" s="174"/>
      <c r="GA121" s="174"/>
      <c r="GB121" s="174"/>
      <c r="GC121" s="174"/>
      <c r="GD121" s="174"/>
      <c r="GE121" s="174"/>
      <c r="GF121" s="174"/>
      <c r="GG121" s="174"/>
      <c r="GH121" s="174"/>
      <c r="GI121" s="174"/>
      <c r="GJ121" s="174"/>
      <c r="GK121" s="174"/>
      <c r="GL121" s="174"/>
      <c r="GM121" s="174"/>
      <c r="GN121" s="174"/>
      <c r="GO121" s="174"/>
      <c r="GP121" s="174"/>
      <c r="GQ121" s="174"/>
      <c r="GR121" s="174"/>
      <c r="GS121" s="174"/>
      <c r="GT121" s="174"/>
      <c r="GU121" s="174"/>
      <c r="GV121" s="174"/>
      <c r="GW121" s="174"/>
      <c r="GX121" s="174"/>
      <c r="GY121" s="174"/>
      <c r="GZ121" s="174"/>
      <c r="HA121" s="174"/>
      <c r="HB121" s="174"/>
      <c r="HC121" s="174"/>
      <c r="HD121" s="174"/>
      <c r="HE121" s="174"/>
      <c r="HF121" s="174"/>
      <c r="HG121" s="174"/>
      <c r="HH121" s="174"/>
      <c r="HI121" s="174"/>
      <c r="HJ121" s="174"/>
      <c r="HK121" s="174"/>
      <c r="HL121" s="174"/>
      <c r="HM121" s="174"/>
      <c r="HN121" s="174"/>
      <c r="HO121" s="174"/>
      <c r="HP121" s="174"/>
      <c r="HQ121" s="174"/>
      <c r="HR121" s="174"/>
      <c r="HS121" s="174"/>
      <c r="HT121" s="174"/>
      <c r="HU121" s="174"/>
      <c r="HV121" s="174"/>
      <c r="HW121" s="174"/>
      <c r="HX121" s="174"/>
      <c r="HY121" s="174"/>
      <c r="HZ121" s="174"/>
      <c r="IA121" s="174"/>
      <c r="IB121" s="174"/>
      <c r="IC121" s="174"/>
      <c r="ID121" s="174"/>
      <c r="IE121" s="174"/>
      <c r="IF121" s="174"/>
      <c r="IG121" s="174"/>
      <c r="IH121" s="174"/>
      <c r="II121" s="174"/>
      <c r="IJ121" s="174"/>
      <c r="IK121" s="174"/>
      <c r="IL121" s="174"/>
      <c r="IM121" s="174"/>
      <c r="IN121" s="174"/>
      <c r="IO121" s="174"/>
      <c r="IP121" s="174"/>
      <c r="IQ121" s="174"/>
      <c r="IR121" s="174"/>
      <c r="IS121" s="174"/>
      <c r="IT121" s="174"/>
      <c r="IU121" s="174"/>
      <c r="IV121" s="174"/>
      <c r="IW121" s="174"/>
      <c r="IX121" s="174"/>
      <c r="IY121" s="174"/>
      <c r="IZ121" s="174"/>
      <c r="JA121" s="174"/>
      <c r="JB121" s="174"/>
      <c r="JC121" s="174"/>
      <c r="JD121" s="174"/>
      <c r="JE121" s="174"/>
      <c r="JF121" s="174"/>
      <c r="JG121" s="174"/>
      <c r="JH121" s="174"/>
      <c r="JI121" s="174"/>
      <c r="JJ121" s="174"/>
      <c r="JK121" s="174"/>
      <c r="JL121" s="174"/>
      <c r="JM121" s="174"/>
      <c r="JN121" s="174"/>
      <c r="JO121" s="174"/>
      <c r="JP121" s="174"/>
      <c r="JQ121" s="174"/>
      <c r="JR121" s="174"/>
      <c r="JS121" s="174"/>
      <c r="JT121" s="174"/>
      <c r="JU121" s="174"/>
      <c r="JV121" s="174"/>
    </row>
    <row r="122" spans="1:282" s="146" customFormat="1">
      <c r="A122" s="232"/>
      <c r="B122" s="173"/>
      <c r="C122" s="173"/>
      <c r="D122" s="233"/>
      <c r="E122" s="228"/>
      <c r="F122" s="234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3"/>
      <c r="AT122" s="173"/>
      <c r="AU122" s="173"/>
      <c r="AV122" s="173"/>
      <c r="AW122" s="173"/>
      <c r="AX122" s="173"/>
      <c r="AY122" s="173"/>
      <c r="AZ122" s="173"/>
      <c r="BA122" s="277"/>
      <c r="BB122" s="173"/>
      <c r="BC122" s="173"/>
      <c r="BD122" s="173"/>
      <c r="BE122" s="173"/>
      <c r="BF122" s="173"/>
      <c r="BG122" s="173"/>
      <c r="BH122" s="173"/>
      <c r="BI122" s="173"/>
      <c r="BJ122" s="173"/>
      <c r="BK122" s="173"/>
      <c r="BL122" s="173"/>
      <c r="BM122" s="173"/>
      <c r="BN122" s="173"/>
      <c r="BO122" s="173"/>
      <c r="BP122" s="173"/>
      <c r="BQ122" s="173"/>
      <c r="BR122" s="173"/>
      <c r="BS122" s="173"/>
      <c r="BT122" s="173"/>
      <c r="BU122" s="173"/>
      <c r="BV122" s="173"/>
      <c r="BW122" s="173"/>
      <c r="BX122" s="173"/>
      <c r="BY122" s="173"/>
      <c r="BZ122" s="173"/>
      <c r="CA122" s="173"/>
      <c r="CB122" s="173"/>
      <c r="CC122" s="173"/>
      <c r="CD122" s="173"/>
      <c r="CE122" s="173"/>
      <c r="CF122" s="173"/>
      <c r="CG122" s="173"/>
      <c r="CH122" s="173"/>
      <c r="CI122" s="173"/>
      <c r="CJ122" s="173"/>
      <c r="CK122" s="173"/>
      <c r="CL122" s="173"/>
      <c r="CM122" s="173"/>
      <c r="CN122" s="173"/>
      <c r="CO122" s="173"/>
      <c r="CP122" s="173"/>
      <c r="CQ122" s="173"/>
      <c r="CR122" s="151"/>
      <c r="CS122" s="173"/>
      <c r="CT122" s="173"/>
      <c r="CU122" s="173"/>
      <c r="CV122" s="173"/>
      <c r="CW122" s="173"/>
      <c r="CX122" s="173"/>
      <c r="CY122" s="173"/>
      <c r="CZ122" s="173"/>
      <c r="DA122" s="150"/>
      <c r="DB122" s="150"/>
      <c r="DC122" s="150"/>
      <c r="DD122" s="150"/>
      <c r="DE122" s="150"/>
      <c r="DF122" s="150"/>
      <c r="DG122" s="150"/>
      <c r="DH122" s="150"/>
      <c r="DI122" s="150"/>
      <c r="DJ122" s="150"/>
      <c r="DK122" s="222"/>
      <c r="DL122" s="222"/>
      <c r="DM122" s="222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4"/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  <c r="FC122" s="174"/>
      <c r="FD122" s="174"/>
      <c r="FE122" s="174"/>
      <c r="FF122" s="174"/>
      <c r="FG122" s="174"/>
      <c r="FH122" s="174"/>
      <c r="FI122" s="174"/>
      <c r="FJ122" s="174"/>
      <c r="FK122" s="174"/>
      <c r="FL122" s="174"/>
      <c r="FM122" s="174"/>
      <c r="FN122" s="174"/>
      <c r="FO122" s="174"/>
      <c r="FP122" s="174"/>
      <c r="FQ122" s="174"/>
      <c r="FR122" s="174"/>
      <c r="FS122" s="174"/>
      <c r="FT122" s="174"/>
      <c r="FU122" s="174"/>
      <c r="FV122" s="174"/>
      <c r="FW122" s="174"/>
      <c r="FX122" s="174"/>
      <c r="FY122" s="174"/>
      <c r="FZ122" s="174"/>
      <c r="GA122" s="174"/>
      <c r="GB122" s="174"/>
      <c r="GC122" s="174"/>
      <c r="GD122" s="174"/>
      <c r="GE122" s="174"/>
      <c r="GF122" s="174"/>
      <c r="GG122" s="174"/>
      <c r="GH122" s="174"/>
      <c r="GI122" s="174"/>
      <c r="GJ122" s="174"/>
      <c r="GK122" s="174"/>
      <c r="GL122" s="174"/>
      <c r="GM122" s="174"/>
      <c r="GN122" s="174"/>
      <c r="GO122" s="174"/>
      <c r="GP122" s="174"/>
      <c r="GQ122" s="174"/>
      <c r="GR122" s="174"/>
      <c r="GS122" s="174"/>
      <c r="GT122" s="174"/>
      <c r="GU122" s="174"/>
      <c r="GV122" s="174"/>
      <c r="GW122" s="174"/>
      <c r="GX122" s="174"/>
      <c r="GY122" s="174"/>
      <c r="GZ122" s="174"/>
      <c r="HA122" s="174"/>
      <c r="HB122" s="174"/>
      <c r="HC122" s="174"/>
      <c r="HD122" s="174"/>
      <c r="HE122" s="174"/>
      <c r="HF122" s="174"/>
      <c r="HG122" s="174"/>
      <c r="HH122" s="174"/>
      <c r="HI122" s="174"/>
      <c r="HJ122" s="174"/>
      <c r="HK122" s="174"/>
      <c r="HL122" s="174"/>
      <c r="HM122" s="174"/>
      <c r="HN122" s="174"/>
      <c r="HO122" s="174"/>
      <c r="HP122" s="174"/>
      <c r="HQ122" s="174"/>
      <c r="HR122" s="174"/>
      <c r="HS122" s="174"/>
      <c r="HT122" s="174"/>
      <c r="HU122" s="174"/>
      <c r="HV122" s="174"/>
      <c r="HW122" s="174"/>
      <c r="HX122" s="174"/>
      <c r="HY122" s="174"/>
      <c r="HZ122" s="174"/>
      <c r="IA122" s="174"/>
      <c r="IB122" s="174"/>
      <c r="IC122" s="174"/>
      <c r="ID122" s="174"/>
      <c r="IE122" s="174"/>
      <c r="IF122" s="174"/>
      <c r="IG122" s="174"/>
      <c r="IH122" s="174"/>
      <c r="II122" s="174"/>
      <c r="IJ122" s="174"/>
      <c r="IK122" s="174"/>
      <c r="IL122" s="174"/>
      <c r="IM122" s="174"/>
      <c r="IN122" s="174"/>
      <c r="IO122" s="174"/>
      <c r="IP122" s="174"/>
      <c r="IQ122" s="174"/>
      <c r="IR122" s="174"/>
      <c r="IS122" s="174"/>
      <c r="IT122" s="174"/>
      <c r="IU122" s="174"/>
      <c r="IV122" s="174"/>
      <c r="IW122" s="174"/>
      <c r="IX122" s="174"/>
      <c r="IY122" s="174"/>
      <c r="IZ122" s="174"/>
      <c r="JA122" s="174"/>
      <c r="JB122" s="174"/>
      <c r="JC122" s="174"/>
      <c r="JD122" s="174"/>
      <c r="JE122" s="174"/>
      <c r="JF122" s="174"/>
      <c r="JG122" s="174"/>
      <c r="JH122" s="174"/>
      <c r="JI122" s="174"/>
      <c r="JJ122" s="174"/>
      <c r="JK122" s="174"/>
      <c r="JL122" s="174"/>
      <c r="JM122" s="174"/>
      <c r="JN122" s="174"/>
      <c r="JO122" s="174"/>
      <c r="JP122" s="174"/>
      <c r="JQ122" s="174"/>
      <c r="JR122" s="174"/>
      <c r="JS122" s="174"/>
      <c r="JT122" s="174"/>
      <c r="JU122" s="174"/>
      <c r="JV122" s="174"/>
    </row>
    <row r="123" spans="1:282" s="146" customFormat="1">
      <c r="A123" s="232"/>
      <c r="B123" s="173"/>
      <c r="C123" s="173"/>
      <c r="D123" s="233"/>
      <c r="E123" s="228"/>
      <c r="F123" s="234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228"/>
      <c r="AV123" s="173"/>
      <c r="AW123" s="173"/>
      <c r="AX123" s="173"/>
      <c r="AY123" s="173"/>
      <c r="AZ123" s="173"/>
      <c r="BA123" s="277"/>
      <c r="BB123" s="173"/>
      <c r="BC123" s="173"/>
      <c r="BD123" s="173"/>
      <c r="BE123" s="173"/>
      <c r="BF123" s="173"/>
      <c r="BG123" s="173"/>
      <c r="BH123" s="173"/>
      <c r="BI123" s="173"/>
      <c r="BJ123" s="173"/>
      <c r="BK123" s="173"/>
      <c r="BL123" s="173"/>
      <c r="BM123" s="173"/>
      <c r="BN123" s="173"/>
      <c r="BO123" s="173"/>
      <c r="BP123" s="173"/>
      <c r="BQ123" s="173"/>
      <c r="BR123" s="173"/>
      <c r="BS123" s="173"/>
      <c r="BT123" s="173"/>
      <c r="BU123" s="173"/>
      <c r="BV123" s="173"/>
      <c r="BW123" s="173"/>
      <c r="BX123" s="173"/>
      <c r="BY123" s="173"/>
      <c r="BZ123" s="173"/>
      <c r="CA123" s="173"/>
      <c r="CB123" s="173"/>
      <c r="CC123" s="173"/>
      <c r="CD123" s="173"/>
      <c r="CE123" s="173"/>
      <c r="CF123" s="173"/>
      <c r="CG123" s="173"/>
      <c r="CH123" s="173"/>
      <c r="CI123" s="173"/>
      <c r="CJ123" s="173"/>
      <c r="CK123" s="173"/>
      <c r="CL123" s="173"/>
      <c r="CM123" s="173"/>
      <c r="CN123" s="173"/>
      <c r="CO123" s="173"/>
      <c r="CP123" s="173"/>
      <c r="CQ123" s="173"/>
      <c r="CR123" s="151"/>
      <c r="CS123" s="173"/>
      <c r="CT123" s="173"/>
      <c r="CU123" s="173"/>
      <c r="CV123" s="173"/>
      <c r="CW123" s="173"/>
      <c r="CX123" s="173"/>
      <c r="CY123" s="173"/>
      <c r="CZ123" s="173"/>
      <c r="DA123" s="150"/>
      <c r="DB123" s="150"/>
      <c r="DC123" s="150"/>
      <c r="DD123" s="150"/>
      <c r="DE123" s="150"/>
      <c r="DF123" s="150"/>
      <c r="DG123" s="150"/>
      <c r="DH123" s="150"/>
      <c r="DI123" s="150"/>
      <c r="DJ123" s="150"/>
      <c r="DK123" s="222"/>
      <c r="DL123" s="222"/>
      <c r="DM123" s="222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  <c r="FC123" s="174"/>
      <c r="FD123" s="174"/>
      <c r="FE123" s="174"/>
      <c r="FF123" s="174"/>
      <c r="FG123" s="174"/>
      <c r="FH123" s="174"/>
      <c r="FI123" s="174"/>
      <c r="FJ123" s="174"/>
      <c r="FK123" s="174"/>
      <c r="FL123" s="174"/>
      <c r="FM123" s="174"/>
      <c r="FN123" s="174"/>
      <c r="FO123" s="174"/>
      <c r="FP123" s="174"/>
      <c r="FQ123" s="174"/>
      <c r="FR123" s="174"/>
      <c r="FS123" s="174"/>
      <c r="FT123" s="174"/>
      <c r="FU123" s="174"/>
      <c r="FV123" s="174"/>
      <c r="FW123" s="174"/>
      <c r="FX123" s="174"/>
      <c r="FY123" s="174"/>
      <c r="FZ123" s="174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4"/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U123" s="174"/>
      <c r="GV123" s="174"/>
      <c r="GW123" s="174"/>
      <c r="GX123" s="174"/>
      <c r="GY123" s="174"/>
      <c r="GZ123" s="174"/>
      <c r="HA123" s="174"/>
      <c r="HB123" s="174"/>
      <c r="HC123" s="174"/>
      <c r="HD123" s="174"/>
      <c r="HE123" s="174"/>
      <c r="HF123" s="174"/>
      <c r="HG123" s="174"/>
      <c r="HH123" s="174"/>
      <c r="HI123" s="174"/>
      <c r="HJ123" s="174"/>
      <c r="HK123" s="174"/>
      <c r="HL123" s="174"/>
      <c r="HM123" s="174"/>
      <c r="HN123" s="174"/>
      <c r="HO123" s="174"/>
      <c r="HP123" s="174"/>
      <c r="HQ123" s="174"/>
      <c r="HR123" s="174"/>
      <c r="HS123" s="174"/>
      <c r="HT123" s="174"/>
      <c r="HU123" s="174"/>
      <c r="HV123" s="174"/>
      <c r="HW123" s="174"/>
      <c r="HX123" s="174"/>
      <c r="HY123" s="174"/>
      <c r="HZ123" s="174"/>
      <c r="IA123" s="174"/>
      <c r="IB123" s="174"/>
      <c r="IC123" s="174"/>
      <c r="ID123" s="174"/>
      <c r="IE123" s="174"/>
      <c r="IF123" s="174"/>
      <c r="IG123" s="174"/>
      <c r="IH123" s="174"/>
      <c r="II123" s="174"/>
      <c r="IJ123" s="174"/>
      <c r="IK123" s="174"/>
      <c r="IL123" s="174"/>
      <c r="IM123" s="174"/>
      <c r="IN123" s="174"/>
      <c r="IO123" s="174"/>
      <c r="IP123" s="174"/>
      <c r="IQ123" s="174"/>
      <c r="IR123" s="174"/>
      <c r="IS123" s="174"/>
      <c r="IT123" s="174"/>
      <c r="IU123" s="174"/>
      <c r="IV123" s="174"/>
      <c r="IW123" s="174"/>
      <c r="IX123" s="174"/>
      <c r="IY123" s="174"/>
      <c r="IZ123" s="174"/>
      <c r="JA123" s="174"/>
      <c r="JB123" s="174"/>
      <c r="JC123" s="174"/>
      <c r="JD123" s="174"/>
      <c r="JE123" s="174"/>
      <c r="JF123" s="174"/>
      <c r="JG123" s="174"/>
      <c r="JH123" s="174"/>
      <c r="JI123" s="174"/>
      <c r="JJ123" s="174"/>
      <c r="JK123" s="174"/>
      <c r="JL123" s="174"/>
      <c r="JM123" s="174"/>
      <c r="JN123" s="174"/>
      <c r="JO123" s="174"/>
      <c r="JP123" s="174"/>
      <c r="JQ123" s="174"/>
      <c r="JR123" s="174"/>
      <c r="JS123" s="174"/>
      <c r="JT123" s="174"/>
      <c r="JU123" s="174"/>
      <c r="JV123" s="174"/>
    </row>
    <row r="124" spans="1:282" s="146" customFormat="1">
      <c r="A124" s="232"/>
      <c r="B124" s="173"/>
      <c r="C124" s="173"/>
      <c r="D124" s="233"/>
      <c r="E124" s="228"/>
      <c r="F124" s="234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3"/>
      <c r="AT124" s="173"/>
      <c r="AU124" s="173"/>
      <c r="AV124" s="173"/>
      <c r="AW124" s="173"/>
      <c r="AX124" s="173"/>
      <c r="AY124" s="173"/>
      <c r="AZ124" s="173"/>
      <c r="BA124" s="277"/>
      <c r="BB124" s="173"/>
      <c r="BC124" s="173"/>
      <c r="BD124" s="173"/>
      <c r="BE124" s="173"/>
      <c r="BF124" s="173"/>
      <c r="BG124" s="173"/>
      <c r="BH124" s="173"/>
      <c r="BI124" s="173"/>
      <c r="BJ124" s="173"/>
      <c r="BK124" s="173"/>
      <c r="BL124" s="173"/>
      <c r="BM124" s="173"/>
      <c r="BN124" s="173"/>
      <c r="BO124" s="173"/>
      <c r="BP124" s="173"/>
      <c r="BQ124" s="173"/>
      <c r="BR124" s="173"/>
      <c r="BS124" s="173"/>
      <c r="BT124" s="173"/>
      <c r="BU124" s="173"/>
      <c r="BV124" s="173"/>
      <c r="BW124" s="173"/>
      <c r="BX124" s="173"/>
      <c r="BY124" s="173"/>
      <c r="BZ124" s="173"/>
      <c r="CA124" s="173"/>
      <c r="CB124" s="173"/>
      <c r="CC124" s="173"/>
      <c r="CD124" s="173"/>
      <c r="CE124" s="173"/>
      <c r="CF124" s="173"/>
      <c r="CG124" s="173"/>
      <c r="CH124" s="173"/>
      <c r="CI124" s="173"/>
      <c r="CJ124" s="173"/>
      <c r="CK124" s="173"/>
      <c r="CL124" s="173"/>
      <c r="CM124" s="173"/>
      <c r="CN124" s="173"/>
      <c r="CO124" s="173"/>
      <c r="CP124" s="173"/>
      <c r="CQ124" s="173"/>
      <c r="CR124" s="151"/>
      <c r="CS124" s="173"/>
      <c r="CT124" s="173"/>
      <c r="CU124" s="173"/>
      <c r="CV124" s="173"/>
      <c r="CW124" s="173"/>
      <c r="CX124" s="173"/>
      <c r="CY124" s="173"/>
      <c r="CZ124" s="173"/>
      <c r="DA124" s="222"/>
      <c r="DB124" s="222"/>
      <c r="DC124" s="222"/>
      <c r="DD124" s="222"/>
      <c r="DE124" s="222"/>
      <c r="DF124" s="222"/>
      <c r="DG124" s="222"/>
      <c r="DH124" s="222"/>
      <c r="DI124" s="222"/>
      <c r="DJ124" s="222"/>
      <c r="DK124" s="222"/>
      <c r="DL124" s="222"/>
      <c r="DM124" s="222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74"/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  <c r="FC124" s="174"/>
      <c r="FD124" s="174"/>
      <c r="FE124" s="174"/>
      <c r="FF124" s="174"/>
      <c r="FG124" s="174"/>
      <c r="FH124" s="174"/>
      <c r="FI124" s="174"/>
      <c r="FJ124" s="174"/>
      <c r="FK124" s="174"/>
      <c r="FL124" s="174"/>
      <c r="FM124" s="174"/>
      <c r="FN124" s="174"/>
      <c r="FO124" s="174"/>
      <c r="FP124" s="174"/>
      <c r="FQ124" s="174"/>
      <c r="FR124" s="174"/>
      <c r="FS124" s="174"/>
      <c r="FT124" s="174"/>
      <c r="FU124" s="174"/>
      <c r="FV124" s="174"/>
      <c r="FW124" s="174"/>
      <c r="FX124" s="174"/>
      <c r="FY124" s="174"/>
      <c r="FZ124" s="174"/>
      <c r="GA124" s="174"/>
      <c r="GB124" s="174"/>
      <c r="GC124" s="174"/>
      <c r="GD124" s="174"/>
      <c r="GE124" s="174"/>
      <c r="GF124" s="174"/>
      <c r="GG124" s="174"/>
      <c r="GH124" s="174"/>
      <c r="GI124" s="174"/>
      <c r="GJ124" s="174"/>
      <c r="GK124" s="174"/>
      <c r="GL124" s="174"/>
      <c r="GM124" s="174"/>
      <c r="GN124" s="174"/>
      <c r="GO124" s="174"/>
      <c r="GP124" s="174"/>
      <c r="GQ124" s="174"/>
      <c r="GR124" s="174"/>
      <c r="GS124" s="174"/>
      <c r="GT124" s="174"/>
      <c r="GU124" s="174"/>
      <c r="GV124" s="174"/>
      <c r="GW124" s="174"/>
      <c r="GX124" s="174"/>
      <c r="GY124" s="174"/>
      <c r="GZ124" s="174"/>
      <c r="HA124" s="174"/>
      <c r="HB124" s="174"/>
      <c r="HC124" s="174"/>
      <c r="HD124" s="174"/>
      <c r="HE124" s="174"/>
      <c r="HF124" s="174"/>
      <c r="HG124" s="174"/>
      <c r="HH124" s="174"/>
      <c r="HI124" s="174"/>
      <c r="HJ124" s="174"/>
      <c r="HK124" s="174"/>
      <c r="HL124" s="174"/>
      <c r="HM124" s="174"/>
      <c r="HN124" s="174"/>
      <c r="HO124" s="174"/>
      <c r="HP124" s="174"/>
      <c r="HQ124" s="174"/>
      <c r="HR124" s="174"/>
      <c r="HS124" s="174"/>
      <c r="HT124" s="174"/>
      <c r="HU124" s="174"/>
      <c r="HV124" s="174"/>
      <c r="HW124" s="174"/>
      <c r="HX124" s="174"/>
      <c r="HY124" s="174"/>
      <c r="HZ124" s="174"/>
      <c r="IA124" s="174"/>
      <c r="IB124" s="174"/>
      <c r="IC124" s="174"/>
      <c r="ID124" s="174"/>
      <c r="IE124" s="174"/>
      <c r="IF124" s="174"/>
      <c r="IG124" s="174"/>
      <c r="IH124" s="174"/>
      <c r="II124" s="174"/>
      <c r="IJ124" s="174"/>
      <c r="IK124" s="174"/>
      <c r="IL124" s="174"/>
      <c r="IM124" s="174"/>
      <c r="IN124" s="174"/>
      <c r="IO124" s="174"/>
      <c r="IP124" s="174"/>
      <c r="IQ124" s="174"/>
      <c r="IR124" s="174"/>
      <c r="IS124" s="174"/>
      <c r="IT124" s="174"/>
      <c r="IU124" s="174"/>
      <c r="IV124" s="174"/>
      <c r="IW124" s="174"/>
      <c r="IX124" s="174"/>
      <c r="IY124" s="174"/>
      <c r="IZ124" s="174"/>
      <c r="JA124" s="174"/>
      <c r="JB124" s="174"/>
      <c r="JC124" s="174"/>
      <c r="JD124" s="174"/>
      <c r="JE124" s="174"/>
      <c r="JF124" s="174"/>
      <c r="JG124" s="174"/>
      <c r="JH124" s="174"/>
      <c r="JI124" s="174"/>
      <c r="JJ124" s="174"/>
      <c r="JK124" s="174"/>
      <c r="JL124" s="174"/>
      <c r="JM124" s="174"/>
      <c r="JN124" s="174"/>
      <c r="JO124" s="174"/>
      <c r="JP124" s="174"/>
      <c r="JQ124" s="174"/>
      <c r="JR124" s="174"/>
      <c r="JS124" s="174"/>
      <c r="JT124" s="174"/>
      <c r="JU124" s="174"/>
      <c r="JV124" s="174"/>
    </row>
    <row r="125" spans="1:282" s="146" customFormat="1">
      <c r="A125" s="232"/>
      <c r="B125" s="173"/>
      <c r="C125" s="173"/>
      <c r="D125" s="233"/>
      <c r="E125" s="228"/>
      <c r="F125" s="234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277"/>
      <c r="BB125" s="173"/>
      <c r="BC125" s="173"/>
      <c r="BD125" s="173"/>
      <c r="BE125" s="173"/>
      <c r="BF125" s="173"/>
      <c r="BG125" s="173"/>
      <c r="BH125" s="173"/>
      <c r="BI125" s="173"/>
      <c r="BJ125" s="173"/>
      <c r="BK125" s="173"/>
      <c r="BL125" s="173"/>
      <c r="BM125" s="173"/>
      <c r="BN125" s="173"/>
      <c r="BO125" s="173"/>
      <c r="BP125" s="173"/>
      <c r="BQ125" s="173"/>
      <c r="BR125" s="173"/>
      <c r="BS125" s="173"/>
      <c r="BT125" s="173"/>
      <c r="BU125" s="173"/>
      <c r="BV125" s="173"/>
      <c r="BW125" s="173"/>
      <c r="BX125" s="173"/>
      <c r="BY125" s="173"/>
      <c r="BZ125" s="173"/>
      <c r="CA125" s="173"/>
      <c r="CB125" s="173"/>
      <c r="CC125" s="173"/>
      <c r="CD125" s="173"/>
      <c r="CE125" s="173"/>
      <c r="CF125" s="173"/>
      <c r="CG125" s="173"/>
      <c r="CH125" s="173"/>
      <c r="CI125" s="173"/>
      <c r="CJ125" s="173"/>
      <c r="CK125" s="173"/>
      <c r="CL125" s="173"/>
      <c r="CM125" s="173"/>
      <c r="CN125" s="173"/>
      <c r="CO125" s="173"/>
      <c r="CP125" s="173"/>
      <c r="CQ125" s="173"/>
      <c r="CR125" s="151"/>
      <c r="CS125" s="173"/>
      <c r="CT125" s="173"/>
      <c r="CU125" s="173"/>
      <c r="CV125" s="173"/>
      <c r="CW125" s="173"/>
      <c r="CX125" s="173"/>
      <c r="CY125" s="173"/>
      <c r="CZ125" s="173"/>
      <c r="DA125" s="222"/>
      <c r="DB125" s="222"/>
      <c r="DC125" s="222"/>
      <c r="DD125" s="222"/>
      <c r="DE125" s="222"/>
      <c r="DF125" s="222"/>
      <c r="DG125" s="222"/>
      <c r="DH125" s="222"/>
      <c r="DI125" s="222"/>
      <c r="DJ125" s="222"/>
      <c r="DK125" s="222"/>
      <c r="DL125" s="222"/>
      <c r="DM125" s="222"/>
      <c r="DN125" s="174"/>
      <c r="DO125" s="174"/>
      <c r="DP125" s="174"/>
      <c r="DQ125" s="174"/>
      <c r="DR125" s="174"/>
      <c r="DS125" s="174"/>
      <c r="DT125" s="174"/>
      <c r="DU125" s="174"/>
      <c r="DV125" s="174"/>
      <c r="DW125" s="174"/>
      <c r="DX125" s="174"/>
      <c r="DY125" s="174"/>
      <c r="DZ125" s="174"/>
      <c r="EA125" s="174"/>
      <c r="EB125" s="174"/>
      <c r="EC125" s="174"/>
      <c r="ED125" s="174"/>
      <c r="EE125" s="174"/>
      <c r="EF125" s="174"/>
      <c r="EG125" s="174"/>
      <c r="EH125" s="174"/>
      <c r="EI125" s="174"/>
      <c r="EJ125" s="174"/>
      <c r="EK125" s="174"/>
      <c r="EL125" s="174"/>
      <c r="EM125" s="174"/>
      <c r="EN125" s="174"/>
      <c r="EO125" s="174"/>
      <c r="EP125" s="174"/>
      <c r="EQ125" s="174"/>
      <c r="ER125" s="174"/>
      <c r="ES125" s="174"/>
      <c r="ET125" s="174"/>
      <c r="EU125" s="174"/>
      <c r="EV125" s="174"/>
      <c r="EW125" s="174"/>
      <c r="EX125" s="174"/>
      <c r="EY125" s="174"/>
      <c r="EZ125" s="174"/>
      <c r="FA125" s="174"/>
      <c r="FB125" s="174"/>
      <c r="FC125" s="174"/>
      <c r="FD125" s="174"/>
      <c r="FE125" s="174"/>
      <c r="FF125" s="174"/>
      <c r="FG125" s="174"/>
      <c r="FH125" s="174"/>
      <c r="FI125" s="174"/>
      <c r="FJ125" s="174"/>
      <c r="FK125" s="174"/>
      <c r="FL125" s="174"/>
      <c r="FM125" s="174"/>
      <c r="FN125" s="174"/>
      <c r="FO125" s="174"/>
      <c r="FP125" s="174"/>
      <c r="FQ125" s="174"/>
      <c r="FR125" s="174"/>
      <c r="FS125" s="174"/>
      <c r="FT125" s="174"/>
      <c r="FU125" s="174"/>
      <c r="FV125" s="174"/>
      <c r="FW125" s="174"/>
      <c r="FX125" s="174"/>
      <c r="FY125" s="174"/>
      <c r="FZ125" s="174"/>
      <c r="GA125" s="174"/>
      <c r="GB125" s="174"/>
      <c r="GC125" s="174"/>
      <c r="GD125" s="174"/>
      <c r="GE125" s="174"/>
      <c r="GF125" s="174"/>
      <c r="GG125" s="174"/>
      <c r="GH125" s="174"/>
      <c r="GI125" s="174"/>
      <c r="GJ125" s="174"/>
      <c r="GK125" s="174"/>
      <c r="GL125" s="174"/>
      <c r="GM125" s="174"/>
      <c r="GN125" s="174"/>
      <c r="GO125" s="174"/>
      <c r="GP125" s="174"/>
      <c r="GQ125" s="174"/>
      <c r="GR125" s="174"/>
      <c r="GS125" s="174"/>
      <c r="GT125" s="174"/>
      <c r="GU125" s="174"/>
      <c r="GV125" s="174"/>
      <c r="GW125" s="174"/>
      <c r="GX125" s="174"/>
      <c r="GY125" s="174"/>
      <c r="GZ125" s="174"/>
      <c r="HA125" s="174"/>
      <c r="HB125" s="174"/>
      <c r="HC125" s="174"/>
      <c r="HD125" s="174"/>
      <c r="HE125" s="174"/>
      <c r="HF125" s="174"/>
      <c r="HG125" s="174"/>
      <c r="HH125" s="174"/>
      <c r="HI125" s="174"/>
      <c r="HJ125" s="174"/>
      <c r="HK125" s="174"/>
      <c r="HL125" s="174"/>
      <c r="HM125" s="174"/>
      <c r="HN125" s="174"/>
      <c r="HO125" s="174"/>
      <c r="HP125" s="174"/>
      <c r="HQ125" s="174"/>
      <c r="HR125" s="174"/>
      <c r="HS125" s="174"/>
      <c r="HT125" s="174"/>
      <c r="HU125" s="174"/>
      <c r="HV125" s="174"/>
      <c r="HW125" s="174"/>
      <c r="HX125" s="174"/>
      <c r="HY125" s="174"/>
      <c r="HZ125" s="174"/>
      <c r="IA125" s="174"/>
      <c r="IB125" s="174"/>
      <c r="IC125" s="174"/>
      <c r="ID125" s="174"/>
      <c r="IE125" s="174"/>
      <c r="IF125" s="174"/>
      <c r="IG125" s="174"/>
      <c r="IH125" s="174"/>
      <c r="II125" s="174"/>
      <c r="IJ125" s="174"/>
      <c r="IK125" s="174"/>
      <c r="IL125" s="174"/>
      <c r="IM125" s="174"/>
      <c r="IN125" s="174"/>
      <c r="IO125" s="174"/>
      <c r="IP125" s="174"/>
      <c r="IQ125" s="174"/>
      <c r="IR125" s="174"/>
      <c r="IS125" s="174"/>
      <c r="IT125" s="174"/>
      <c r="IU125" s="174"/>
      <c r="IV125" s="174"/>
      <c r="IW125" s="174"/>
      <c r="IX125" s="174"/>
      <c r="IY125" s="174"/>
      <c r="IZ125" s="174"/>
      <c r="JA125" s="174"/>
      <c r="JB125" s="174"/>
      <c r="JC125" s="174"/>
      <c r="JD125" s="174"/>
      <c r="JE125" s="174"/>
      <c r="JF125" s="174"/>
      <c r="JG125" s="174"/>
      <c r="JH125" s="174"/>
      <c r="JI125" s="174"/>
      <c r="JJ125" s="174"/>
      <c r="JK125" s="174"/>
      <c r="JL125" s="174"/>
      <c r="JM125" s="174"/>
      <c r="JN125" s="174"/>
      <c r="JO125" s="174"/>
      <c r="JP125" s="174"/>
      <c r="JQ125" s="174"/>
      <c r="JR125" s="174"/>
      <c r="JS125" s="174"/>
      <c r="JT125" s="174"/>
      <c r="JU125" s="174"/>
      <c r="JV125" s="174"/>
    </row>
    <row r="126" spans="1:282" s="229" customFormat="1">
      <c r="A126" s="232"/>
      <c r="B126" s="173"/>
      <c r="C126" s="173"/>
      <c r="D126" s="233"/>
      <c r="E126" s="228"/>
      <c r="F126" s="234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  <c r="AT126" s="173"/>
      <c r="AU126" s="173"/>
      <c r="AV126" s="173"/>
      <c r="AW126" s="173"/>
      <c r="AX126" s="173"/>
      <c r="AY126" s="173"/>
      <c r="AZ126" s="173"/>
      <c r="BA126" s="277"/>
      <c r="BB126" s="173"/>
      <c r="BC126" s="173"/>
      <c r="BD126" s="173"/>
      <c r="BE126" s="173"/>
      <c r="BF126" s="173"/>
      <c r="BG126" s="173"/>
      <c r="BH126" s="173"/>
      <c r="BI126" s="173"/>
      <c r="BJ126" s="173"/>
      <c r="BK126" s="173"/>
      <c r="BL126" s="173"/>
      <c r="BM126" s="173"/>
      <c r="BN126" s="173"/>
      <c r="BO126" s="173"/>
      <c r="BP126" s="173"/>
      <c r="BQ126" s="173"/>
      <c r="BR126" s="173"/>
      <c r="BS126" s="173"/>
      <c r="BT126" s="173"/>
      <c r="BU126" s="173"/>
      <c r="BV126" s="173"/>
      <c r="BW126" s="173"/>
      <c r="BX126" s="173"/>
      <c r="BY126" s="173"/>
      <c r="BZ126" s="173"/>
      <c r="CA126" s="173"/>
      <c r="CB126" s="173"/>
      <c r="CC126" s="173"/>
      <c r="CD126" s="173"/>
      <c r="CE126" s="173"/>
      <c r="CF126" s="173"/>
      <c r="CG126" s="173"/>
      <c r="CH126" s="173"/>
      <c r="CI126" s="173"/>
      <c r="CJ126" s="173"/>
      <c r="CK126" s="173"/>
      <c r="CL126" s="173"/>
      <c r="CM126" s="173"/>
      <c r="CN126" s="173"/>
      <c r="CO126" s="173"/>
      <c r="CP126" s="173"/>
      <c r="CQ126" s="173"/>
      <c r="CR126" s="151"/>
      <c r="CS126" s="173"/>
      <c r="CT126" s="173"/>
      <c r="CU126" s="173"/>
      <c r="CV126" s="173"/>
      <c r="CW126" s="173"/>
      <c r="CX126" s="173"/>
      <c r="CY126" s="173"/>
      <c r="CZ126" s="173"/>
      <c r="DA126" s="150"/>
      <c r="DB126" s="150"/>
      <c r="DC126" s="150"/>
      <c r="DD126" s="150"/>
      <c r="DE126" s="150"/>
      <c r="DF126" s="150"/>
      <c r="DG126" s="150"/>
      <c r="DH126" s="150"/>
      <c r="DI126" s="150"/>
      <c r="DJ126" s="150"/>
      <c r="DK126" s="222"/>
      <c r="DL126" s="222"/>
      <c r="DM126" s="222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4"/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  <c r="FC126" s="174"/>
      <c r="FD126" s="174"/>
      <c r="FE126" s="174"/>
      <c r="FF126" s="174"/>
      <c r="FG126" s="174"/>
      <c r="FH126" s="174"/>
      <c r="FI126" s="174"/>
      <c r="FJ126" s="174"/>
      <c r="FK126" s="174"/>
      <c r="FL126" s="174"/>
      <c r="FM126" s="174"/>
      <c r="FN126" s="174"/>
      <c r="FO126" s="174"/>
      <c r="FP126" s="174"/>
      <c r="FQ126" s="174"/>
      <c r="FR126" s="174"/>
      <c r="FS126" s="174"/>
      <c r="FT126" s="174"/>
      <c r="FU126" s="174"/>
      <c r="FV126" s="174"/>
      <c r="FW126" s="174"/>
      <c r="FX126" s="174"/>
      <c r="FY126" s="174"/>
      <c r="FZ126" s="174"/>
      <c r="GA126" s="174"/>
      <c r="GB126" s="174"/>
      <c r="GC126" s="174"/>
      <c r="GD126" s="174"/>
      <c r="GE126" s="174"/>
      <c r="GF126" s="174"/>
      <c r="GG126" s="174"/>
      <c r="GH126" s="174"/>
      <c r="GI126" s="174"/>
      <c r="GJ126" s="174"/>
      <c r="GK126" s="174"/>
      <c r="GL126" s="174"/>
      <c r="GM126" s="174"/>
      <c r="GN126" s="174"/>
      <c r="GO126" s="174"/>
      <c r="GP126" s="174"/>
      <c r="GQ126" s="174"/>
      <c r="GR126" s="174"/>
      <c r="GS126" s="174"/>
      <c r="GT126" s="174"/>
      <c r="GU126" s="174"/>
      <c r="GV126" s="174"/>
      <c r="GW126" s="174"/>
      <c r="GX126" s="174"/>
      <c r="GY126" s="174"/>
      <c r="GZ126" s="174"/>
      <c r="HA126" s="174"/>
      <c r="HB126" s="174"/>
      <c r="HC126" s="174"/>
      <c r="HD126" s="174"/>
      <c r="HE126" s="174"/>
      <c r="HF126" s="174"/>
      <c r="HG126" s="174"/>
      <c r="HH126" s="174"/>
      <c r="HI126" s="174"/>
      <c r="HJ126" s="174"/>
      <c r="HK126" s="174"/>
      <c r="HL126" s="174"/>
      <c r="HM126" s="174"/>
      <c r="HN126" s="174"/>
      <c r="HO126" s="174"/>
      <c r="HP126" s="174"/>
      <c r="HQ126" s="174"/>
      <c r="HR126" s="174"/>
      <c r="HS126" s="174"/>
      <c r="HT126" s="174"/>
      <c r="HU126" s="174"/>
      <c r="HV126" s="174"/>
      <c r="HW126" s="174"/>
      <c r="HX126" s="174"/>
      <c r="HY126" s="174"/>
      <c r="HZ126" s="174"/>
      <c r="IA126" s="174"/>
      <c r="IB126" s="174"/>
      <c r="IC126" s="174"/>
      <c r="ID126" s="174"/>
      <c r="IE126" s="174"/>
      <c r="IF126" s="174"/>
      <c r="IG126" s="174"/>
      <c r="IH126" s="174"/>
      <c r="II126" s="174"/>
      <c r="IJ126" s="174"/>
      <c r="IK126" s="174"/>
      <c r="IL126" s="174"/>
      <c r="IM126" s="174"/>
      <c r="IN126" s="174"/>
      <c r="IO126" s="174"/>
      <c r="IP126" s="174"/>
      <c r="IQ126" s="174"/>
      <c r="IR126" s="174"/>
      <c r="IS126" s="174"/>
      <c r="IT126" s="174"/>
      <c r="IU126" s="174"/>
      <c r="IV126" s="174"/>
      <c r="IW126" s="174"/>
      <c r="IX126" s="174"/>
      <c r="IY126" s="174"/>
      <c r="IZ126" s="174"/>
      <c r="JA126" s="174"/>
      <c r="JB126" s="174"/>
      <c r="JC126" s="174"/>
      <c r="JD126" s="174"/>
      <c r="JE126" s="174"/>
      <c r="JF126" s="174"/>
      <c r="JG126" s="174"/>
      <c r="JH126" s="174"/>
      <c r="JI126" s="174"/>
      <c r="JJ126" s="174"/>
      <c r="JK126" s="174"/>
      <c r="JL126" s="174"/>
      <c r="JM126" s="174"/>
      <c r="JN126" s="174"/>
      <c r="JO126" s="174"/>
      <c r="JP126" s="174"/>
      <c r="JQ126" s="174"/>
      <c r="JR126" s="174"/>
      <c r="JS126" s="174"/>
      <c r="JT126" s="174"/>
      <c r="JU126" s="174"/>
      <c r="JV126" s="174"/>
    </row>
    <row r="127" spans="1:282" s="146" customFormat="1">
      <c r="A127" s="232"/>
      <c r="B127" s="173"/>
      <c r="C127" s="173"/>
      <c r="D127" s="233"/>
      <c r="E127" s="228"/>
      <c r="F127" s="234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  <c r="AY127" s="173"/>
      <c r="AZ127" s="173"/>
      <c r="BA127" s="277"/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3"/>
      <c r="BW127" s="173"/>
      <c r="BX127" s="173"/>
      <c r="BY127" s="173"/>
      <c r="BZ127" s="173"/>
      <c r="CA127" s="173"/>
      <c r="CB127" s="173"/>
      <c r="CC127" s="173"/>
      <c r="CD127" s="173"/>
      <c r="CE127" s="173"/>
      <c r="CF127" s="173"/>
      <c r="CG127" s="173"/>
      <c r="CH127" s="173"/>
      <c r="CI127" s="173"/>
      <c r="CJ127" s="173"/>
      <c r="CK127" s="173"/>
      <c r="CL127" s="173"/>
      <c r="CM127" s="173"/>
      <c r="CN127" s="173"/>
      <c r="CO127" s="173"/>
      <c r="CP127" s="173"/>
      <c r="CQ127" s="173"/>
      <c r="CR127" s="151"/>
      <c r="CS127" s="173"/>
      <c r="CT127" s="173"/>
      <c r="CU127" s="173"/>
      <c r="CV127" s="173"/>
      <c r="CW127" s="173"/>
      <c r="CX127" s="173"/>
      <c r="CY127" s="173"/>
      <c r="CZ127" s="173"/>
      <c r="DA127" s="222"/>
      <c r="DB127" s="222"/>
      <c r="DC127" s="222"/>
      <c r="DD127" s="222"/>
      <c r="DE127" s="222"/>
      <c r="DF127" s="222"/>
      <c r="DG127" s="222"/>
      <c r="DH127" s="222"/>
      <c r="DI127" s="222"/>
      <c r="DJ127" s="222"/>
      <c r="DK127" s="222"/>
      <c r="DL127" s="222"/>
      <c r="DM127" s="222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4"/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  <c r="FC127" s="174"/>
      <c r="FD127" s="174"/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4"/>
      <c r="FZ127" s="174"/>
      <c r="GA127" s="174"/>
      <c r="GB127" s="174"/>
      <c r="GC127" s="174"/>
      <c r="GD127" s="174"/>
      <c r="GE127" s="174"/>
      <c r="GF127" s="174"/>
      <c r="GG127" s="174"/>
      <c r="GH127" s="174"/>
      <c r="GI127" s="174"/>
      <c r="GJ127" s="174"/>
      <c r="GK127" s="174"/>
      <c r="GL127" s="174"/>
      <c r="GM127" s="174"/>
      <c r="GN127" s="174"/>
      <c r="GO127" s="174"/>
      <c r="GP127" s="174"/>
      <c r="GQ127" s="174"/>
      <c r="GR127" s="174"/>
      <c r="GS127" s="174"/>
      <c r="GT127" s="174"/>
      <c r="GU127" s="174"/>
      <c r="GV127" s="174"/>
      <c r="GW127" s="174"/>
      <c r="GX127" s="174"/>
      <c r="GY127" s="174"/>
      <c r="GZ127" s="174"/>
      <c r="HA127" s="174"/>
      <c r="HB127" s="174"/>
      <c r="HC127" s="174"/>
      <c r="HD127" s="174"/>
      <c r="HE127" s="174"/>
      <c r="HF127" s="174"/>
      <c r="HG127" s="174"/>
      <c r="HH127" s="174"/>
      <c r="HI127" s="174"/>
      <c r="HJ127" s="174"/>
      <c r="HK127" s="174"/>
      <c r="HL127" s="174"/>
      <c r="HM127" s="174"/>
      <c r="HN127" s="174"/>
      <c r="HO127" s="174"/>
      <c r="HP127" s="174"/>
      <c r="HQ127" s="174"/>
      <c r="HR127" s="174"/>
      <c r="HS127" s="174"/>
      <c r="HT127" s="174"/>
      <c r="HU127" s="174"/>
      <c r="HV127" s="174"/>
      <c r="HW127" s="174"/>
      <c r="HX127" s="174"/>
      <c r="HY127" s="174"/>
      <c r="HZ127" s="174"/>
      <c r="IA127" s="174"/>
      <c r="IB127" s="174"/>
      <c r="IC127" s="174"/>
      <c r="ID127" s="174"/>
      <c r="IE127" s="174"/>
      <c r="IF127" s="174"/>
      <c r="IG127" s="174"/>
      <c r="IH127" s="174"/>
      <c r="II127" s="174"/>
      <c r="IJ127" s="174"/>
      <c r="IK127" s="174"/>
      <c r="IL127" s="174"/>
      <c r="IM127" s="174"/>
      <c r="IN127" s="174"/>
      <c r="IO127" s="174"/>
      <c r="IP127" s="174"/>
      <c r="IQ127" s="174"/>
      <c r="IR127" s="174"/>
      <c r="IS127" s="174"/>
      <c r="IT127" s="174"/>
      <c r="IU127" s="174"/>
      <c r="IV127" s="174"/>
      <c r="IW127" s="174"/>
      <c r="IX127" s="174"/>
      <c r="IY127" s="174"/>
      <c r="IZ127" s="174"/>
      <c r="JA127" s="174"/>
      <c r="JB127" s="174"/>
      <c r="JC127" s="174"/>
      <c r="JD127" s="174"/>
      <c r="JE127" s="174"/>
      <c r="JF127" s="174"/>
      <c r="JG127" s="174"/>
      <c r="JH127" s="174"/>
      <c r="JI127" s="174"/>
      <c r="JJ127" s="174"/>
      <c r="JK127" s="174"/>
      <c r="JL127" s="174"/>
      <c r="JM127" s="174"/>
      <c r="JN127" s="174"/>
      <c r="JO127" s="174"/>
      <c r="JP127" s="174"/>
      <c r="JQ127" s="174"/>
      <c r="JR127" s="174"/>
      <c r="JS127" s="174"/>
      <c r="JT127" s="174"/>
      <c r="JU127" s="174"/>
      <c r="JV127" s="174"/>
    </row>
    <row r="128" spans="1:282" s="159" customFormat="1">
      <c r="A128" s="232"/>
      <c r="B128" s="173"/>
      <c r="C128" s="173"/>
      <c r="D128" s="233"/>
      <c r="E128" s="228"/>
      <c r="F128" s="234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3"/>
      <c r="AT128" s="173"/>
      <c r="AU128" s="173"/>
      <c r="AV128" s="173"/>
      <c r="AW128" s="173"/>
      <c r="AX128" s="173"/>
      <c r="AY128" s="173"/>
      <c r="AZ128" s="173"/>
      <c r="BA128" s="277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73"/>
      <c r="BS128" s="173"/>
      <c r="BT128" s="173"/>
      <c r="BU128" s="173"/>
      <c r="BV128" s="173"/>
      <c r="BW128" s="173"/>
      <c r="BX128" s="173"/>
      <c r="BY128" s="173"/>
      <c r="BZ128" s="173"/>
      <c r="CA128" s="173"/>
      <c r="CB128" s="173"/>
      <c r="CC128" s="173"/>
      <c r="CD128" s="173"/>
      <c r="CE128" s="173"/>
      <c r="CF128" s="173"/>
      <c r="CG128" s="173"/>
      <c r="CH128" s="173"/>
      <c r="CI128" s="173"/>
      <c r="CJ128" s="173"/>
      <c r="CK128" s="173"/>
      <c r="CL128" s="173"/>
      <c r="CM128" s="173"/>
      <c r="CN128" s="173"/>
      <c r="CO128" s="173"/>
      <c r="CP128" s="173"/>
      <c r="CQ128" s="173"/>
      <c r="CR128" s="151"/>
      <c r="CS128" s="173"/>
      <c r="CT128" s="173"/>
      <c r="CU128" s="173"/>
      <c r="CV128" s="173"/>
      <c r="CW128" s="173"/>
      <c r="CX128" s="173"/>
      <c r="CY128" s="173"/>
      <c r="CZ128" s="173"/>
      <c r="DA128" s="222"/>
      <c r="DB128" s="222"/>
      <c r="DC128" s="222"/>
      <c r="DD128" s="222"/>
      <c r="DE128" s="222"/>
      <c r="DF128" s="222"/>
      <c r="DG128" s="222"/>
      <c r="DH128" s="222"/>
      <c r="DI128" s="222"/>
      <c r="DJ128" s="222"/>
      <c r="DK128" s="222"/>
      <c r="DL128" s="222"/>
      <c r="DM128" s="222"/>
      <c r="DN128" s="160"/>
      <c r="DO128" s="160"/>
      <c r="DP128" s="160"/>
      <c r="DQ128" s="160"/>
      <c r="DR128" s="160"/>
      <c r="DS128" s="160"/>
      <c r="DT128" s="160"/>
      <c r="DU128" s="160"/>
      <c r="DV128" s="160"/>
      <c r="DW128" s="160"/>
      <c r="DX128" s="160"/>
      <c r="DY128" s="160"/>
      <c r="DZ128" s="160"/>
      <c r="EA128" s="160"/>
      <c r="EB128" s="160"/>
      <c r="EC128" s="160"/>
      <c r="ED128" s="160"/>
      <c r="EE128" s="160"/>
      <c r="EF128" s="160"/>
      <c r="EG128" s="160"/>
      <c r="EH128" s="160"/>
      <c r="EI128" s="160"/>
      <c r="EJ128" s="160"/>
      <c r="EK128" s="160"/>
      <c r="EL128" s="160"/>
      <c r="EM128" s="160"/>
      <c r="EN128" s="160"/>
      <c r="EO128" s="160"/>
      <c r="EP128" s="160"/>
      <c r="EQ128" s="160"/>
      <c r="ER128" s="160"/>
      <c r="ES128" s="160"/>
      <c r="ET128" s="160"/>
      <c r="EU128" s="160"/>
      <c r="EV128" s="160"/>
      <c r="EW128" s="160"/>
      <c r="EX128" s="160"/>
      <c r="EY128" s="160"/>
      <c r="EZ128" s="160"/>
      <c r="FA128" s="160"/>
      <c r="FB128" s="160"/>
      <c r="FC128" s="160"/>
      <c r="FD128" s="160"/>
      <c r="FE128" s="160"/>
      <c r="FF128" s="160"/>
      <c r="FG128" s="160"/>
      <c r="FH128" s="160"/>
      <c r="FI128" s="160"/>
      <c r="FJ128" s="160"/>
      <c r="FK128" s="160"/>
      <c r="FL128" s="160"/>
      <c r="FM128" s="160"/>
      <c r="FN128" s="160"/>
      <c r="FO128" s="160"/>
      <c r="FP128" s="160"/>
      <c r="FQ128" s="160"/>
      <c r="FR128" s="160"/>
      <c r="FS128" s="160"/>
      <c r="FT128" s="160"/>
      <c r="FU128" s="160"/>
      <c r="FV128" s="160"/>
      <c r="FW128" s="160"/>
      <c r="FX128" s="160"/>
      <c r="FY128" s="160"/>
      <c r="FZ128" s="160"/>
      <c r="GA128" s="160"/>
      <c r="GB128" s="160"/>
      <c r="GC128" s="160"/>
      <c r="GD128" s="160"/>
      <c r="GE128" s="160"/>
      <c r="GF128" s="160"/>
      <c r="GG128" s="160"/>
      <c r="GH128" s="160"/>
      <c r="GI128" s="160"/>
      <c r="GJ128" s="160"/>
      <c r="GK128" s="160"/>
      <c r="GL128" s="160"/>
      <c r="GM128" s="160"/>
      <c r="GN128" s="160"/>
      <c r="GO128" s="160"/>
      <c r="GP128" s="160"/>
      <c r="GQ128" s="160"/>
      <c r="GR128" s="160"/>
      <c r="GS128" s="160"/>
      <c r="GT128" s="160"/>
      <c r="GU128" s="160"/>
      <c r="GV128" s="160"/>
      <c r="GW128" s="160"/>
      <c r="GX128" s="160"/>
      <c r="GY128" s="160"/>
      <c r="GZ128" s="160"/>
      <c r="HA128" s="160"/>
      <c r="HB128" s="160"/>
      <c r="HC128" s="160"/>
      <c r="HD128" s="160"/>
      <c r="HE128" s="160"/>
      <c r="HF128" s="160"/>
      <c r="HG128" s="160"/>
      <c r="HH128" s="160"/>
      <c r="HI128" s="160"/>
      <c r="HJ128" s="160"/>
      <c r="HK128" s="160"/>
      <c r="HL128" s="160"/>
      <c r="HM128" s="160"/>
      <c r="HN128" s="160"/>
      <c r="HO128" s="160"/>
      <c r="HP128" s="160"/>
      <c r="HQ128" s="160"/>
      <c r="HR128" s="160"/>
      <c r="HS128" s="160"/>
      <c r="HT128" s="160"/>
      <c r="HU128" s="160"/>
      <c r="HV128" s="160"/>
      <c r="HW128" s="160"/>
      <c r="HX128" s="160"/>
      <c r="HY128" s="160"/>
      <c r="HZ128" s="160"/>
      <c r="IA128" s="160"/>
      <c r="IB128" s="160"/>
      <c r="IC128" s="160"/>
      <c r="ID128" s="160"/>
      <c r="IE128" s="160"/>
      <c r="IF128" s="160"/>
      <c r="IG128" s="160"/>
      <c r="IH128" s="160"/>
      <c r="II128" s="160"/>
      <c r="IJ128" s="160"/>
      <c r="IK128" s="160"/>
      <c r="IL128" s="160"/>
      <c r="IM128" s="160"/>
      <c r="IN128" s="160"/>
      <c r="IO128" s="160"/>
      <c r="IP128" s="160"/>
      <c r="IQ128" s="160"/>
      <c r="IR128" s="160"/>
      <c r="IS128" s="160"/>
      <c r="IT128" s="160"/>
      <c r="IU128" s="160"/>
      <c r="IV128" s="160"/>
      <c r="IW128" s="160"/>
      <c r="IX128" s="160"/>
      <c r="IY128" s="160"/>
      <c r="IZ128" s="160"/>
      <c r="JA128" s="160"/>
      <c r="JB128" s="160"/>
      <c r="JC128" s="160"/>
      <c r="JD128" s="160"/>
      <c r="JE128" s="160"/>
      <c r="JF128" s="160"/>
      <c r="JG128" s="160"/>
      <c r="JH128" s="160"/>
      <c r="JI128" s="160"/>
      <c r="JJ128" s="160"/>
      <c r="JK128" s="160"/>
      <c r="JL128" s="160"/>
      <c r="JM128" s="160"/>
      <c r="JN128" s="160"/>
      <c r="JO128" s="160"/>
      <c r="JP128" s="160"/>
      <c r="JQ128" s="160"/>
      <c r="JR128" s="160"/>
      <c r="JS128" s="160"/>
      <c r="JT128" s="160"/>
      <c r="JU128" s="160"/>
      <c r="JV128" s="160"/>
    </row>
    <row r="129" spans="1:282" s="146" customFormat="1">
      <c r="A129" s="232"/>
      <c r="B129" s="173"/>
      <c r="C129" s="173"/>
      <c r="D129" s="233"/>
      <c r="E129" s="228"/>
      <c r="F129" s="234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3"/>
      <c r="AT129" s="173"/>
      <c r="AU129" s="173"/>
      <c r="AV129" s="173"/>
      <c r="AW129" s="173"/>
      <c r="AX129" s="173"/>
      <c r="AY129" s="173"/>
      <c r="AZ129" s="173"/>
      <c r="BA129" s="277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73"/>
      <c r="BS129" s="173"/>
      <c r="BT129" s="173"/>
      <c r="BU129" s="173"/>
      <c r="BV129" s="173"/>
      <c r="BW129" s="173"/>
      <c r="BX129" s="173"/>
      <c r="BY129" s="173"/>
      <c r="BZ129" s="173"/>
      <c r="CA129" s="173"/>
      <c r="CB129" s="173"/>
      <c r="CC129" s="173"/>
      <c r="CD129" s="173"/>
      <c r="CE129" s="173"/>
      <c r="CF129" s="173"/>
      <c r="CG129" s="173"/>
      <c r="CH129" s="173"/>
      <c r="CI129" s="173"/>
      <c r="CJ129" s="173"/>
      <c r="CK129" s="173"/>
      <c r="CL129" s="173"/>
      <c r="CM129" s="173"/>
      <c r="CN129" s="173"/>
      <c r="CO129" s="173"/>
      <c r="CP129" s="173"/>
      <c r="CQ129" s="173"/>
      <c r="CR129" s="151"/>
      <c r="CS129" s="173"/>
      <c r="CT129" s="173"/>
      <c r="CU129" s="173"/>
      <c r="CV129" s="173"/>
      <c r="CW129" s="173"/>
      <c r="CX129" s="173"/>
      <c r="CY129" s="173"/>
      <c r="CZ129" s="173"/>
      <c r="DA129" s="222"/>
      <c r="DB129" s="222"/>
      <c r="DC129" s="222"/>
      <c r="DD129" s="222"/>
      <c r="DE129" s="222"/>
      <c r="DF129" s="222"/>
      <c r="DG129" s="222"/>
      <c r="DH129" s="222"/>
      <c r="DI129" s="222"/>
      <c r="DJ129" s="222"/>
      <c r="DK129" s="222"/>
      <c r="DL129" s="222"/>
      <c r="DM129" s="222"/>
      <c r="DN129" s="174"/>
      <c r="DO129" s="174"/>
      <c r="DP129" s="174"/>
      <c r="DQ129" s="174"/>
      <c r="DR129" s="174"/>
      <c r="DS129" s="174"/>
      <c r="DT129" s="174"/>
      <c r="DU129" s="174"/>
      <c r="DV129" s="174"/>
      <c r="DW129" s="174"/>
      <c r="DX129" s="174"/>
      <c r="DY129" s="174"/>
      <c r="DZ129" s="174"/>
      <c r="EA129" s="174"/>
      <c r="EB129" s="174"/>
      <c r="EC129" s="174"/>
      <c r="ED129" s="174"/>
      <c r="EE129" s="174"/>
      <c r="EF129" s="174"/>
      <c r="EG129" s="174"/>
      <c r="EH129" s="174"/>
      <c r="EI129" s="174"/>
      <c r="EJ129" s="174"/>
      <c r="EK129" s="174"/>
      <c r="EL129" s="174"/>
      <c r="EM129" s="174"/>
      <c r="EN129" s="174"/>
      <c r="EO129" s="174"/>
      <c r="EP129" s="174"/>
      <c r="EQ129" s="174"/>
      <c r="ER129" s="174"/>
      <c r="ES129" s="174"/>
      <c r="ET129" s="174"/>
      <c r="EU129" s="174"/>
      <c r="EV129" s="174"/>
      <c r="EW129" s="174"/>
      <c r="EX129" s="174"/>
      <c r="EY129" s="174"/>
      <c r="EZ129" s="174"/>
      <c r="FA129" s="174"/>
      <c r="FB129" s="174"/>
      <c r="FC129" s="174"/>
      <c r="FD129" s="174"/>
      <c r="FE129" s="174"/>
      <c r="FF129" s="174"/>
      <c r="FG129" s="174"/>
      <c r="FH129" s="174"/>
      <c r="FI129" s="174"/>
      <c r="FJ129" s="174"/>
      <c r="FK129" s="174"/>
      <c r="FL129" s="174"/>
      <c r="FM129" s="174"/>
      <c r="FN129" s="174"/>
      <c r="FO129" s="174"/>
      <c r="FP129" s="174"/>
      <c r="FQ129" s="174"/>
      <c r="FR129" s="174"/>
      <c r="FS129" s="174"/>
      <c r="FT129" s="174"/>
      <c r="FU129" s="174"/>
      <c r="FV129" s="174"/>
      <c r="FW129" s="174"/>
      <c r="FX129" s="174"/>
      <c r="FY129" s="174"/>
      <c r="FZ129" s="174"/>
      <c r="GA129" s="174"/>
      <c r="GB129" s="174"/>
      <c r="GC129" s="174"/>
      <c r="GD129" s="174"/>
      <c r="GE129" s="174"/>
      <c r="GF129" s="174"/>
      <c r="GG129" s="174"/>
      <c r="GH129" s="174"/>
      <c r="GI129" s="174"/>
      <c r="GJ129" s="174"/>
      <c r="GK129" s="174"/>
      <c r="GL129" s="174"/>
      <c r="GM129" s="174"/>
      <c r="GN129" s="174"/>
      <c r="GO129" s="174"/>
      <c r="GP129" s="174"/>
      <c r="GQ129" s="174"/>
      <c r="GR129" s="174"/>
      <c r="GS129" s="174"/>
      <c r="GT129" s="174"/>
      <c r="GU129" s="174"/>
      <c r="GV129" s="174"/>
      <c r="GW129" s="174"/>
      <c r="GX129" s="174"/>
      <c r="GY129" s="174"/>
      <c r="GZ129" s="174"/>
      <c r="HA129" s="174"/>
      <c r="HB129" s="174"/>
      <c r="HC129" s="174"/>
      <c r="HD129" s="174"/>
      <c r="HE129" s="174"/>
      <c r="HF129" s="174"/>
      <c r="HG129" s="174"/>
      <c r="HH129" s="174"/>
      <c r="HI129" s="174"/>
      <c r="HJ129" s="174"/>
      <c r="HK129" s="174"/>
      <c r="HL129" s="174"/>
      <c r="HM129" s="174"/>
      <c r="HN129" s="174"/>
      <c r="HO129" s="174"/>
      <c r="HP129" s="174"/>
      <c r="HQ129" s="174"/>
      <c r="HR129" s="174"/>
      <c r="HS129" s="174"/>
      <c r="HT129" s="174"/>
      <c r="HU129" s="174"/>
      <c r="HV129" s="174"/>
      <c r="HW129" s="174"/>
      <c r="HX129" s="174"/>
      <c r="HY129" s="174"/>
      <c r="HZ129" s="174"/>
      <c r="IA129" s="174"/>
      <c r="IB129" s="174"/>
      <c r="IC129" s="174"/>
      <c r="ID129" s="174"/>
      <c r="IE129" s="174"/>
      <c r="IF129" s="174"/>
      <c r="IG129" s="174"/>
      <c r="IH129" s="174"/>
      <c r="II129" s="174"/>
      <c r="IJ129" s="174"/>
      <c r="IK129" s="174"/>
      <c r="IL129" s="174"/>
      <c r="IM129" s="174"/>
      <c r="IN129" s="174"/>
      <c r="IO129" s="174"/>
      <c r="IP129" s="174"/>
      <c r="IQ129" s="174"/>
      <c r="IR129" s="174"/>
      <c r="IS129" s="174"/>
      <c r="IT129" s="174"/>
      <c r="IU129" s="174"/>
      <c r="IV129" s="174"/>
      <c r="IW129" s="174"/>
      <c r="IX129" s="174"/>
      <c r="IY129" s="174"/>
      <c r="IZ129" s="174"/>
      <c r="JA129" s="174"/>
      <c r="JB129" s="174"/>
      <c r="JC129" s="174"/>
      <c r="JD129" s="174"/>
      <c r="JE129" s="174"/>
      <c r="JF129" s="174"/>
      <c r="JG129" s="174"/>
      <c r="JH129" s="174"/>
      <c r="JI129" s="174"/>
      <c r="JJ129" s="174"/>
      <c r="JK129" s="174"/>
      <c r="JL129" s="174"/>
      <c r="JM129" s="174"/>
      <c r="JN129" s="174"/>
      <c r="JO129" s="174"/>
      <c r="JP129" s="174"/>
      <c r="JQ129" s="174"/>
      <c r="JR129" s="174"/>
      <c r="JS129" s="174"/>
      <c r="JT129" s="174"/>
      <c r="JU129" s="174"/>
      <c r="JV129" s="174"/>
    </row>
    <row r="130" spans="1:282" s="146" customFormat="1">
      <c r="A130" s="232"/>
      <c r="B130" s="173"/>
      <c r="C130" s="173"/>
      <c r="D130" s="233"/>
      <c r="E130" s="228"/>
      <c r="F130" s="234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277"/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173"/>
      <c r="BP130" s="173"/>
      <c r="BQ130" s="173"/>
      <c r="BR130" s="173"/>
      <c r="BS130" s="173"/>
      <c r="BT130" s="173"/>
      <c r="BU130" s="173"/>
      <c r="BV130" s="173"/>
      <c r="BW130" s="173"/>
      <c r="BX130" s="173"/>
      <c r="BY130" s="173"/>
      <c r="BZ130" s="173"/>
      <c r="CA130" s="173"/>
      <c r="CB130" s="173"/>
      <c r="CC130" s="173"/>
      <c r="CD130" s="173"/>
      <c r="CE130" s="173"/>
      <c r="CF130" s="173"/>
      <c r="CG130" s="173"/>
      <c r="CH130" s="173"/>
      <c r="CI130" s="173"/>
      <c r="CJ130" s="173"/>
      <c r="CK130" s="173"/>
      <c r="CL130" s="173"/>
      <c r="CM130" s="173"/>
      <c r="CN130" s="173"/>
      <c r="CO130" s="173"/>
      <c r="CP130" s="173"/>
      <c r="CQ130" s="173"/>
      <c r="CR130" s="151"/>
      <c r="CS130" s="173"/>
      <c r="CT130" s="173"/>
      <c r="CU130" s="173"/>
      <c r="CV130" s="173"/>
      <c r="CW130" s="173"/>
      <c r="CX130" s="173"/>
      <c r="CY130" s="173"/>
      <c r="CZ130" s="173"/>
      <c r="DA130" s="222"/>
      <c r="DB130" s="222"/>
      <c r="DC130" s="222"/>
      <c r="DD130" s="222"/>
      <c r="DE130" s="222"/>
      <c r="DF130" s="222"/>
      <c r="DG130" s="222"/>
      <c r="DH130" s="222"/>
      <c r="DI130" s="222"/>
      <c r="DJ130" s="222"/>
      <c r="DK130" s="222"/>
      <c r="DL130" s="222"/>
      <c r="DM130" s="222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4"/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  <c r="FC130" s="174"/>
      <c r="FD130" s="174"/>
      <c r="FE130" s="174"/>
      <c r="FF130" s="174"/>
      <c r="FG130" s="174"/>
      <c r="FH130" s="174"/>
      <c r="FI130" s="174"/>
      <c r="FJ130" s="174"/>
      <c r="FK130" s="174"/>
      <c r="FL130" s="174"/>
      <c r="FM130" s="174"/>
      <c r="FN130" s="174"/>
      <c r="FO130" s="174"/>
      <c r="FP130" s="174"/>
      <c r="FQ130" s="174"/>
      <c r="FR130" s="174"/>
      <c r="FS130" s="174"/>
      <c r="FT130" s="174"/>
      <c r="FU130" s="174"/>
      <c r="FV130" s="174"/>
      <c r="FW130" s="174"/>
      <c r="FX130" s="174"/>
      <c r="FY130" s="174"/>
      <c r="FZ130" s="174"/>
      <c r="GA130" s="174"/>
      <c r="GB130" s="174"/>
      <c r="GC130" s="174"/>
      <c r="GD130" s="174"/>
      <c r="GE130" s="174"/>
      <c r="GF130" s="174"/>
      <c r="GG130" s="174"/>
      <c r="GH130" s="174"/>
      <c r="GI130" s="174"/>
      <c r="GJ130" s="174"/>
      <c r="GK130" s="174"/>
      <c r="GL130" s="174"/>
      <c r="GM130" s="174"/>
      <c r="GN130" s="174"/>
      <c r="GO130" s="174"/>
      <c r="GP130" s="174"/>
      <c r="GQ130" s="174"/>
      <c r="GR130" s="174"/>
      <c r="GS130" s="174"/>
      <c r="GT130" s="174"/>
      <c r="GU130" s="174"/>
      <c r="GV130" s="174"/>
      <c r="GW130" s="174"/>
      <c r="GX130" s="174"/>
      <c r="GY130" s="174"/>
      <c r="GZ130" s="174"/>
      <c r="HA130" s="174"/>
      <c r="HB130" s="174"/>
      <c r="HC130" s="174"/>
      <c r="HD130" s="174"/>
      <c r="HE130" s="174"/>
      <c r="HF130" s="174"/>
      <c r="HG130" s="174"/>
      <c r="HH130" s="174"/>
      <c r="HI130" s="174"/>
      <c r="HJ130" s="174"/>
      <c r="HK130" s="174"/>
      <c r="HL130" s="174"/>
      <c r="HM130" s="174"/>
      <c r="HN130" s="174"/>
      <c r="HO130" s="174"/>
      <c r="HP130" s="174"/>
      <c r="HQ130" s="174"/>
      <c r="HR130" s="174"/>
      <c r="HS130" s="174"/>
      <c r="HT130" s="174"/>
      <c r="HU130" s="174"/>
      <c r="HV130" s="174"/>
      <c r="HW130" s="174"/>
      <c r="HX130" s="174"/>
      <c r="HY130" s="174"/>
      <c r="HZ130" s="174"/>
      <c r="IA130" s="174"/>
      <c r="IB130" s="174"/>
      <c r="IC130" s="174"/>
      <c r="ID130" s="174"/>
      <c r="IE130" s="174"/>
      <c r="IF130" s="174"/>
      <c r="IG130" s="174"/>
      <c r="IH130" s="174"/>
      <c r="II130" s="174"/>
      <c r="IJ130" s="174"/>
      <c r="IK130" s="174"/>
      <c r="IL130" s="174"/>
      <c r="IM130" s="174"/>
      <c r="IN130" s="174"/>
      <c r="IO130" s="174"/>
      <c r="IP130" s="174"/>
      <c r="IQ130" s="174"/>
      <c r="IR130" s="174"/>
      <c r="IS130" s="174"/>
      <c r="IT130" s="174"/>
      <c r="IU130" s="174"/>
      <c r="IV130" s="174"/>
      <c r="IW130" s="174"/>
      <c r="IX130" s="174"/>
      <c r="IY130" s="174"/>
      <c r="IZ130" s="174"/>
      <c r="JA130" s="174"/>
      <c r="JB130" s="174"/>
      <c r="JC130" s="174"/>
      <c r="JD130" s="174"/>
      <c r="JE130" s="174"/>
      <c r="JF130" s="174"/>
      <c r="JG130" s="174"/>
      <c r="JH130" s="174"/>
      <c r="JI130" s="174"/>
      <c r="JJ130" s="174"/>
      <c r="JK130" s="174"/>
      <c r="JL130" s="174"/>
      <c r="JM130" s="174"/>
      <c r="JN130" s="174"/>
      <c r="JO130" s="174"/>
      <c r="JP130" s="174"/>
      <c r="JQ130" s="174"/>
      <c r="JR130" s="174"/>
      <c r="JS130" s="174"/>
      <c r="JT130" s="174"/>
      <c r="JU130" s="174"/>
      <c r="JV130" s="174"/>
    </row>
    <row r="131" spans="1:282" s="146" customFormat="1">
      <c r="A131" s="232"/>
      <c r="B131" s="173"/>
      <c r="C131" s="173"/>
      <c r="D131" s="233"/>
      <c r="E131" s="228"/>
      <c r="F131" s="234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3"/>
      <c r="AT131" s="173"/>
      <c r="AU131" s="173"/>
      <c r="AV131" s="173"/>
      <c r="AW131" s="173"/>
      <c r="AX131" s="173"/>
      <c r="AY131" s="173"/>
      <c r="AZ131" s="173"/>
      <c r="BA131" s="277"/>
      <c r="BB131" s="173"/>
      <c r="BC131" s="173"/>
      <c r="BD131" s="173"/>
      <c r="BE131" s="173"/>
      <c r="BF131" s="173"/>
      <c r="BG131" s="173"/>
      <c r="BH131" s="173"/>
      <c r="BI131" s="173"/>
      <c r="BJ131" s="173"/>
      <c r="BK131" s="173"/>
      <c r="BL131" s="173"/>
      <c r="BM131" s="173"/>
      <c r="BN131" s="173"/>
      <c r="BO131" s="173"/>
      <c r="BP131" s="173"/>
      <c r="BQ131" s="173"/>
      <c r="BR131" s="173"/>
      <c r="BS131" s="173"/>
      <c r="BT131" s="173"/>
      <c r="BU131" s="173"/>
      <c r="BV131" s="173"/>
      <c r="BW131" s="173"/>
      <c r="BX131" s="173"/>
      <c r="BY131" s="173"/>
      <c r="BZ131" s="173"/>
      <c r="CA131" s="173"/>
      <c r="CB131" s="173"/>
      <c r="CC131" s="173"/>
      <c r="CD131" s="173"/>
      <c r="CE131" s="173"/>
      <c r="CF131" s="173"/>
      <c r="CG131" s="173"/>
      <c r="CH131" s="173"/>
      <c r="CI131" s="173"/>
      <c r="CJ131" s="173"/>
      <c r="CK131" s="173"/>
      <c r="CL131" s="173"/>
      <c r="CM131" s="173"/>
      <c r="CN131" s="173"/>
      <c r="CO131" s="173"/>
      <c r="CP131" s="173"/>
      <c r="CQ131" s="173"/>
      <c r="CR131" s="151"/>
      <c r="CS131" s="173"/>
      <c r="CT131" s="173"/>
      <c r="CU131" s="173"/>
      <c r="CV131" s="173"/>
      <c r="CW131" s="173"/>
      <c r="CX131" s="173"/>
      <c r="CY131" s="173"/>
      <c r="CZ131" s="173"/>
      <c r="DA131" s="222"/>
      <c r="DB131" s="222"/>
      <c r="DC131" s="222"/>
      <c r="DD131" s="222"/>
      <c r="DE131" s="222"/>
      <c r="DF131" s="222"/>
      <c r="DG131" s="222"/>
      <c r="DH131" s="222"/>
      <c r="DI131" s="222"/>
      <c r="DJ131" s="222"/>
      <c r="DK131" s="222"/>
      <c r="DL131" s="222"/>
      <c r="DM131" s="222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4"/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  <c r="FC131" s="174"/>
      <c r="FD131" s="174"/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4"/>
      <c r="FZ131" s="174"/>
      <c r="GA131" s="174"/>
      <c r="GB131" s="174"/>
      <c r="GC131" s="174"/>
      <c r="GD131" s="174"/>
      <c r="GE131" s="174"/>
      <c r="GF131" s="174"/>
      <c r="GG131" s="174"/>
      <c r="GH131" s="174"/>
      <c r="GI131" s="174"/>
      <c r="GJ131" s="174"/>
      <c r="GK131" s="174"/>
      <c r="GL131" s="174"/>
      <c r="GM131" s="174"/>
      <c r="GN131" s="174"/>
      <c r="GO131" s="174"/>
      <c r="GP131" s="174"/>
      <c r="GQ131" s="174"/>
      <c r="GR131" s="174"/>
      <c r="GS131" s="174"/>
      <c r="GT131" s="174"/>
      <c r="GU131" s="174"/>
      <c r="GV131" s="174"/>
      <c r="GW131" s="174"/>
      <c r="GX131" s="174"/>
      <c r="GY131" s="174"/>
      <c r="GZ131" s="174"/>
      <c r="HA131" s="174"/>
      <c r="HB131" s="174"/>
      <c r="HC131" s="174"/>
      <c r="HD131" s="174"/>
      <c r="HE131" s="174"/>
      <c r="HF131" s="174"/>
      <c r="HG131" s="174"/>
      <c r="HH131" s="174"/>
      <c r="HI131" s="174"/>
      <c r="HJ131" s="174"/>
      <c r="HK131" s="174"/>
      <c r="HL131" s="174"/>
      <c r="HM131" s="174"/>
      <c r="HN131" s="174"/>
      <c r="HO131" s="174"/>
      <c r="HP131" s="174"/>
      <c r="HQ131" s="174"/>
      <c r="HR131" s="174"/>
      <c r="HS131" s="174"/>
      <c r="HT131" s="174"/>
      <c r="HU131" s="174"/>
      <c r="HV131" s="174"/>
      <c r="HW131" s="174"/>
      <c r="HX131" s="174"/>
      <c r="HY131" s="174"/>
      <c r="HZ131" s="174"/>
      <c r="IA131" s="174"/>
      <c r="IB131" s="174"/>
      <c r="IC131" s="174"/>
      <c r="ID131" s="174"/>
      <c r="IE131" s="174"/>
      <c r="IF131" s="174"/>
      <c r="IG131" s="174"/>
      <c r="IH131" s="174"/>
      <c r="II131" s="174"/>
      <c r="IJ131" s="174"/>
      <c r="IK131" s="174"/>
      <c r="IL131" s="174"/>
      <c r="IM131" s="174"/>
      <c r="IN131" s="174"/>
      <c r="IO131" s="174"/>
      <c r="IP131" s="174"/>
      <c r="IQ131" s="174"/>
      <c r="IR131" s="174"/>
      <c r="IS131" s="174"/>
      <c r="IT131" s="174"/>
      <c r="IU131" s="174"/>
      <c r="IV131" s="174"/>
      <c r="IW131" s="174"/>
      <c r="IX131" s="174"/>
      <c r="IY131" s="174"/>
      <c r="IZ131" s="174"/>
      <c r="JA131" s="174"/>
      <c r="JB131" s="174"/>
      <c r="JC131" s="174"/>
      <c r="JD131" s="174"/>
      <c r="JE131" s="174"/>
      <c r="JF131" s="174"/>
      <c r="JG131" s="174"/>
      <c r="JH131" s="174"/>
      <c r="JI131" s="174"/>
      <c r="JJ131" s="174"/>
      <c r="JK131" s="174"/>
      <c r="JL131" s="174"/>
      <c r="JM131" s="174"/>
      <c r="JN131" s="174"/>
      <c r="JO131" s="174"/>
      <c r="JP131" s="174"/>
      <c r="JQ131" s="174"/>
      <c r="JR131" s="174"/>
      <c r="JS131" s="174"/>
      <c r="JT131" s="174"/>
      <c r="JU131" s="174"/>
      <c r="JV131" s="174"/>
    </row>
    <row r="132" spans="1:282" s="254" customFormat="1" ht="14.25">
      <c r="A132" s="253"/>
      <c r="D132" s="262"/>
      <c r="E132" s="263"/>
      <c r="F132" s="246"/>
      <c r="H132" s="255"/>
      <c r="AJ132" s="256"/>
      <c r="AK132" s="256"/>
      <c r="AY132" s="257"/>
      <c r="BA132" s="257"/>
      <c r="CO132" s="152"/>
      <c r="CP132" s="152"/>
      <c r="CQ132" s="258"/>
      <c r="CS132" s="259"/>
      <c r="CU132" s="260"/>
      <c r="CV132" s="150"/>
      <c r="CW132" s="150"/>
      <c r="CX132" s="150"/>
      <c r="CY132" s="150"/>
      <c r="CZ132" s="150"/>
      <c r="DA132" s="150"/>
      <c r="DB132" s="150"/>
      <c r="DC132" s="150"/>
      <c r="DD132" s="150"/>
      <c r="DE132" s="150"/>
      <c r="DF132" s="150"/>
      <c r="DG132" s="150"/>
      <c r="DH132" s="150"/>
      <c r="DI132" s="150"/>
      <c r="DJ132" s="150"/>
      <c r="DK132" s="150"/>
      <c r="DL132" s="150"/>
      <c r="DM132" s="150"/>
      <c r="DN132" s="150"/>
      <c r="DO132" s="150"/>
      <c r="DP132" s="150"/>
      <c r="DQ132" s="150"/>
      <c r="DR132" s="150"/>
      <c r="DS132" s="150"/>
      <c r="DT132" s="150"/>
      <c r="DU132" s="150"/>
      <c r="DV132" s="150"/>
      <c r="DW132" s="150"/>
      <c r="DX132" s="150"/>
      <c r="DY132" s="150"/>
      <c r="DZ132" s="150"/>
      <c r="EA132" s="150"/>
      <c r="EB132" s="150"/>
      <c r="EC132" s="150"/>
      <c r="ED132" s="150"/>
      <c r="EE132" s="150"/>
      <c r="EF132" s="150"/>
      <c r="EG132" s="150"/>
      <c r="EH132" s="150"/>
      <c r="EI132" s="150"/>
      <c r="EJ132" s="150"/>
      <c r="EK132" s="150"/>
      <c r="EL132" s="150"/>
      <c r="EM132" s="150"/>
      <c r="EN132" s="150"/>
      <c r="EO132" s="150"/>
      <c r="EP132" s="150"/>
      <c r="EQ132" s="150"/>
      <c r="ER132" s="150"/>
      <c r="ES132" s="150"/>
      <c r="ET132" s="150"/>
      <c r="EU132" s="150"/>
      <c r="EV132" s="150"/>
      <c r="EW132" s="150"/>
      <c r="EX132" s="150"/>
      <c r="EY132" s="150"/>
      <c r="EZ132" s="150"/>
      <c r="FA132" s="150"/>
      <c r="FB132" s="150"/>
      <c r="FC132" s="150"/>
      <c r="FD132" s="150"/>
      <c r="FE132" s="150"/>
      <c r="FF132" s="150"/>
      <c r="FG132" s="150"/>
      <c r="FH132" s="150"/>
      <c r="FI132" s="150"/>
      <c r="FJ132" s="150"/>
      <c r="FK132" s="150"/>
      <c r="FL132" s="150"/>
      <c r="FM132" s="150"/>
      <c r="FN132" s="150"/>
      <c r="FO132" s="150"/>
      <c r="FP132" s="150"/>
      <c r="FQ132" s="150"/>
      <c r="FR132" s="150"/>
      <c r="FS132" s="150"/>
      <c r="FT132" s="150"/>
      <c r="FU132" s="150"/>
      <c r="FV132" s="150"/>
      <c r="FW132" s="150"/>
      <c r="FX132" s="150"/>
      <c r="FY132" s="150"/>
      <c r="FZ132" s="150"/>
      <c r="GA132" s="150"/>
      <c r="GB132" s="150"/>
      <c r="GC132" s="150"/>
      <c r="GD132" s="150"/>
      <c r="GE132" s="150"/>
      <c r="GF132" s="150"/>
      <c r="GG132" s="150"/>
      <c r="GH132" s="150"/>
      <c r="GI132" s="150"/>
      <c r="GJ132" s="150"/>
      <c r="GK132" s="150"/>
      <c r="GL132" s="150"/>
      <c r="GM132" s="150"/>
      <c r="GN132" s="150"/>
      <c r="GO132" s="150"/>
      <c r="GP132" s="150"/>
      <c r="GQ132" s="150"/>
      <c r="GR132" s="150"/>
      <c r="GS132" s="150"/>
      <c r="GT132" s="150"/>
      <c r="GU132" s="150"/>
      <c r="GV132" s="150"/>
      <c r="GW132" s="150"/>
      <c r="GX132" s="150"/>
      <c r="GY132" s="150"/>
      <c r="GZ132" s="150"/>
      <c r="HA132" s="150"/>
      <c r="HB132" s="150"/>
      <c r="HC132" s="150"/>
      <c r="HD132" s="150"/>
      <c r="HE132" s="150"/>
      <c r="HF132" s="150"/>
      <c r="HG132" s="150"/>
      <c r="HH132" s="150"/>
      <c r="HI132" s="150"/>
      <c r="HJ132" s="150"/>
      <c r="HK132" s="150"/>
      <c r="HL132" s="150"/>
      <c r="HM132" s="261"/>
      <c r="IC132" s="260"/>
      <c r="ID132" s="152"/>
      <c r="IE132" s="152"/>
      <c r="IF132" s="152"/>
      <c r="IG132" s="152"/>
      <c r="IH132" s="152"/>
      <c r="II132" s="152"/>
      <c r="IJ132" s="152"/>
      <c r="IK132" s="152"/>
      <c r="IL132" s="152"/>
      <c r="IM132" s="152"/>
      <c r="IN132" s="152"/>
      <c r="IO132" s="152"/>
      <c r="IP132" s="152"/>
      <c r="IQ132" s="152"/>
      <c r="IR132" s="152"/>
      <c r="IS132" s="152"/>
      <c r="IT132" s="152"/>
      <c r="IU132" s="152"/>
      <c r="IV132" s="152"/>
      <c r="IW132" s="152"/>
      <c r="IX132" s="152"/>
      <c r="IY132" s="152"/>
      <c r="IZ132" s="152"/>
      <c r="JA132" s="152"/>
      <c r="JB132" s="152"/>
      <c r="JC132" s="152"/>
      <c r="JD132" s="152"/>
      <c r="JE132" s="152"/>
      <c r="JF132" s="152"/>
      <c r="JG132" s="152"/>
      <c r="JH132" s="152"/>
      <c r="JI132" s="152"/>
      <c r="JJ132" s="152"/>
      <c r="JK132" s="152"/>
      <c r="JL132" s="152"/>
      <c r="JM132" s="152"/>
      <c r="JN132" s="152"/>
      <c r="JO132" s="152"/>
      <c r="JP132" s="152"/>
      <c r="JQ132" s="152"/>
      <c r="JR132" s="152"/>
      <c r="JS132" s="152"/>
      <c r="JT132" s="152"/>
      <c r="JU132" s="152"/>
      <c r="JV132" s="152"/>
    </row>
    <row r="133" spans="1:282" s="146" customFormat="1">
      <c r="A133" s="232"/>
      <c r="B133" s="173"/>
      <c r="C133" s="173"/>
      <c r="D133" s="233"/>
      <c r="E133" s="228"/>
      <c r="F133" s="234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3"/>
      <c r="AT133" s="173"/>
      <c r="AU133" s="173"/>
      <c r="AV133" s="173"/>
      <c r="AW133" s="173"/>
      <c r="AX133" s="173"/>
      <c r="AY133" s="173"/>
      <c r="AZ133" s="173"/>
      <c r="BA133" s="277"/>
      <c r="BB133" s="173"/>
      <c r="BC133" s="173"/>
      <c r="BD133" s="173"/>
      <c r="BE133" s="173"/>
      <c r="BF133" s="173"/>
      <c r="BG133" s="173"/>
      <c r="BH133" s="173"/>
      <c r="BI133" s="173"/>
      <c r="BJ133" s="173"/>
      <c r="BK133" s="173"/>
      <c r="BL133" s="173"/>
      <c r="BM133" s="173"/>
      <c r="BN133" s="173"/>
      <c r="BO133" s="173"/>
      <c r="BP133" s="173"/>
      <c r="BQ133" s="173"/>
      <c r="BR133" s="173"/>
      <c r="BS133" s="173"/>
      <c r="BT133" s="173"/>
      <c r="BU133" s="173"/>
      <c r="BV133" s="173"/>
      <c r="BW133" s="173"/>
      <c r="BX133" s="173"/>
      <c r="BY133" s="173"/>
      <c r="BZ133" s="173"/>
      <c r="CA133" s="173"/>
      <c r="CB133" s="173"/>
      <c r="CC133" s="173"/>
      <c r="CD133" s="173"/>
      <c r="CE133" s="173"/>
      <c r="CF133" s="173"/>
      <c r="CG133" s="173"/>
      <c r="CH133" s="173"/>
      <c r="CI133" s="173"/>
      <c r="CJ133" s="173"/>
      <c r="CK133" s="173"/>
      <c r="CL133" s="173"/>
      <c r="CM133" s="173"/>
      <c r="CN133" s="173"/>
      <c r="CO133" s="173"/>
      <c r="CP133" s="173"/>
      <c r="CQ133" s="173"/>
      <c r="CR133" s="151"/>
      <c r="CS133" s="173"/>
      <c r="CT133" s="173"/>
      <c r="CU133" s="173"/>
      <c r="CV133" s="173"/>
      <c r="CW133" s="173"/>
      <c r="CX133" s="173"/>
      <c r="CY133" s="173"/>
      <c r="CZ133" s="173"/>
      <c r="DA133" s="150"/>
      <c r="DB133" s="150"/>
      <c r="DC133" s="150"/>
      <c r="DD133" s="150"/>
      <c r="DE133" s="150"/>
      <c r="DF133" s="150"/>
      <c r="DG133" s="150"/>
      <c r="DH133" s="150"/>
      <c r="DI133" s="150"/>
      <c r="DJ133" s="150"/>
      <c r="DK133" s="222"/>
      <c r="DL133" s="222"/>
      <c r="DM133" s="222"/>
      <c r="DN133" s="174"/>
      <c r="DO133" s="174"/>
      <c r="DP133" s="174"/>
      <c r="DQ133" s="174"/>
      <c r="DR133" s="174"/>
      <c r="DS133" s="174"/>
      <c r="DT133" s="174"/>
      <c r="DU133" s="174"/>
      <c r="DV133" s="174"/>
      <c r="DW133" s="174"/>
      <c r="DX133" s="174"/>
      <c r="DY133" s="174"/>
      <c r="DZ133" s="174"/>
      <c r="EA133" s="174"/>
      <c r="EB133" s="174"/>
      <c r="EC133" s="174"/>
      <c r="ED133" s="174"/>
      <c r="EE133" s="174"/>
      <c r="EF133" s="174"/>
      <c r="EG133" s="174"/>
      <c r="EH133" s="174"/>
      <c r="EI133" s="174"/>
      <c r="EJ133" s="174"/>
      <c r="EK133" s="174"/>
      <c r="EL133" s="174"/>
      <c r="EM133" s="174"/>
      <c r="EN133" s="174"/>
      <c r="EO133" s="174"/>
      <c r="EP133" s="174"/>
      <c r="EQ133" s="174"/>
      <c r="ER133" s="174"/>
      <c r="ES133" s="174"/>
      <c r="ET133" s="174"/>
      <c r="EU133" s="174"/>
      <c r="EV133" s="174"/>
      <c r="EW133" s="174"/>
      <c r="EX133" s="174"/>
      <c r="EY133" s="174"/>
      <c r="EZ133" s="174"/>
      <c r="FA133" s="174"/>
      <c r="FB133" s="174"/>
      <c r="FC133" s="174"/>
      <c r="FD133" s="174"/>
      <c r="FE133" s="174"/>
      <c r="FF133" s="174"/>
      <c r="FG133" s="174"/>
      <c r="FH133" s="174"/>
      <c r="FI133" s="174"/>
      <c r="FJ133" s="174"/>
      <c r="FK133" s="174"/>
      <c r="FL133" s="174"/>
      <c r="FM133" s="174"/>
      <c r="FN133" s="174"/>
      <c r="FO133" s="174"/>
      <c r="FP133" s="174"/>
      <c r="FQ133" s="174"/>
      <c r="FR133" s="174"/>
      <c r="FS133" s="174"/>
      <c r="FT133" s="174"/>
      <c r="FU133" s="174"/>
      <c r="FV133" s="174"/>
      <c r="FW133" s="174"/>
      <c r="FX133" s="174"/>
      <c r="FY133" s="174"/>
      <c r="FZ133" s="174"/>
      <c r="GA133" s="174"/>
      <c r="GB133" s="174"/>
      <c r="GC133" s="174"/>
      <c r="GD133" s="174"/>
      <c r="GE133" s="174"/>
      <c r="GF133" s="174"/>
      <c r="GG133" s="174"/>
      <c r="GH133" s="174"/>
      <c r="GI133" s="174"/>
      <c r="GJ133" s="174"/>
      <c r="GK133" s="174"/>
      <c r="GL133" s="174"/>
      <c r="GM133" s="174"/>
      <c r="GN133" s="174"/>
      <c r="GO133" s="174"/>
      <c r="GP133" s="174"/>
      <c r="GQ133" s="174"/>
      <c r="GR133" s="174"/>
      <c r="GS133" s="174"/>
      <c r="GT133" s="174"/>
      <c r="GU133" s="174"/>
      <c r="GV133" s="174"/>
      <c r="GW133" s="174"/>
      <c r="GX133" s="174"/>
      <c r="GY133" s="174"/>
      <c r="GZ133" s="174"/>
      <c r="HA133" s="174"/>
      <c r="HB133" s="174"/>
      <c r="HC133" s="174"/>
      <c r="HD133" s="174"/>
      <c r="HE133" s="174"/>
      <c r="HF133" s="174"/>
      <c r="HG133" s="174"/>
      <c r="HH133" s="174"/>
      <c r="HI133" s="174"/>
      <c r="HJ133" s="174"/>
      <c r="HK133" s="174"/>
      <c r="HL133" s="174"/>
      <c r="HM133" s="174"/>
      <c r="HN133" s="174"/>
      <c r="HO133" s="174"/>
      <c r="HP133" s="174"/>
      <c r="HQ133" s="174"/>
      <c r="HR133" s="174"/>
      <c r="HS133" s="174"/>
      <c r="HT133" s="174"/>
      <c r="HU133" s="174"/>
      <c r="HV133" s="174"/>
      <c r="HW133" s="174"/>
      <c r="HX133" s="174"/>
      <c r="HY133" s="174"/>
      <c r="HZ133" s="174"/>
      <c r="IA133" s="174"/>
      <c r="IB133" s="174"/>
      <c r="IC133" s="174"/>
      <c r="ID133" s="174"/>
      <c r="IE133" s="174"/>
      <c r="IF133" s="174"/>
      <c r="IG133" s="174"/>
      <c r="IH133" s="174"/>
      <c r="II133" s="174"/>
      <c r="IJ133" s="174"/>
      <c r="IK133" s="174"/>
      <c r="IL133" s="174"/>
      <c r="IM133" s="174"/>
      <c r="IN133" s="174"/>
      <c r="IO133" s="174"/>
      <c r="IP133" s="174"/>
      <c r="IQ133" s="174"/>
      <c r="IR133" s="174"/>
      <c r="IS133" s="174"/>
      <c r="IT133" s="174"/>
      <c r="IU133" s="174"/>
      <c r="IV133" s="174"/>
      <c r="IW133" s="174"/>
      <c r="IX133" s="174"/>
      <c r="IY133" s="174"/>
      <c r="IZ133" s="174"/>
      <c r="JA133" s="174"/>
      <c r="JB133" s="174"/>
      <c r="JC133" s="174"/>
      <c r="JD133" s="174"/>
      <c r="JE133" s="174"/>
      <c r="JF133" s="174"/>
      <c r="JG133" s="174"/>
      <c r="JH133" s="174"/>
      <c r="JI133" s="174"/>
      <c r="JJ133" s="174"/>
      <c r="JK133" s="174"/>
      <c r="JL133" s="174"/>
      <c r="JM133" s="174"/>
      <c r="JN133" s="174"/>
      <c r="JO133" s="174"/>
      <c r="JP133" s="174"/>
      <c r="JQ133" s="174"/>
      <c r="JR133" s="174"/>
      <c r="JS133" s="174"/>
      <c r="JT133" s="174"/>
      <c r="JU133" s="174"/>
      <c r="JV133" s="174"/>
    </row>
    <row r="134" spans="1:282" s="272" customFormat="1">
      <c r="A134" s="264"/>
      <c r="B134" s="265"/>
      <c r="C134" s="265"/>
      <c r="D134" s="266"/>
      <c r="E134" s="267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5"/>
      <c r="AL134" s="265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65"/>
      <c r="AY134" s="265"/>
      <c r="AZ134" s="265"/>
      <c r="BA134" s="277"/>
      <c r="BB134" s="265"/>
      <c r="BC134" s="265"/>
      <c r="BD134" s="265"/>
      <c r="BE134" s="265"/>
      <c r="BF134" s="265"/>
      <c r="BG134" s="265"/>
      <c r="BH134" s="265"/>
      <c r="BI134" s="265"/>
      <c r="BJ134" s="265"/>
      <c r="BK134" s="265"/>
      <c r="BL134" s="265"/>
      <c r="BM134" s="265"/>
      <c r="BN134" s="265"/>
      <c r="BO134" s="265"/>
      <c r="BP134" s="265"/>
      <c r="BQ134" s="265"/>
      <c r="BR134" s="265"/>
      <c r="BS134" s="265"/>
      <c r="BT134" s="265"/>
      <c r="BU134" s="265"/>
      <c r="BV134" s="265"/>
      <c r="BW134" s="265"/>
      <c r="BX134" s="265"/>
      <c r="BY134" s="265"/>
      <c r="BZ134" s="265"/>
      <c r="CA134" s="265"/>
      <c r="CB134" s="265"/>
      <c r="CC134" s="265"/>
      <c r="CD134" s="265"/>
      <c r="CE134" s="265"/>
      <c r="CF134" s="265"/>
      <c r="CG134" s="265"/>
      <c r="CH134" s="265"/>
      <c r="CI134" s="265"/>
      <c r="CJ134" s="265"/>
      <c r="CK134" s="265"/>
      <c r="CL134" s="265"/>
      <c r="CM134" s="265"/>
      <c r="CN134" s="265"/>
      <c r="CO134" s="265"/>
      <c r="CP134" s="265"/>
      <c r="CQ134" s="265"/>
      <c r="CR134" s="268"/>
      <c r="CS134" s="265"/>
      <c r="CT134" s="265"/>
      <c r="CU134" s="265"/>
      <c r="CV134" s="265"/>
      <c r="CW134" s="265"/>
      <c r="CX134" s="265"/>
      <c r="CY134" s="265"/>
      <c r="CZ134" s="265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70"/>
      <c r="DL134" s="270"/>
      <c r="DM134" s="270"/>
      <c r="DN134" s="271"/>
      <c r="DO134" s="271"/>
      <c r="DP134" s="271"/>
      <c r="DQ134" s="271"/>
      <c r="DR134" s="271"/>
      <c r="DS134" s="271"/>
      <c r="DT134" s="271"/>
      <c r="DU134" s="271"/>
      <c r="DV134" s="271"/>
      <c r="DW134" s="271"/>
      <c r="DX134" s="271"/>
      <c r="DY134" s="271"/>
      <c r="DZ134" s="271"/>
      <c r="EA134" s="271"/>
      <c r="EB134" s="271"/>
      <c r="EC134" s="271"/>
      <c r="ED134" s="271"/>
      <c r="EE134" s="271"/>
      <c r="EF134" s="271"/>
      <c r="EG134" s="271"/>
      <c r="EH134" s="271"/>
      <c r="EI134" s="271"/>
      <c r="EJ134" s="271"/>
      <c r="EK134" s="271"/>
      <c r="EL134" s="271"/>
      <c r="EM134" s="271"/>
      <c r="EN134" s="271"/>
      <c r="EO134" s="271"/>
      <c r="EP134" s="271"/>
      <c r="EQ134" s="271"/>
      <c r="ER134" s="271"/>
      <c r="ES134" s="271"/>
      <c r="ET134" s="271"/>
      <c r="EU134" s="271"/>
      <c r="EV134" s="271"/>
      <c r="EW134" s="271"/>
      <c r="EX134" s="271"/>
      <c r="EY134" s="271"/>
      <c r="EZ134" s="271"/>
      <c r="FA134" s="271"/>
      <c r="FB134" s="271"/>
      <c r="FC134" s="271"/>
      <c r="FD134" s="271"/>
      <c r="FE134" s="271"/>
      <c r="FF134" s="271"/>
      <c r="FG134" s="271"/>
      <c r="FH134" s="271"/>
      <c r="FI134" s="271"/>
      <c r="FJ134" s="271"/>
      <c r="FK134" s="271"/>
      <c r="FL134" s="271"/>
      <c r="FM134" s="271"/>
      <c r="FN134" s="271"/>
      <c r="FO134" s="271"/>
      <c r="FP134" s="271"/>
      <c r="FQ134" s="271"/>
      <c r="FR134" s="271"/>
      <c r="FS134" s="271"/>
      <c r="FT134" s="271"/>
      <c r="FU134" s="271"/>
      <c r="FV134" s="271"/>
      <c r="FW134" s="271"/>
      <c r="FX134" s="271"/>
      <c r="FY134" s="271"/>
      <c r="FZ134" s="271"/>
      <c r="GA134" s="271"/>
      <c r="GB134" s="271"/>
      <c r="GC134" s="271"/>
      <c r="GD134" s="271"/>
      <c r="GE134" s="271"/>
      <c r="GF134" s="271"/>
      <c r="GG134" s="271"/>
      <c r="GH134" s="271"/>
      <c r="GI134" s="271"/>
      <c r="GJ134" s="271"/>
      <c r="GK134" s="271"/>
      <c r="GL134" s="271"/>
      <c r="GM134" s="271"/>
      <c r="GN134" s="271"/>
      <c r="GO134" s="271"/>
      <c r="GP134" s="271"/>
      <c r="GQ134" s="271"/>
      <c r="GR134" s="271"/>
      <c r="GS134" s="271"/>
      <c r="GT134" s="271"/>
      <c r="GU134" s="271"/>
      <c r="GV134" s="271"/>
      <c r="GW134" s="271"/>
      <c r="GX134" s="271"/>
      <c r="GY134" s="271"/>
      <c r="GZ134" s="271"/>
      <c r="HA134" s="271"/>
      <c r="HB134" s="271"/>
      <c r="HC134" s="271"/>
      <c r="HD134" s="271"/>
      <c r="HE134" s="271"/>
      <c r="HF134" s="271"/>
      <c r="HG134" s="271"/>
      <c r="HH134" s="271"/>
      <c r="HI134" s="271"/>
      <c r="HJ134" s="271"/>
      <c r="HK134" s="271"/>
      <c r="HL134" s="271"/>
      <c r="HM134" s="271"/>
      <c r="HN134" s="271"/>
      <c r="HO134" s="271"/>
      <c r="HP134" s="271"/>
      <c r="HQ134" s="271"/>
      <c r="HR134" s="271"/>
      <c r="HS134" s="271"/>
      <c r="HT134" s="271"/>
      <c r="HU134" s="271"/>
      <c r="HV134" s="271"/>
      <c r="HW134" s="271"/>
      <c r="HX134" s="271"/>
      <c r="HY134" s="271"/>
      <c r="HZ134" s="271"/>
      <c r="IA134" s="271"/>
      <c r="IB134" s="271"/>
      <c r="IC134" s="271"/>
      <c r="ID134" s="271"/>
      <c r="IE134" s="271"/>
      <c r="IF134" s="271"/>
      <c r="IG134" s="271"/>
      <c r="IH134" s="271"/>
      <c r="II134" s="271"/>
      <c r="IJ134" s="271"/>
      <c r="IK134" s="271"/>
      <c r="IL134" s="271"/>
      <c r="IM134" s="271"/>
      <c r="IN134" s="271"/>
      <c r="IO134" s="271"/>
      <c r="IP134" s="271"/>
      <c r="IQ134" s="271"/>
      <c r="IR134" s="271"/>
      <c r="IS134" s="271"/>
      <c r="IT134" s="271"/>
      <c r="IU134" s="271"/>
      <c r="IV134" s="271"/>
      <c r="IW134" s="271"/>
      <c r="IX134" s="271"/>
      <c r="IY134" s="271"/>
      <c r="IZ134" s="271"/>
      <c r="JA134" s="271"/>
      <c r="JB134" s="271"/>
      <c r="JC134" s="271"/>
      <c r="JD134" s="271"/>
      <c r="JE134" s="271"/>
      <c r="JF134" s="271"/>
      <c r="JG134" s="271"/>
      <c r="JH134" s="271"/>
      <c r="JI134" s="271"/>
      <c r="JJ134" s="271"/>
      <c r="JK134" s="271"/>
      <c r="JL134" s="271"/>
      <c r="JM134" s="271"/>
      <c r="JN134" s="271"/>
      <c r="JO134" s="271"/>
      <c r="JP134" s="271"/>
      <c r="JQ134" s="271"/>
      <c r="JR134" s="271"/>
      <c r="JS134" s="271"/>
      <c r="JT134" s="271"/>
      <c r="JU134" s="271"/>
      <c r="JV134" s="271"/>
    </row>
    <row r="135" spans="1:282" s="272" customFormat="1">
      <c r="A135" s="264"/>
      <c r="B135" s="265"/>
      <c r="C135" s="265"/>
      <c r="D135" s="266"/>
      <c r="E135" s="267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  <c r="AL135" s="265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65"/>
      <c r="AY135" s="265"/>
      <c r="AZ135" s="265"/>
      <c r="BA135" s="277"/>
      <c r="BB135" s="265"/>
      <c r="BC135" s="265"/>
      <c r="BD135" s="265"/>
      <c r="BE135" s="265"/>
      <c r="BF135" s="265"/>
      <c r="BG135" s="265"/>
      <c r="BH135" s="265"/>
      <c r="BI135" s="265"/>
      <c r="BJ135" s="265"/>
      <c r="BK135" s="265"/>
      <c r="BL135" s="265"/>
      <c r="BM135" s="265"/>
      <c r="BN135" s="265"/>
      <c r="BO135" s="265"/>
      <c r="BP135" s="265"/>
      <c r="BQ135" s="265"/>
      <c r="BR135" s="265"/>
      <c r="BS135" s="265"/>
      <c r="BT135" s="265"/>
      <c r="BU135" s="265"/>
      <c r="BV135" s="265"/>
      <c r="BW135" s="265"/>
      <c r="BX135" s="265"/>
      <c r="BY135" s="265"/>
      <c r="BZ135" s="265"/>
      <c r="CA135" s="265"/>
      <c r="CB135" s="265"/>
      <c r="CC135" s="265"/>
      <c r="CD135" s="265"/>
      <c r="CE135" s="265"/>
      <c r="CF135" s="265"/>
      <c r="CG135" s="265"/>
      <c r="CH135" s="265"/>
      <c r="CI135" s="265"/>
      <c r="CJ135" s="265"/>
      <c r="CK135" s="265"/>
      <c r="CL135" s="265"/>
      <c r="CM135" s="265"/>
      <c r="CN135" s="265"/>
      <c r="CO135" s="265"/>
      <c r="CP135" s="265"/>
      <c r="CQ135" s="265"/>
      <c r="CR135" s="268"/>
      <c r="CS135" s="265"/>
      <c r="CT135" s="265"/>
      <c r="CU135" s="265"/>
      <c r="CV135" s="265"/>
      <c r="CW135" s="265"/>
      <c r="CX135" s="265"/>
      <c r="CY135" s="265"/>
      <c r="CZ135" s="265"/>
      <c r="DA135" s="270"/>
      <c r="DB135" s="270"/>
      <c r="DC135" s="270"/>
      <c r="DD135" s="270"/>
      <c r="DE135" s="270"/>
      <c r="DF135" s="270"/>
      <c r="DG135" s="270"/>
      <c r="DH135" s="270"/>
      <c r="DI135" s="270"/>
      <c r="DJ135" s="270"/>
      <c r="DK135" s="270"/>
      <c r="DL135" s="270"/>
      <c r="DM135" s="270"/>
      <c r="DN135" s="271"/>
      <c r="DO135" s="271"/>
      <c r="DP135" s="271"/>
      <c r="DQ135" s="271"/>
      <c r="DR135" s="271"/>
      <c r="DS135" s="271"/>
      <c r="DT135" s="271"/>
      <c r="DU135" s="271"/>
      <c r="DV135" s="271"/>
      <c r="DW135" s="271"/>
      <c r="DX135" s="271"/>
      <c r="DY135" s="271"/>
      <c r="DZ135" s="271"/>
      <c r="EA135" s="271"/>
      <c r="EB135" s="271"/>
      <c r="EC135" s="271"/>
      <c r="ED135" s="271"/>
      <c r="EE135" s="271"/>
      <c r="EF135" s="271"/>
      <c r="EG135" s="271"/>
      <c r="EH135" s="271"/>
      <c r="EI135" s="271"/>
      <c r="EJ135" s="271"/>
      <c r="EK135" s="271"/>
      <c r="EL135" s="271"/>
      <c r="EM135" s="271"/>
      <c r="EN135" s="271"/>
      <c r="EO135" s="271"/>
      <c r="EP135" s="271"/>
      <c r="EQ135" s="271"/>
      <c r="ER135" s="271"/>
      <c r="ES135" s="271"/>
      <c r="ET135" s="271"/>
      <c r="EU135" s="271"/>
      <c r="EV135" s="271"/>
      <c r="EW135" s="271"/>
      <c r="EX135" s="271"/>
      <c r="EY135" s="271"/>
      <c r="EZ135" s="271"/>
      <c r="FA135" s="271"/>
      <c r="FB135" s="271"/>
      <c r="FC135" s="271"/>
      <c r="FD135" s="271"/>
      <c r="FE135" s="271"/>
      <c r="FF135" s="271"/>
      <c r="FG135" s="271"/>
      <c r="FH135" s="271"/>
      <c r="FI135" s="271"/>
      <c r="FJ135" s="271"/>
      <c r="FK135" s="271"/>
      <c r="FL135" s="271"/>
      <c r="FM135" s="271"/>
      <c r="FN135" s="271"/>
      <c r="FO135" s="271"/>
      <c r="FP135" s="271"/>
      <c r="FQ135" s="271"/>
      <c r="FR135" s="271"/>
      <c r="FS135" s="271"/>
      <c r="FT135" s="271"/>
      <c r="FU135" s="271"/>
      <c r="FV135" s="271"/>
      <c r="FW135" s="271"/>
      <c r="FX135" s="271"/>
      <c r="FY135" s="271"/>
      <c r="FZ135" s="271"/>
      <c r="GA135" s="271"/>
      <c r="GB135" s="271"/>
      <c r="GC135" s="271"/>
      <c r="GD135" s="271"/>
      <c r="GE135" s="271"/>
      <c r="GF135" s="271"/>
      <c r="GG135" s="271"/>
      <c r="GH135" s="271"/>
      <c r="GI135" s="271"/>
      <c r="GJ135" s="271"/>
      <c r="GK135" s="271"/>
      <c r="GL135" s="271"/>
      <c r="GM135" s="271"/>
      <c r="GN135" s="271"/>
      <c r="GO135" s="271"/>
      <c r="GP135" s="271"/>
      <c r="GQ135" s="271"/>
      <c r="GR135" s="271"/>
      <c r="GS135" s="271"/>
      <c r="GT135" s="271"/>
      <c r="GU135" s="271"/>
      <c r="GV135" s="271"/>
      <c r="GW135" s="271"/>
      <c r="GX135" s="271"/>
      <c r="GY135" s="271"/>
      <c r="GZ135" s="271"/>
      <c r="HA135" s="271"/>
      <c r="HB135" s="271"/>
      <c r="HC135" s="271"/>
      <c r="HD135" s="271"/>
      <c r="HE135" s="271"/>
      <c r="HF135" s="271"/>
      <c r="HG135" s="271"/>
      <c r="HH135" s="271"/>
      <c r="HI135" s="271"/>
      <c r="HJ135" s="271"/>
      <c r="HK135" s="271"/>
      <c r="HL135" s="271"/>
      <c r="HM135" s="271"/>
      <c r="HN135" s="271"/>
      <c r="HO135" s="271"/>
      <c r="HP135" s="271"/>
      <c r="HQ135" s="271"/>
      <c r="HR135" s="271"/>
      <c r="HS135" s="271"/>
      <c r="HT135" s="271"/>
      <c r="HU135" s="271"/>
      <c r="HV135" s="271"/>
      <c r="HW135" s="271"/>
      <c r="HX135" s="271"/>
      <c r="HY135" s="271"/>
      <c r="HZ135" s="271"/>
      <c r="IA135" s="271"/>
      <c r="IB135" s="271"/>
      <c r="IC135" s="271"/>
      <c r="ID135" s="271"/>
      <c r="IE135" s="271"/>
      <c r="IF135" s="271"/>
      <c r="IG135" s="271"/>
      <c r="IH135" s="271"/>
      <c r="II135" s="271"/>
      <c r="IJ135" s="271"/>
      <c r="IK135" s="271"/>
      <c r="IL135" s="271"/>
      <c r="IM135" s="271"/>
      <c r="IN135" s="271"/>
      <c r="IO135" s="271"/>
      <c r="IP135" s="271"/>
      <c r="IQ135" s="271"/>
      <c r="IR135" s="271"/>
      <c r="IS135" s="271"/>
      <c r="IT135" s="271"/>
      <c r="IU135" s="271"/>
      <c r="IV135" s="271"/>
      <c r="IW135" s="271"/>
      <c r="IX135" s="271"/>
      <c r="IY135" s="271"/>
      <c r="IZ135" s="271"/>
      <c r="JA135" s="271"/>
      <c r="JB135" s="271"/>
      <c r="JC135" s="271"/>
      <c r="JD135" s="271"/>
      <c r="JE135" s="271"/>
      <c r="JF135" s="271"/>
      <c r="JG135" s="271"/>
      <c r="JH135" s="271"/>
      <c r="JI135" s="271"/>
      <c r="JJ135" s="271"/>
      <c r="JK135" s="271"/>
      <c r="JL135" s="271"/>
      <c r="JM135" s="271"/>
      <c r="JN135" s="271"/>
      <c r="JO135" s="271"/>
      <c r="JP135" s="271"/>
      <c r="JQ135" s="271"/>
      <c r="JR135" s="271"/>
      <c r="JS135" s="271"/>
      <c r="JT135" s="271"/>
      <c r="JU135" s="271"/>
      <c r="JV135" s="271"/>
    </row>
    <row r="136" spans="1:282" s="146" customFormat="1">
      <c r="A136" s="232"/>
      <c r="B136" s="173"/>
      <c r="C136" s="173"/>
      <c r="D136" s="233"/>
      <c r="E136" s="228"/>
      <c r="F136" s="234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3"/>
      <c r="AT136" s="173"/>
      <c r="AU136" s="173"/>
      <c r="AV136" s="173"/>
      <c r="AW136" s="173"/>
      <c r="AX136" s="173"/>
      <c r="AY136" s="173"/>
      <c r="AZ136" s="173"/>
      <c r="BA136" s="277"/>
      <c r="BB136" s="173"/>
      <c r="BC136" s="173"/>
      <c r="BD136" s="173"/>
      <c r="BE136" s="173"/>
      <c r="BF136" s="173"/>
      <c r="BG136" s="173"/>
      <c r="BH136" s="173"/>
      <c r="BI136" s="173"/>
      <c r="BJ136" s="173"/>
      <c r="BK136" s="173"/>
      <c r="BL136" s="173"/>
      <c r="BM136" s="173"/>
      <c r="BN136" s="173"/>
      <c r="BO136" s="173"/>
      <c r="BP136" s="173"/>
      <c r="BQ136" s="173"/>
      <c r="BR136" s="173"/>
      <c r="BS136" s="173"/>
      <c r="BT136" s="173"/>
      <c r="BU136" s="173"/>
      <c r="BV136" s="173"/>
      <c r="BW136" s="173"/>
      <c r="BX136" s="173"/>
      <c r="BY136" s="173"/>
      <c r="BZ136" s="173"/>
      <c r="CA136" s="173"/>
      <c r="CB136" s="173"/>
      <c r="CC136" s="173"/>
      <c r="CD136" s="173"/>
      <c r="CE136" s="173"/>
      <c r="CF136" s="173"/>
      <c r="CG136" s="173"/>
      <c r="CH136" s="173"/>
      <c r="CI136" s="173"/>
      <c r="CJ136" s="173"/>
      <c r="CK136" s="173"/>
      <c r="CL136" s="173"/>
      <c r="CM136" s="173"/>
      <c r="CN136" s="173"/>
      <c r="CO136" s="173"/>
      <c r="CP136" s="173"/>
      <c r="CQ136" s="173"/>
      <c r="CR136" s="151"/>
      <c r="CS136" s="173"/>
      <c r="CT136" s="173"/>
      <c r="CU136" s="173"/>
      <c r="CV136" s="173"/>
      <c r="CW136" s="173"/>
      <c r="CX136" s="173"/>
      <c r="CY136" s="173"/>
      <c r="CZ136" s="173"/>
      <c r="DA136" s="222"/>
      <c r="DB136" s="222"/>
      <c r="DC136" s="222"/>
      <c r="DD136" s="222"/>
      <c r="DE136" s="222"/>
      <c r="DF136" s="222"/>
      <c r="DG136" s="222"/>
      <c r="DH136" s="222"/>
      <c r="DI136" s="222"/>
      <c r="DJ136" s="222"/>
      <c r="DK136" s="222"/>
      <c r="DL136" s="222"/>
      <c r="DM136" s="222"/>
      <c r="DN136" s="174"/>
      <c r="DO136" s="174"/>
      <c r="DP136" s="174"/>
      <c r="DQ136" s="174"/>
      <c r="DR136" s="174"/>
      <c r="DS136" s="174"/>
      <c r="DT136" s="174"/>
      <c r="DU136" s="174"/>
      <c r="DV136" s="174"/>
      <c r="DW136" s="174"/>
      <c r="DX136" s="174"/>
      <c r="DY136" s="174"/>
      <c r="DZ136" s="174"/>
      <c r="EA136" s="174"/>
      <c r="EB136" s="174"/>
      <c r="EC136" s="174"/>
      <c r="ED136" s="174"/>
      <c r="EE136" s="174"/>
      <c r="EF136" s="174"/>
      <c r="EG136" s="174"/>
      <c r="EH136" s="174"/>
      <c r="EI136" s="174"/>
      <c r="EJ136" s="174"/>
      <c r="EK136" s="174"/>
      <c r="EL136" s="174"/>
      <c r="EM136" s="174"/>
      <c r="EN136" s="174"/>
      <c r="EO136" s="174"/>
      <c r="EP136" s="174"/>
      <c r="EQ136" s="174"/>
      <c r="ER136" s="174"/>
      <c r="ES136" s="174"/>
      <c r="ET136" s="174"/>
      <c r="EU136" s="174"/>
      <c r="EV136" s="174"/>
      <c r="EW136" s="174"/>
      <c r="EX136" s="174"/>
      <c r="EY136" s="174"/>
      <c r="EZ136" s="174"/>
      <c r="FA136" s="174"/>
      <c r="FB136" s="174"/>
      <c r="FC136" s="174"/>
      <c r="FD136" s="174"/>
      <c r="FE136" s="174"/>
      <c r="FF136" s="174"/>
      <c r="FG136" s="174"/>
      <c r="FH136" s="174"/>
      <c r="FI136" s="174"/>
      <c r="FJ136" s="174"/>
      <c r="FK136" s="174"/>
      <c r="FL136" s="174"/>
      <c r="FM136" s="174"/>
      <c r="FN136" s="174"/>
      <c r="FO136" s="174"/>
      <c r="FP136" s="174"/>
      <c r="FQ136" s="174"/>
      <c r="FR136" s="174"/>
      <c r="FS136" s="174"/>
      <c r="FT136" s="174"/>
      <c r="FU136" s="174"/>
      <c r="FV136" s="174"/>
      <c r="FW136" s="174"/>
      <c r="FX136" s="174"/>
      <c r="FY136" s="174"/>
      <c r="FZ136" s="174"/>
      <c r="GA136" s="174"/>
      <c r="GB136" s="174"/>
      <c r="GC136" s="174"/>
      <c r="GD136" s="174"/>
      <c r="GE136" s="174"/>
      <c r="GF136" s="174"/>
      <c r="GG136" s="174"/>
      <c r="GH136" s="174"/>
      <c r="GI136" s="174"/>
      <c r="GJ136" s="174"/>
      <c r="GK136" s="174"/>
      <c r="GL136" s="174"/>
      <c r="GM136" s="174"/>
      <c r="GN136" s="174"/>
      <c r="GO136" s="174"/>
      <c r="GP136" s="174"/>
      <c r="GQ136" s="174"/>
      <c r="GR136" s="174"/>
      <c r="GS136" s="174"/>
      <c r="GT136" s="174"/>
      <c r="GU136" s="174"/>
      <c r="GV136" s="174"/>
      <c r="GW136" s="174"/>
      <c r="GX136" s="174"/>
      <c r="GY136" s="174"/>
      <c r="GZ136" s="174"/>
      <c r="HA136" s="174"/>
      <c r="HB136" s="174"/>
      <c r="HC136" s="174"/>
      <c r="HD136" s="174"/>
      <c r="HE136" s="174"/>
      <c r="HF136" s="174"/>
      <c r="HG136" s="174"/>
      <c r="HH136" s="174"/>
      <c r="HI136" s="174"/>
      <c r="HJ136" s="174"/>
      <c r="HK136" s="174"/>
      <c r="HL136" s="174"/>
      <c r="HM136" s="174"/>
      <c r="HN136" s="174"/>
      <c r="HO136" s="174"/>
      <c r="HP136" s="174"/>
      <c r="HQ136" s="174"/>
      <c r="HR136" s="174"/>
      <c r="HS136" s="174"/>
      <c r="HT136" s="174"/>
      <c r="HU136" s="174"/>
      <c r="HV136" s="174"/>
      <c r="HW136" s="174"/>
      <c r="HX136" s="174"/>
      <c r="HY136" s="174"/>
      <c r="HZ136" s="174"/>
      <c r="IA136" s="174"/>
      <c r="IB136" s="174"/>
      <c r="IC136" s="174"/>
      <c r="ID136" s="174"/>
      <c r="IE136" s="174"/>
      <c r="IF136" s="174"/>
      <c r="IG136" s="174"/>
      <c r="IH136" s="174"/>
      <c r="II136" s="174"/>
      <c r="IJ136" s="174"/>
      <c r="IK136" s="174"/>
      <c r="IL136" s="174"/>
      <c r="IM136" s="174"/>
      <c r="IN136" s="174"/>
      <c r="IO136" s="174"/>
      <c r="IP136" s="174"/>
      <c r="IQ136" s="174"/>
      <c r="IR136" s="174"/>
      <c r="IS136" s="174"/>
      <c r="IT136" s="174"/>
      <c r="IU136" s="174"/>
      <c r="IV136" s="174"/>
      <c r="IW136" s="174"/>
      <c r="IX136" s="174"/>
      <c r="IY136" s="174"/>
      <c r="IZ136" s="174"/>
      <c r="JA136" s="174"/>
      <c r="JB136" s="174"/>
      <c r="JC136" s="174"/>
      <c r="JD136" s="174"/>
      <c r="JE136" s="174"/>
      <c r="JF136" s="174"/>
      <c r="JG136" s="174"/>
      <c r="JH136" s="174"/>
      <c r="JI136" s="174"/>
      <c r="JJ136" s="174"/>
      <c r="JK136" s="174"/>
      <c r="JL136" s="174"/>
      <c r="JM136" s="174"/>
      <c r="JN136" s="174"/>
      <c r="JO136" s="174"/>
      <c r="JP136" s="174"/>
      <c r="JQ136" s="174"/>
      <c r="JR136" s="174"/>
      <c r="JS136" s="174"/>
      <c r="JT136" s="174"/>
      <c r="JU136" s="174"/>
      <c r="JV136" s="174"/>
    </row>
    <row r="137" spans="1:282" s="146" customFormat="1">
      <c r="A137" s="232"/>
      <c r="B137" s="173"/>
      <c r="C137" s="173"/>
      <c r="D137" s="233"/>
      <c r="E137" s="228"/>
      <c r="F137" s="234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3"/>
      <c r="AT137" s="173"/>
      <c r="AU137" s="173"/>
      <c r="AV137" s="173"/>
      <c r="AW137" s="173"/>
      <c r="AX137" s="173"/>
      <c r="AY137" s="173"/>
      <c r="AZ137" s="173"/>
      <c r="BA137" s="277"/>
      <c r="BB137" s="173"/>
      <c r="BC137" s="173"/>
      <c r="BD137" s="173"/>
      <c r="BE137" s="173"/>
      <c r="BF137" s="173"/>
      <c r="BG137" s="173"/>
      <c r="BH137" s="173"/>
      <c r="BI137" s="173"/>
      <c r="BJ137" s="173"/>
      <c r="BK137" s="173"/>
      <c r="BL137" s="173"/>
      <c r="BM137" s="173"/>
      <c r="BN137" s="173"/>
      <c r="BO137" s="173"/>
      <c r="BP137" s="173"/>
      <c r="BQ137" s="173"/>
      <c r="BR137" s="173"/>
      <c r="BS137" s="173"/>
      <c r="BT137" s="173"/>
      <c r="BU137" s="173"/>
      <c r="BV137" s="173"/>
      <c r="BW137" s="173"/>
      <c r="BX137" s="173"/>
      <c r="BY137" s="173"/>
      <c r="BZ137" s="173"/>
      <c r="CA137" s="173"/>
      <c r="CB137" s="173"/>
      <c r="CC137" s="173"/>
      <c r="CD137" s="173"/>
      <c r="CE137" s="173"/>
      <c r="CF137" s="173"/>
      <c r="CG137" s="173"/>
      <c r="CH137" s="173"/>
      <c r="CI137" s="173"/>
      <c r="CJ137" s="173"/>
      <c r="CK137" s="173"/>
      <c r="CL137" s="173"/>
      <c r="CM137" s="173"/>
      <c r="CN137" s="173"/>
      <c r="CO137" s="173"/>
      <c r="CP137" s="173"/>
      <c r="CQ137" s="173"/>
      <c r="CR137" s="151"/>
      <c r="CS137" s="173"/>
      <c r="CT137" s="173"/>
      <c r="CU137" s="173"/>
      <c r="CV137" s="173"/>
      <c r="CW137" s="173"/>
      <c r="CX137" s="173"/>
      <c r="CY137" s="173"/>
      <c r="CZ137" s="173"/>
      <c r="DA137" s="150"/>
      <c r="DB137" s="150"/>
      <c r="DC137" s="150"/>
      <c r="DD137" s="150"/>
      <c r="DE137" s="150"/>
      <c r="DF137" s="150"/>
      <c r="DG137" s="150"/>
      <c r="DH137" s="150"/>
      <c r="DI137" s="150"/>
      <c r="DJ137" s="150"/>
      <c r="DK137" s="222"/>
      <c r="DL137" s="222"/>
      <c r="DM137" s="222"/>
      <c r="DN137" s="174"/>
      <c r="DO137" s="174"/>
      <c r="DP137" s="174"/>
      <c r="DQ137" s="174"/>
      <c r="DR137" s="174"/>
      <c r="DS137" s="174"/>
      <c r="DT137" s="174"/>
      <c r="DU137" s="174"/>
      <c r="DV137" s="174"/>
      <c r="DW137" s="174"/>
      <c r="DX137" s="174"/>
      <c r="DY137" s="174"/>
      <c r="DZ137" s="174"/>
      <c r="EA137" s="174"/>
      <c r="EB137" s="174"/>
      <c r="EC137" s="174"/>
      <c r="ED137" s="174"/>
      <c r="EE137" s="174"/>
      <c r="EF137" s="174"/>
      <c r="EG137" s="174"/>
      <c r="EH137" s="174"/>
      <c r="EI137" s="174"/>
      <c r="EJ137" s="174"/>
      <c r="EK137" s="174"/>
      <c r="EL137" s="174"/>
      <c r="EM137" s="174"/>
      <c r="EN137" s="174"/>
      <c r="EO137" s="174"/>
      <c r="EP137" s="174"/>
      <c r="EQ137" s="174"/>
      <c r="ER137" s="174"/>
      <c r="ES137" s="174"/>
      <c r="ET137" s="174"/>
      <c r="EU137" s="174"/>
      <c r="EV137" s="174"/>
      <c r="EW137" s="174"/>
      <c r="EX137" s="174"/>
      <c r="EY137" s="174"/>
      <c r="EZ137" s="174"/>
      <c r="FA137" s="174"/>
      <c r="FB137" s="174"/>
      <c r="FC137" s="174"/>
      <c r="FD137" s="174"/>
      <c r="FE137" s="174"/>
      <c r="FF137" s="174"/>
      <c r="FG137" s="174"/>
      <c r="FH137" s="174"/>
      <c r="FI137" s="174"/>
      <c r="FJ137" s="174"/>
      <c r="FK137" s="174"/>
      <c r="FL137" s="174"/>
      <c r="FM137" s="174"/>
      <c r="FN137" s="174"/>
      <c r="FO137" s="174"/>
      <c r="FP137" s="174"/>
      <c r="FQ137" s="174"/>
      <c r="FR137" s="174"/>
      <c r="FS137" s="174"/>
      <c r="FT137" s="174"/>
      <c r="FU137" s="174"/>
      <c r="FV137" s="174"/>
      <c r="FW137" s="174"/>
      <c r="FX137" s="174"/>
      <c r="FY137" s="174"/>
      <c r="FZ137" s="174"/>
      <c r="GA137" s="174"/>
      <c r="GB137" s="174"/>
      <c r="GC137" s="174"/>
      <c r="GD137" s="174"/>
      <c r="GE137" s="174"/>
      <c r="GF137" s="174"/>
      <c r="GG137" s="174"/>
      <c r="GH137" s="174"/>
      <c r="GI137" s="174"/>
      <c r="GJ137" s="174"/>
      <c r="GK137" s="174"/>
      <c r="GL137" s="174"/>
      <c r="GM137" s="174"/>
      <c r="GN137" s="174"/>
      <c r="GO137" s="174"/>
      <c r="GP137" s="174"/>
      <c r="GQ137" s="174"/>
      <c r="GR137" s="174"/>
      <c r="GS137" s="174"/>
      <c r="GT137" s="174"/>
      <c r="GU137" s="174"/>
      <c r="GV137" s="174"/>
      <c r="GW137" s="174"/>
      <c r="GX137" s="174"/>
      <c r="GY137" s="174"/>
      <c r="GZ137" s="174"/>
      <c r="HA137" s="174"/>
      <c r="HB137" s="174"/>
      <c r="HC137" s="174"/>
      <c r="HD137" s="174"/>
      <c r="HE137" s="174"/>
      <c r="HF137" s="174"/>
      <c r="HG137" s="174"/>
      <c r="HH137" s="174"/>
      <c r="HI137" s="174"/>
      <c r="HJ137" s="174"/>
      <c r="HK137" s="174"/>
      <c r="HL137" s="174"/>
      <c r="HM137" s="174"/>
      <c r="HN137" s="174"/>
      <c r="HO137" s="174"/>
      <c r="HP137" s="174"/>
      <c r="HQ137" s="174"/>
      <c r="HR137" s="174"/>
      <c r="HS137" s="174"/>
      <c r="HT137" s="174"/>
      <c r="HU137" s="174"/>
      <c r="HV137" s="174"/>
      <c r="HW137" s="174"/>
      <c r="HX137" s="174"/>
      <c r="HY137" s="174"/>
      <c r="HZ137" s="174"/>
      <c r="IA137" s="174"/>
      <c r="IB137" s="174"/>
      <c r="IC137" s="174"/>
      <c r="ID137" s="174"/>
      <c r="IE137" s="174"/>
      <c r="IF137" s="174"/>
      <c r="IG137" s="174"/>
      <c r="IH137" s="174"/>
      <c r="II137" s="174"/>
      <c r="IJ137" s="174"/>
      <c r="IK137" s="174"/>
      <c r="IL137" s="174"/>
      <c r="IM137" s="174"/>
      <c r="IN137" s="174"/>
      <c r="IO137" s="174"/>
      <c r="IP137" s="174"/>
      <c r="IQ137" s="174"/>
      <c r="IR137" s="174"/>
      <c r="IS137" s="174"/>
      <c r="IT137" s="174"/>
      <c r="IU137" s="174"/>
      <c r="IV137" s="174"/>
      <c r="IW137" s="174"/>
      <c r="IX137" s="174"/>
      <c r="IY137" s="174"/>
      <c r="IZ137" s="174"/>
      <c r="JA137" s="174"/>
      <c r="JB137" s="174"/>
      <c r="JC137" s="174"/>
      <c r="JD137" s="174"/>
      <c r="JE137" s="174"/>
      <c r="JF137" s="174"/>
      <c r="JG137" s="174"/>
      <c r="JH137" s="174"/>
      <c r="JI137" s="174"/>
      <c r="JJ137" s="174"/>
      <c r="JK137" s="174"/>
      <c r="JL137" s="174"/>
      <c r="JM137" s="174"/>
      <c r="JN137" s="174"/>
      <c r="JO137" s="174"/>
      <c r="JP137" s="174"/>
      <c r="JQ137" s="174"/>
      <c r="JR137" s="174"/>
      <c r="JS137" s="174"/>
      <c r="JT137" s="174"/>
      <c r="JU137" s="174"/>
      <c r="JV137" s="174"/>
    </row>
    <row r="138" spans="1:282" s="146" customFormat="1">
      <c r="A138" s="232"/>
      <c r="B138" s="173"/>
      <c r="C138" s="173"/>
      <c r="D138" s="233"/>
      <c r="E138" s="228"/>
      <c r="F138" s="234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3"/>
      <c r="AT138" s="173"/>
      <c r="AU138" s="173"/>
      <c r="AV138" s="173"/>
      <c r="AW138" s="173"/>
      <c r="AX138" s="173"/>
      <c r="AY138" s="173"/>
      <c r="AZ138" s="173"/>
      <c r="BA138" s="277"/>
      <c r="BB138" s="173"/>
      <c r="BC138" s="173"/>
      <c r="BD138" s="173"/>
      <c r="BE138" s="173"/>
      <c r="BF138" s="173"/>
      <c r="BG138" s="173"/>
      <c r="BH138" s="173"/>
      <c r="BI138" s="173"/>
      <c r="BJ138" s="173"/>
      <c r="BK138" s="173"/>
      <c r="BL138" s="173"/>
      <c r="BM138" s="173"/>
      <c r="BN138" s="173"/>
      <c r="BO138" s="173"/>
      <c r="BP138" s="173"/>
      <c r="BQ138" s="173"/>
      <c r="BR138" s="173"/>
      <c r="BS138" s="173"/>
      <c r="BT138" s="173"/>
      <c r="BU138" s="173"/>
      <c r="BV138" s="173"/>
      <c r="BW138" s="173"/>
      <c r="BX138" s="173"/>
      <c r="BY138" s="173"/>
      <c r="BZ138" s="173"/>
      <c r="CA138" s="173"/>
      <c r="CB138" s="173"/>
      <c r="CC138" s="173"/>
      <c r="CD138" s="173"/>
      <c r="CE138" s="173"/>
      <c r="CF138" s="173"/>
      <c r="CG138" s="173"/>
      <c r="CH138" s="173"/>
      <c r="CI138" s="173"/>
      <c r="CJ138" s="173"/>
      <c r="CK138" s="173"/>
      <c r="CL138" s="173"/>
      <c r="CM138" s="173"/>
      <c r="CN138" s="173"/>
      <c r="CO138" s="173"/>
      <c r="CP138" s="173"/>
      <c r="CQ138" s="173"/>
      <c r="CR138" s="151"/>
      <c r="CS138" s="173"/>
      <c r="CT138" s="173"/>
      <c r="CU138" s="173"/>
      <c r="CV138" s="173"/>
      <c r="CW138" s="173"/>
      <c r="CX138" s="173"/>
      <c r="CY138" s="173"/>
      <c r="CZ138" s="173"/>
      <c r="DA138" s="150"/>
      <c r="DB138" s="150"/>
      <c r="DC138" s="150"/>
      <c r="DD138" s="150"/>
      <c r="DE138" s="150"/>
      <c r="DF138" s="150"/>
      <c r="DG138" s="150"/>
      <c r="DH138" s="150"/>
      <c r="DI138" s="150"/>
      <c r="DJ138" s="150"/>
      <c r="DK138" s="222"/>
      <c r="DL138" s="222"/>
      <c r="DM138" s="222"/>
      <c r="DN138" s="174"/>
      <c r="DO138" s="174"/>
      <c r="DP138" s="174"/>
      <c r="DQ138" s="174"/>
      <c r="DR138" s="174"/>
      <c r="DS138" s="174"/>
      <c r="DT138" s="174"/>
      <c r="DU138" s="174"/>
      <c r="DV138" s="174"/>
      <c r="DW138" s="174"/>
      <c r="DX138" s="174"/>
      <c r="DY138" s="174"/>
      <c r="DZ138" s="174"/>
      <c r="EA138" s="174"/>
      <c r="EB138" s="174"/>
      <c r="EC138" s="174"/>
      <c r="ED138" s="174"/>
      <c r="EE138" s="174"/>
      <c r="EF138" s="174"/>
      <c r="EG138" s="174"/>
      <c r="EH138" s="174"/>
      <c r="EI138" s="174"/>
      <c r="EJ138" s="174"/>
      <c r="EK138" s="174"/>
      <c r="EL138" s="174"/>
      <c r="EM138" s="174"/>
      <c r="EN138" s="174"/>
      <c r="EO138" s="174"/>
      <c r="EP138" s="174"/>
      <c r="EQ138" s="174"/>
      <c r="ER138" s="174"/>
      <c r="ES138" s="174"/>
      <c r="ET138" s="174"/>
      <c r="EU138" s="174"/>
      <c r="EV138" s="174"/>
      <c r="EW138" s="174"/>
      <c r="EX138" s="174"/>
      <c r="EY138" s="174"/>
      <c r="EZ138" s="174"/>
      <c r="FA138" s="174"/>
      <c r="FB138" s="174"/>
      <c r="FC138" s="174"/>
      <c r="FD138" s="174"/>
      <c r="FE138" s="174"/>
      <c r="FF138" s="174"/>
      <c r="FG138" s="174"/>
      <c r="FH138" s="174"/>
      <c r="FI138" s="174"/>
      <c r="FJ138" s="174"/>
      <c r="FK138" s="174"/>
      <c r="FL138" s="174"/>
      <c r="FM138" s="174"/>
      <c r="FN138" s="174"/>
      <c r="FO138" s="174"/>
      <c r="FP138" s="174"/>
      <c r="FQ138" s="174"/>
      <c r="FR138" s="174"/>
      <c r="FS138" s="174"/>
      <c r="FT138" s="174"/>
      <c r="FU138" s="174"/>
      <c r="FV138" s="174"/>
      <c r="FW138" s="174"/>
      <c r="FX138" s="174"/>
      <c r="FY138" s="174"/>
      <c r="FZ138" s="174"/>
      <c r="GA138" s="174"/>
      <c r="GB138" s="174"/>
      <c r="GC138" s="174"/>
      <c r="GD138" s="174"/>
      <c r="GE138" s="174"/>
      <c r="GF138" s="174"/>
      <c r="GG138" s="174"/>
      <c r="GH138" s="174"/>
      <c r="GI138" s="174"/>
      <c r="GJ138" s="174"/>
      <c r="GK138" s="174"/>
      <c r="GL138" s="174"/>
      <c r="GM138" s="174"/>
      <c r="GN138" s="174"/>
      <c r="GO138" s="174"/>
      <c r="GP138" s="174"/>
      <c r="GQ138" s="174"/>
      <c r="GR138" s="174"/>
      <c r="GS138" s="174"/>
      <c r="GT138" s="174"/>
      <c r="GU138" s="174"/>
      <c r="GV138" s="174"/>
      <c r="GW138" s="174"/>
      <c r="GX138" s="174"/>
      <c r="GY138" s="174"/>
      <c r="GZ138" s="174"/>
      <c r="HA138" s="174"/>
      <c r="HB138" s="174"/>
      <c r="HC138" s="174"/>
      <c r="HD138" s="174"/>
      <c r="HE138" s="174"/>
      <c r="HF138" s="174"/>
      <c r="HG138" s="174"/>
      <c r="HH138" s="174"/>
      <c r="HI138" s="174"/>
      <c r="HJ138" s="174"/>
      <c r="HK138" s="174"/>
      <c r="HL138" s="174"/>
      <c r="HM138" s="174"/>
      <c r="HN138" s="174"/>
      <c r="HO138" s="174"/>
      <c r="HP138" s="174"/>
      <c r="HQ138" s="174"/>
      <c r="HR138" s="174"/>
      <c r="HS138" s="174"/>
      <c r="HT138" s="174"/>
      <c r="HU138" s="174"/>
      <c r="HV138" s="174"/>
      <c r="HW138" s="174"/>
      <c r="HX138" s="174"/>
      <c r="HY138" s="174"/>
      <c r="HZ138" s="174"/>
      <c r="IA138" s="174"/>
      <c r="IB138" s="174"/>
      <c r="IC138" s="174"/>
      <c r="ID138" s="174"/>
      <c r="IE138" s="174"/>
      <c r="IF138" s="174"/>
      <c r="IG138" s="174"/>
      <c r="IH138" s="174"/>
      <c r="II138" s="174"/>
      <c r="IJ138" s="174"/>
      <c r="IK138" s="174"/>
      <c r="IL138" s="174"/>
      <c r="IM138" s="174"/>
      <c r="IN138" s="174"/>
      <c r="IO138" s="174"/>
      <c r="IP138" s="174"/>
      <c r="IQ138" s="174"/>
      <c r="IR138" s="174"/>
      <c r="IS138" s="174"/>
      <c r="IT138" s="174"/>
      <c r="IU138" s="174"/>
      <c r="IV138" s="174"/>
      <c r="IW138" s="174"/>
      <c r="IX138" s="174"/>
      <c r="IY138" s="174"/>
      <c r="IZ138" s="174"/>
      <c r="JA138" s="174"/>
      <c r="JB138" s="174"/>
      <c r="JC138" s="174"/>
      <c r="JD138" s="174"/>
      <c r="JE138" s="174"/>
      <c r="JF138" s="174"/>
      <c r="JG138" s="174"/>
      <c r="JH138" s="174"/>
      <c r="JI138" s="174"/>
      <c r="JJ138" s="174"/>
      <c r="JK138" s="174"/>
      <c r="JL138" s="174"/>
      <c r="JM138" s="174"/>
      <c r="JN138" s="174"/>
      <c r="JO138" s="174"/>
      <c r="JP138" s="174"/>
      <c r="JQ138" s="174"/>
      <c r="JR138" s="174"/>
      <c r="JS138" s="174"/>
      <c r="JT138" s="174"/>
      <c r="JU138" s="174"/>
      <c r="JV138" s="174"/>
    </row>
    <row r="139" spans="1:282" s="146" customFormat="1">
      <c r="A139" s="232"/>
      <c r="B139" s="173"/>
      <c r="C139" s="173"/>
      <c r="D139" s="233"/>
      <c r="E139" s="228"/>
      <c r="F139" s="234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  <c r="AQ139" s="173"/>
      <c r="AR139" s="173"/>
      <c r="AS139" s="173"/>
      <c r="AT139" s="173"/>
      <c r="AU139" s="173"/>
      <c r="AV139" s="173"/>
      <c r="AW139" s="173"/>
      <c r="AX139" s="173"/>
      <c r="AY139" s="173"/>
      <c r="AZ139" s="173"/>
      <c r="BA139" s="277"/>
      <c r="BB139" s="173"/>
      <c r="BC139" s="173"/>
      <c r="BD139" s="173"/>
      <c r="BE139" s="173"/>
      <c r="BF139" s="173"/>
      <c r="BG139" s="173"/>
      <c r="BH139" s="173"/>
      <c r="BI139" s="173"/>
      <c r="BJ139" s="173"/>
      <c r="BK139" s="173"/>
      <c r="BL139" s="173"/>
      <c r="BM139" s="173"/>
      <c r="BN139" s="173"/>
      <c r="BO139" s="173"/>
      <c r="BP139" s="173"/>
      <c r="BQ139" s="173"/>
      <c r="BR139" s="173"/>
      <c r="BS139" s="173"/>
      <c r="BT139" s="173"/>
      <c r="BU139" s="173"/>
      <c r="BV139" s="173"/>
      <c r="BW139" s="173"/>
      <c r="BX139" s="173"/>
      <c r="BY139" s="173"/>
      <c r="BZ139" s="173"/>
      <c r="CA139" s="173"/>
      <c r="CB139" s="173"/>
      <c r="CC139" s="173"/>
      <c r="CD139" s="173"/>
      <c r="CE139" s="173"/>
      <c r="CF139" s="173"/>
      <c r="CG139" s="173"/>
      <c r="CH139" s="173"/>
      <c r="CI139" s="173"/>
      <c r="CJ139" s="173"/>
      <c r="CK139" s="173"/>
      <c r="CL139" s="173"/>
      <c r="CM139" s="173"/>
      <c r="CN139" s="173"/>
      <c r="CO139" s="173"/>
      <c r="CP139" s="173"/>
      <c r="CQ139" s="173"/>
      <c r="CR139" s="151"/>
      <c r="CS139" s="173"/>
      <c r="CT139" s="173"/>
      <c r="CU139" s="173"/>
      <c r="CV139" s="173"/>
      <c r="CW139" s="173"/>
      <c r="CX139" s="173"/>
      <c r="CY139" s="173"/>
      <c r="CZ139" s="173"/>
      <c r="DA139" s="150"/>
      <c r="DB139" s="150"/>
      <c r="DC139" s="150"/>
      <c r="DD139" s="150"/>
      <c r="DE139" s="150"/>
      <c r="DF139" s="150"/>
      <c r="DG139" s="150"/>
      <c r="DH139" s="150"/>
      <c r="DI139" s="150"/>
      <c r="DJ139" s="150"/>
      <c r="DK139" s="222"/>
      <c r="DL139" s="222"/>
      <c r="DM139" s="222"/>
      <c r="DN139" s="174"/>
      <c r="DO139" s="174"/>
      <c r="DP139" s="174"/>
      <c r="DQ139" s="174"/>
      <c r="DR139" s="174"/>
      <c r="DS139" s="174"/>
      <c r="DT139" s="174"/>
      <c r="DU139" s="174"/>
      <c r="DV139" s="174"/>
      <c r="DW139" s="174"/>
      <c r="DX139" s="174"/>
      <c r="DY139" s="174"/>
      <c r="DZ139" s="174"/>
      <c r="EA139" s="174"/>
      <c r="EB139" s="174"/>
      <c r="EC139" s="174"/>
      <c r="ED139" s="174"/>
      <c r="EE139" s="174"/>
      <c r="EF139" s="174"/>
      <c r="EG139" s="174"/>
      <c r="EH139" s="174"/>
      <c r="EI139" s="174"/>
      <c r="EJ139" s="174"/>
      <c r="EK139" s="174"/>
      <c r="EL139" s="174"/>
      <c r="EM139" s="174"/>
      <c r="EN139" s="174"/>
      <c r="EO139" s="174"/>
      <c r="EP139" s="174"/>
      <c r="EQ139" s="174"/>
      <c r="ER139" s="174"/>
      <c r="ES139" s="174"/>
      <c r="ET139" s="174"/>
      <c r="EU139" s="174"/>
      <c r="EV139" s="174"/>
      <c r="EW139" s="174"/>
      <c r="EX139" s="174"/>
      <c r="EY139" s="174"/>
      <c r="EZ139" s="174"/>
      <c r="FA139" s="174"/>
      <c r="FB139" s="174"/>
      <c r="FC139" s="174"/>
      <c r="FD139" s="174"/>
      <c r="FE139" s="174"/>
      <c r="FF139" s="174"/>
      <c r="FG139" s="174"/>
      <c r="FH139" s="174"/>
      <c r="FI139" s="174"/>
      <c r="FJ139" s="174"/>
      <c r="FK139" s="174"/>
      <c r="FL139" s="174"/>
      <c r="FM139" s="174"/>
      <c r="FN139" s="174"/>
      <c r="FO139" s="174"/>
      <c r="FP139" s="174"/>
      <c r="FQ139" s="174"/>
      <c r="FR139" s="174"/>
      <c r="FS139" s="174"/>
      <c r="FT139" s="174"/>
      <c r="FU139" s="174"/>
      <c r="FV139" s="174"/>
      <c r="FW139" s="174"/>
      <c r="FX139" s="174"/>
      <c r="FY139" s="174"/>
      <c r="FZ139" s="174"/>
      <c r="GA139" s="174"/>
      <c r="GB139" s="174"/>
      <c r="GC139" s="174"/>
      <c r="GD139" s="174"/>
      <c r="GE139" s="174"/>
      <c r="GF139" s="174"/>
      <c r="GG139" s="174"/>
      <c r="GH139" s="174"/>
      <c r="GI139" s="174"/>
      <c r="GJ139" s="174"/>
      <c r="GK139" s="174"/>
      <c r="GL139" s="174"/>
      <c r="GM139" s="174"/>
      <c r="GN139" s="174"/>
      <c r="GO139" s="174"/>
      <c r="GP139" s="174"/>
      <c r="GQ139" s="174"/>
      <c r="GR139" s="174"/>
      <c r="GS139" s="174"/>
      <c r="GT139" s="174"/>
      <c r="GU139" s="174"/>
      <c r="GV139" s="174"/>
      <c r="GW139" s="174"/>
      <c r="GX139" s="174"/>
      <c r="GY139" s="174"/>
      <c r="GZ139" s="174"/>
      <c r="HA139" s="174"/>
      <c r="HB139" s="174"/>
      <c r="HC139" s="174"/>
      <c r="HD139" s="174"/>
      <c r="HE139" s="174"/>
      <c r="HF139" s="174"/>
      <c r="HG139" s="174"/>
      <c r="HH139" s="174"/>
      <c r="HI139" s="174"/>
      <c r="HJ139" s="174"/>
      <c r="HK139" s="174"/>
      <c r="HL139" s="174"/>
      <c r="HM139" s="174"/>
      <c r="HN139" s="174"/>
      <c r="HO139" s="174"/>
      <c r="HP139" s="174"/>
      <c r="HQ139" s="174"/>
      <c r="HR139" s="174"/>
      <c r="HS139" s="174"/>
      <c r="HT139" s="174"/>
      <c r="HU139" s="174"/>
      <c r="HV139" s="174"/>
      <c r="HW139" s="174"/>
      <c r="HX139" s="174"/>
      <c r="HY139" s="174"/>
      <c r="HZ139" s="174"/>
      <c r="IA139" s="174"/>
      <c r="IB139" s="174"/>
      <c r="IC139" s="174"/>
      <c r="ID139" s="174"/>
      <c r="IE139" s="174"/>
      <c r="IF139" s="174"/>
      <c r="IG139" s="174"/>
      <c r="IH139" s="174"/>
      <c r="II139" s="174"/>
      <c r="IJ139" s="174"/>
      <c r="IK139" s="174"/>
      <c r="IL139" s="174"/>
      <c r="IM139" s="174"/>
      <c r="IN139" s="174"/>
      <c r="IO139" s="174"/>
      <c r="IP139" s="174"/>
      <c r="IQ139" s="174"/>
      <c r="IR139" s="174"/>
      <c r="IS139" s="174"/>
      <c r="IT139" s="174"/>
      <c r="IU139" s="174"/>
      <c r="IV139" s="174"/>
      <c r="IW139" s="174"/>
      <c r="IX139" s="174"/>
      <c r="IY139" s="174"/>
      <c r="IZ139" s="174"/>
      <c r="JA139" s="174"/>
      <c r="JB139" s="174"/>
      <c r="JC139" s="174"/>
      <c r="JD139" s="174"/>
      <c r="JE139" s="174"/>
      <c r="JF139" s="174"/>
      <c r="JG139" s="174"/>
      <c r="JH139" s="174"/>
      <c r="JI139" s="174"/>
      <c r="JJ139" s="174"/>
      <c r="JK139" s="174"/>
      <c r="JL139" s="174"/>
      <c r="JM139" s="174"/>
      <c r="JN139" s="174"/>
      <c r="JO139" s="174"/>
      <c r="JP139" s="174"/>
      <c r="JQ139" s="174"/>
      <c r="JR139" s="174"/>
      <c r="JS139" s="174"/>
      <c r="JT139" s="174"/>
      <c r="JU139" s="174"/>
      <c r="JV139" s="174"/>
    </row>
    <row r="140" spans="1:282" s="146" customFormat="1">
      <c r="A140" s="232"/>
      <c r="B140" s="173"/>
      <c r="C140" s="173"/>
      <c r="D140" s="233"/>
      <c r="E140" s="228"/>
      <c r="F140" s="234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3"/>
      <c r="AT140" s="173"/>
      <c r="AU140" s="173"/>
      <c r="AV140" s="173"/>
      <c r="AW140" s="173"/>
      <c r="AX140" s="173"/>
      <c r="AY140" s="173"/>
      <c r="AZ140" s="173"/>
      <c r="BA140" s="277"/>
      <c r="BB140" s="173"/>
      <c r="BC140" s="173"/>
      <c r="BD140" s="173"/>
      <c r="BE140" s="173"/>
      <c r="BF140" s="173"/>
      <c r="BG140" s="173"/>
      <c r="BH140" s="173"/>
      <c r="BI140" s="173"/>
      <c r="BJ140" s="173"/>
      <c r="BK140" s="173"/>
      <c r="BL140" s="173"/>
      <c r="BM140" s="173"/>
      <c r="BN140" s="173"/>
      <c r="BO140" s="173"/>
      <c r="BP140" s="173"/>
      <c r="BQ140" s="173"/>
      <c r="BR140" s="173"/>
      <c r="BS140" s="173"/>
      <c r="BT140" s="173"/>
      <c r="BU140" s="173"/>
      <c r="BV140" s="173"/>
      <c r="BW140" s="173"/>
      <c r="BX140" s="173"/>
      <c r="BY140" s="173"/>
      <c r="BZ140" s="173"/>
      <c r="CA140" s="173"/>
      <c r="CB140" s="173"/>
      <c r="CC140" s="173"/>
      <c r="CD140" s="173"/>
      <c r="CE140" s="173"/>
      <c r="CF140" s="173"/>
      <c r="CG140" s="173"/>
      <c r="CH140" s="173"/>
      <c r="CI140" s="173"/>
      <c r="CJ140" s="173"/>
      <c r="CK140" s="173"/>
      <c r="CL140" s="173"/>
      <c r="CM140" s="173"/>
      <c r="CN140" s="173"/>
      <c r="CO140" s="173"/>
      <c r="CP140" s="173"/>
      <c r="CQ140" s="173"/>
      <c r="CR140" s="151"/>
      <c r="CS140" s="173"/>
      <c r="CT140" s="173"/>
      <c r="CU140" s="173"/>
      <c r="CV140" s="173"/>
      <c r="CW140" s="173"/>
      <c r="CX140" s="150"/>
      <c r="CY140" s="173"/>
      <c r="CZ140" s="173"/>
      <c r="DA140" s="222"/>
      <c r="DB140" s="222"/>
      <c r="DC140" s="222"/>
      <c r="DD140" s="222"/>
      <c r="DE140" s="222"/>
      <c r="DF140" s="222"/>
      <c r="DG140" s="222"/>
      <c r="DH140" s="222"/>
      <c r="DI140" s="222"/>
      <c r="DJ140" s="222"/>
      <c r="DK140" s="222"/>
      <c r="DL140" s="222"/>
      <c r="DM140" s="222"/>
      <c r="DN140" s="174"/>
      <c r="DO140" s="174"/>
      <c r="DP140" s="174"/>
      <c r="DQ140" s="174"/>
      <c r="DR140" s="174"/>
      <c r="DS140" s="174"/>
      <c r="DT140" s="174"/>
      <c r="DU140" s="174"/>
      <c r="DV140" s="174"/>
      <c r="DW140" s="174"/>
      <c r="DX140" s="174"/>
      <c r="DY140" s="174"/>
      <c r="DZ140" s="174"/>
      <c r="EA140" s="174"/>
      <c r="EB140" s="174"/>
      <c r="EC140" s="174"/>
      <c r="ED140" s="174"/>
      <c r="EE140" s="174"/>
      <c r="EF140" s="174"/>
      <c r="EG140" s="174"/>
      <c r="EH140" s="174"/>
      <c r="EI140" s="174"/>
      <c r="EJ140" s="174"/>
      <c r="EK140" s="174"/>
      <c r="EL140" s="174"/>
      <c r="EM140" s="174"/>
      <c r="EN140" s="174"/>
      <c r="EO140" s="174"/>
      <c r="EP140" s="174"/>
      <c r="EQ140" s="174"/>
      <c r="ER140" s="174"/>
      <c r="ES140" s="174"/>
      <c r="ET140" s="174"/>
      <c r="EU140" s="174"/>
      <c r="EV140" s="174"/>
      <c r="EW140" s="174"/>
      <c r="EX140" s="174"/>
      <c r="EY140" s="174"/>
      <c r="EZ140" s="174"/>
      <c r="FA140" s="174"/>
      <c r="FB140" s="174"/>
      <c r="FC140" s="174"/>
      <c r="FD140" s="174"/>
      <c r="FE140" s="174"/>
      <c r="FF140" s="174"/>
      <c r="FG140" s="174"/>
      <c r="FH140" s="174"/>
      <c r="FI140" s="174"/>
      <c r="FJ140" s="174"/>
      <c r="FK140" s="174"/>
      <c r="FL140" s="174"/>
      <c r="FM140" s="174"/>
      <c r="FN140" s="174"/>
      <c r="FO140" s="174"/>
      <c r="FP140" s="174"/>
      <c r="FQ140" s="174"/>
      <c r="FR140" s="174"/>
      <c r="FS140" s="174"/>
      <c r="FT140" s="174"/>
      <c r="FU140" s="174"/>
      <c r="FV140" s="174"/>
      <c r="FW140" s="174"/>
      <c r="FX140" s="174"/>
      <c r="FY140" s="174"/>
      <c r="FZ140" s="174"/>
      <c r="GA140" s="174"/>
      <c r="GB140" s="174"/>
      <c r="GC140" s="174"/>
      <c r="GD140" s="174"/>
      <c r="GE140" s="174"/>
      <c r="GF140" s="174"/>
      <c r="GG140" s="174"/>
      <c r="GH140" s="174"/>
      <c r="GI140" s="174"/>
      <c r="GJ140" s="174"/>
      <c r="GK140" s="174"/>
      <c r="GL140" s="174"/>
      <c r="GM140" s="174"/>
      <c r="GN140" s="174"/>
      <c r="GO140" s="174"/>
      <c r="GP140" s="174"/>
      <c r="GQ140" s="174"/>
      <c r="GR140" s="174"/>
      <c r="GS140" s="174"/>
      <c r="GT140" s="174"/>
      <c r="GU140" s="174"/>
      <c r="GV140" s="174"/>
      <c r="GW140" s="174"/>
      <c r="GX140" s="174"/>
      <c r="GY140" s="174"/>
      <c r="GZ140" s="174"/>
      <c r="HA140" s="174"/>
      <c r="HB140" s="174"/>
      <c r="HC140" s="174"/>
      <c r="HD140" s="174"/>
      <c r="HE140" s="174"/>
      <c r="HF140" s="174"/>
      <c r="HG140" s="174"/>
      <c r="HH140" s="174"/>
      <c r="HI140" s="174"/>
      <c r="HJ140" s="174"/>
      <c r="HK140" s="174"/>
      <c r="HL140" s="174"/>
      <c r="HM140" s="174"/>
      <c r="HN140" s="174"/>
      <c r="HO140" s="174"/>
      <c r="HP140" s="174"/>
      <c r="HQ140" s="174"/>
      <c r="HR140" s="174"/>
      <c r="HS140" s="174"/>
      <c r="HT140" s="174"/>
      <c r="HU140" s="174"/>
      <c r="HV140" s="174"/>
      <c r="HW140" s="174"/>
      <c r="HX140" s="174"/>
      <c r="HY140" s="174"/>
      <c r="HZ140" s="174"/>
      <c r="IA140" s="174"/>
      <c r="IB140" s="174"/>
      <c r="IC140" s="174"/>
      <c r="ID140" s="174"/>
      <c r="IE140" s="174"/>
      <c r="IF140" s="174"/>
      <c r="IG140" s="174"/>
      <c r="IH140" s="174"/>
      <c r="II140" s="174"/>
      <c r="IJ140" s="174"/>
      <c r="IK140" s="174"/>
      <c r="IL140" s="174"/>
      <c r="IM140" s="174"/>
      <c r="IN140" s="174"/>
      <c r="IO140" s="174"/>
      <c r="IP140" s="174"/>
      <c r="IQ140" s="174"/>
      <c r="IR140" s="174"/>
      <c r="IS140" s="174"/>
      <c r="IT140" s="174"/>
      <c r="IU140" s="174"/>
      <c r="IV140" s="174"/>
      <c r="IW140" s="174"/>
      <c r="IX140" s="174"/>
      <c r="IY140" s="174"/>
      <c r="IZ140" s="174"/>
      <c r="JA140" s="174"/>
      <c r="JB140" s="174"/>
      <c r="JC140" s="174"/>
      <c r="JD140" s="174"/>
      <c r="JE140" s="174"/>
      <c r="JF140" s="174"/>
      <c r="JG140" s="174"/>
      <c r="JH140" s="174"/>
      <c r="JI140" s="174"/>
      <c r="JJ140" s="174"/>
      <c r="JK140" s="174"/>
      <c r="JL140" s="174"/>
      <c r="JM140" s="174"/>
      <c r="JN140" s="174"/>
      <c r="JO140" s="174"/>
      <c r="JP140" s="174"/>
      <c r="JQ140" s="174"/>
      <c r="JR140" s="174"/>
      <c r="JS140" s="174"/>
      <c r="JT140" s="174"/>
      <c r="JU140" s="174"/>
      <c r="JV140" s="174"/>
    </row>
    <row r="141" spans="1:282" s="146" customFormat="1">
      <c r="A141" s="232"/>
      <c r="B141" s="173"/>
      <c r="C141" s="173"/>
      <c r="D141" s="233"/>
      <c r="E141" s="228"/>
      <c r="F141" s="234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  <c r="AQ141" s="173"/>
      <c r="AR141" s="173"/>
      <c r="AS141" s="173"/>
      <c r="AT141" s="173"/>
      <c r="AU141" s="173"/>
      <c r="AV141" s="173"/>
      <c r="AW141" s="173"/>
      <c r="AX141" s="173"/>
      <c r="AY141" s="173"/>
      <c r="AZ141" s="173"/>
      <c r="BA141" s="277"/>
      <c r="BB141" s="173"/>
      <c r="BC141" s="173"/>
      <c r="BD141" s="173"/>
      <c r="BE141" s="173"/>
      <c r="BF141" s="173"/>
      <c r="BG141" s="173"/>
      <c r="BH141" s="173"/>
      <c r="BI141" s="173"/>
      <c r="BJ141" s="173"/>
      <c r="BK141" s="173"/>
      <c r="BL141" s="173"/>
      <c r="BM141" s="173"/>
      <c r="BN141" s="173"/>
      <c r="BO141" s="173"/>
      <c r="BP141" s="173"/>
      <c r="BQ141" s="173"/>
      <c r="BR141" s="173"/>
      <c r="BS141" s="173"/>
      <c r="BT141" s="173"/>
      <c r="BU141" s="173"/>
      <c r="BV141" s="173"/>
      <c r="BW141" s="173"/>
      <c r="BX141" s="173"/>
      <c r="BY141" s="173"/>
      <c r="BZ141" s="173"/>
      <c r="CA141" s="173"/>
      <c r="CB141" s="173"/>
      <c r="CC141" s="173"/>
      <c r="CD141" s="173"/>
      <c r="CE141" s="173"/>
      <c r="CF141" s="173"/>
      <c r="CG141" s="173"/>
      <c r="CH141" s="173"/>
      <c r="CI141" s="173"/>
      <c r="CJ141" s="173"/>
      <c r="CK141" s="173"/>
      <c r="CL141" s="173"/>
      <c r="CM141" s="173"/>
      <c r="CN141" s="173"/>
      <c r="CO141" s="173"/>
      <c r="CP141" s="173"/>
      <c r="CQ141" s="173"/>
      <c r="CR141" s="151"/>
      <c r="CS141" s="173"/>
      <c r="CT141" s="173"/>
      <c r="CU141" s="173"/>
      <c r="CV141" s="173"/>
      <c r="CW141" s="173"/>
      <c r="CX141" s="173"/>
      <c r="CY141" s="173"/>
      <c r="CZ141" s="173"/>
      <c r="DA141" s="222"/>
      <c r="DB141" s="222"/>
      <c r="DC141" s="222"/>
      <c r="DD141" s="222"/>
      <c r="DE141" s="222"/>
      <c r="DF141" s="222"/>
      <c r="DG141" s="222"/>
      <c r="DH141" s="222"/>
      <c r="DI141" s="222"/>
      <c r="DJ141" s="222"/>
      <c r="DK141" s="222"/>
      <c r="DL141" s="222"/>
      <c r="DM141" s="222"/>
      <c r="DN141" s="174"/>
      <c r="DO141" s="174"/>
      <c r="DP141" s="174"/>
      <c r="DQ141" s="174"/>
      <c r="DR141" s="174"/>
      <c r="DS141" s="174"/>
      <c r="DT141" s="174"/>
      <c r="DU141" s="174"/>
      <c r="DV141" s="174"/>
      <c r="DW141" s="174"/>
      <c r="DX141" s="174"/>
      <c r="DY141" s="174"/>
      <c r="DZ141" s="174"/>
      <c r="EA141" s="174"/>
      <c r="EB141" s="174"/>
      <c r="EC141" s="174"/>
      <c r="ED141" s="174"/>
      <c r="EE141" s="174"/>
      <c r="EF141" s="174"/>
      <c r="EG141" s="174"/>
      <c r="EH141" s="174"/>
      <c r="EI141" s="174"/>
      <c r="EJ141" s="174"/>
      <c r="EK141" s="174"/>
      <c r="EL141" s="174"/>
      <c r="EM141" s="174"/>
      <c r="EN141" s="174"/>
      <c r="EO141" s="174"/>
      <c r="EP141" s="174"/>
      <c r="EQ141" s="174"/>
      <c r="ER141" s="174"/>
      <c r="ES141" s="174"/>
      <c r="ET141" s="174"/>
      <c r="EU141" s="174"/>
      <c r="EV141" s="174"/>
      <c r="EW141" s="174"/>
      <c r="EX141" s="174"/>
      <c r="EY141" s="174"/>
      <c r="EZ141" s="174"/>
      <c r="FA141" s="174"/>
      <c r="FB141" s="174"/>
      <c r="FC141" s="174"/>
      <c r="FD141" s="174"/>
      <c r="FE141" s="174"/>
      <c r="FF141" s="174"/>
      <c r="FG141" s="174"/>
      <c r="FH141" s="174"/>
      <c r="FI141" s="174"/>
      <c r="FJ141" s="174"/>
      <c r="FK141" s="174"/>
      <c r="FL141" s="174"/>
      <c r="FM141" s="174"/>
      <c r="FN141" s="174"/>
      <c r="FO141" s="174"/>
      <c r="FP141" s="174"/>
      <c r="FQ141" s="174"/>
      <c r="FR141" s="174"/>
      <c r="FS141" s="174"/>
      <c r="FT141" s="174"/>
      <c r="FU141" s="174"/>
      <c r="FV141" s="174"/>
      <c r="FW141" s="174"/>
      <c r="FX141" s="174"/>
      <c r="FY141" s="174"/>
      <c r="FZ141" s="174"/>
      <c r="GA141" s="174"/>
      <c r="GB141" s="174"/>
      <c r="GC141" s="174"/>
      <c r="GD141" s="174"/>
      <c r="GE141" s="174"/>
      <c r="GF141" s="174"/>
      <c r="GG141" s="174"/>
      <c r="GH141" s="174"/>
      <c r="GI141" s="174"/>
      <c r="GJ141" s="174"/>
      <c r="GK141" s="174"/>
      <c r="GL141" s="174"/>
      <c r="GM141" s="174"/>
      <c r="GN141" s="174"/>
      <c r="GO141" s="174"/>
      <c r="GP141" s="174"/>
      <c r="GQ141" s="174"/>
      <c r="GR141" s="174"/>
      <c r="GS141" s="174"/>
      <c r="GT141" s="174"/>
      <c r="GU141" s="174"/>
      <c r="GV141" s="174"/>
      <c r="GW141" s="174"/>
      <c r="GX141" s="174"/>
      <c r="GY141" s="174"/>
      <c r="GZ141" s="174"/>
      <c r="HA141" s="174"/>
      <c r="HB141" s="174"/>
      <c r="HC141" s="174"/>
      <c r="HD141" s="174"/>
      <c r="HE141" s="174"/>
      <c r="HF141" s="174"/>
      <c r="HG141" s="174"/>
      <c r="HH141" s="174"/>
      <c r="HI141" s="174"/>
      <c r="HJ141" s="174"/>
      <c r="HK141" s="174"/>
      <c r="HL141" s="174"/>
      <c r="HM141" s="174"/>
      <c r="HN141" s="174"/>
      <c r="HO141" s="174"/>
      <c r="HP141" s="174"/>
      <c r="HQ141" s="174"/>
      <c r="HR141" s="174"/>
      <c r="HS141" s="174"/>
      <c r="HT141" s="174"/>
      <c r="HU141" s="174"/>
      <c r="HV141" s="174"/>
      <c r="HW141" s="174"/>
      <c r="HX141" s="174"/>
      <c r="HY141" s="174"/>
      <c r="HZ141" s="174"/>
      <c r="IA141" s="174"/>
      <c r="IB141" s="174"/>
      <c r="IC141" s="174"/>
      <c r="ID141" s="174"/>
      <c r="IE141" s="174"/>
      <c r="IF141" s="174"/>
      <c r="IG141" s="174"/>
      <c r="IH141" s="174"/>
      <c r="II141" s="174"/>
      <c r="IJ141" s="174"/>
      <c r="IK141" s="174"/>
      <c r="IL141" s="174"/>
      <c r="IM141" s="174"/>
      <c r="IN141" s="174"/>
      <c r="IO141" s="174"/>
      <c r="IP141" s="174"/>
      <c r="IQ141" s="174"/>
      <c r="IR141" s="174"/>
      <c r="IS141" s="174"/>
      <c r="IT141" s="174"/>
      <c r="IU141" s="174"/>
      <c r="IV141" s="174"/>
      <c r="IW141" s="174"/>
      <c r="IX141" s="174"/>
      <c r="IY141" s="174"/>
      <c r="IZ141" s="174"/>
      <c r="JA141" s="174"/>
      <c r="JB141" s="174"/>
      <c r="JC141" s="174"/>
      <c r="JD141" s="174"/>
      <c r="JE141" s="174"/>
      <c r="JF141" s="174"/>
      <c r="JG141" s="174"/>
      <c r="JH141" s="174"/>
      <c r="JI141" s="174"/>
      <c r="JJ141" s="174"/>
      <c r="JK141" s="174"/>
      <c r="JL141" s="174"/>
      <c r="JM141" s="174"/>
      <c r="JN141" s="174"/>
      <c r="JO141" s="174"/>
      <c r="JP141" s="174"/>
      <c r="JQ141" s="174"/>
      <c r="JR141" s="174"/>
      <c r="JS141" s="174"/>
      <c r="JT141" s="174"/>
      <c r="JU141" s="174"/>
      <c r="JV141" s="174"/>
    </row>
    <row r="142" spans="1:282" s="146" customFormat="1">
      <c r="A142" s="232"/>
      <c r="B142" s="173"/>
      <c r="C142" s="173"/>
      <c r="D142" s="233"/>
      <c r="E142" s="228"/>
      <c r="F142" s="234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3"/>
      <c r="AT142" s="173"/>
      <c r="AU142" s="173"/>
      <c r="AV142" s="173"/>
      <c r="AW142" s="173"/>
      <c r="AX142" s="173"/>
      <c r="AY142" s="173"/>
      <c r="AZ142" s="173"/>
      <c r="BA142" s="277"/>
      <c r="BB142" s="173"/>
      <c r="BC142" s="173"/>
      <c r="BD142" s="173"/>
      <c r="BE142" s="173"/>
      <c r="BF142" s="173"/>
      <c r="BG142" s="173"/>
      <c r="BH142" s="173"/>
      <c r="BI142" s="173"/>
      <c r="BJ142" s="173"/>
      <c r="BK142" s="173"/>
      <c r="BL142" s="173"/>
      <c r="BM142" s="173"/>
      <c r="BN142" s="173"/>
      <c r="BO142" s="173"/>
      <c r="BP142" s="173"/>
      <c r="BQ142" s="173"/>
      <c r="BR142" s="173"/>
      <c r="BS142" s="173"/>
      <c r="BT142" s="173"/>
      <c r="BU142" s="173"/>
      <c r="BV142" s="173"/>
      <c r="BW142" s="173"/>
      <c r="BX142" s="173"/>
      <c r="BY142" s="173"/>
      <c r="BZ142" s="173"/>
      <c r="CA142" s="173"/>
      <c r="CB142" s="173"/>
      <c r="CC142" s="173"/>
      <c r="CD142" s="173"/>
      <c r="CE142" s="173"/>
      <c r="CF142" s="173"/>
      <c r="CG142" s="173"/>
      <c r="CH142" s="173"/>
      <c r="CI142" s="173"/>
      <c r="CJ142" s="173"/>
      <c r="CK142" s="173"/>
      <c r="CL142" s="173"/>
      <c r="CM142" s="173"/>
      <c r="CN142" s="173"/>
      <c r="CO142" s="173"/>
      <c r="CP142" s="173"/>
      <c r="CQ142" s="173"/>
      <c r="CR142" s="151"/>
      <c r="CS142" s="173"/>
      <c r="CT142" s="173"/>
      <c r="CU142" s="173"/>
      <c r="CV142" s="173"/>
      <c r="CW142" s="173"/>
      <c r="CX142" s="173"/>
      <c r="CY142" s="173"/>
      <c r="CZ142" s="173"/>
      <c r="DA142" s="222"/>
      <c r="DB142" s="222"/>
      <c r="DC142" s="222"/>
      <c r="DD142" s="222"/>
      <c r="DE142" s="222"/>
      <c r="DF142" s="222"/>
      <c r="DG142" s="222"/>
      <c r="DH142" s="222"/>
      <c r="DI142" s="222"/>
      <c r="DJ142" s="222"/>
      <c r="DK142" s="222"/>
      <c r="DL142" s="222"/>
      <c r="DM142" s="222"/>
      <c r="DN142" s="174"/>
      <c r="DO142" s="174"/>
      <c r="DP142" s="174"/>
      <c r="DQ142" s="174"/>
      <c r="DR142" s="174"/>
      <c r="DS142" s="174"/>
      <c r="DT142" s="174"/>
      <c r="DU142" s="174"/>
      <c r="DV142" s="174"/>
      <c r="DW142" s="174"/>
      <c r="DX142" s="174"/>
      <c r="DY142" s="174"/>
      <c r="DZ142" s="174"/>
      <c r="EA142" s="174"/>
      <c r="EB142" s="174"/>
      <c r="EC142" s="174"/>
      <c r="ED142" s="174"/>
      <c r="EE142" s="174"/>
      <c r="EF142" s="174"/>
      <c r="EG142" s="174"/>
      <c r="EH142" s="174"/>
      <c r="EI142" s="174"/>
      <c r="EJ142" s="174"/>
      <c r="EK142" s="174"/>
      <c r="EL142" s="174"/>
      <c r="EM142" s="174"/>
      <c r="EN142" s="174"/>
      <c r="EO142" s="174"/>
      <c r="EP142" s="174"/>
      <c r="EQ142" s="174"/>
      <c r="ER142" s="174"/>
      <c r="ES142" s="174"/>
      <c r="ET142" s="174"/>
      <c r="EU142" s="174"/>
      <c r="EV142" s="174"/>
      <c r="EW142" s="174"/>
      <c r="EX142" s="174"/>
      <c r="EY142" s="174"/>
      <c r="EZ142" s="174"/>
      <c r="FA142" s="174"/>
      <c r="FB142" s="174"/>
      <c r="FC142" s="174"/>
      <c r="FD142" s="174"/>
      <c r="FE142" s="174"/>
      <c r="FF142" s="174"/>
      <c r="FG142" s="174"/>
      <c r="FH142" s="174"/>
      <c r="FI142" s="174"/>
      <c r="FJ142" s="174"/>
      <c r="FK142" s="174"/>
      <c r="FL142" s="174"/>
      <c r="FM142" s="174"/>
      <c r="FN142" s="174"/>
      <c r="FO142" s="174"/>
      <c r="FP142" s="174"/>
      <c r="FQ142" s="174"/>
      <c r="FR142" s="174"/>
      <c r="FS142" s="174"/>
      <c r="FT142" s="174"/>
      <c r="FU142" s="174"/>
      <c r="FV142" s="174"/>
      <c r="FW142" s="174"/>
      <c r="FX142" s="174"/>
      <c r="FY142" s="174"/>
      <c r="FZ142" s="174"/>
      <c r="GA142" s="174"/>
      <c r="GB142" s="174"/>
      <c r="GC142" s="174"/>
      <c r="GD142" s="174"/>
      <c r="GE142" s="174"/>
      <c r="GF142" s="174"/>
      <c r="GG142" s="174"/>
      <c r="GH142" s="174"/>
      <c r="GI142" s="174"/>
      <c r="GJ142" s="174"/>
      <c r="GK142" s="174"/>
      <c r="GL142" s="174"/>
      <c r="GM142" s="174"/>
      <c r="GN142" s="174"/>
      <c r="GO142" s="174"/>
      <c r="GP142" s="174"/>
      <c r="GQ142" s="174"/>
      <c r="GR142" s="174"/>
      <c r="GS142" s="174"/>
      <c r="GT142" s="174"/>
      <c r="GU142" s="174"/>
      <c r="GV142" s="174"/>
      <c r="GW142" s="174"/>
      <c r="GX142" s="174"/>
      <c r="GY142" s="174"/>
      <c r="GZ142" s="174"/>
      <c r="HA142" s="174"/>
      <c r="HB142" s="174"/>
      <c r="HC142" s="174"/>
      <c r="HD142" s="174"/>
      <c r="HE142" s="174"/>
      <c r="HF142" s="174"/>
      <c r="HG142" s="174"/>
      <c r="HH142" s="174"/>
      <c r="HI142" s="174"/>
      <c r="HJ142" s="174"/>
      <c r="HK142" s="174"/>
      <c r="HL142" s="174"/>
      <c r="HM142" s="174"/>
      <c r="HN142" s="174"/>
      <c r="HO142" s="174"/>
      <c r="HP142" s="174"/>
      <c r="HQ142" s="174"/>
      <c r="HR142" s="174"/>
      <c r="HS142" s="174"/>
      <c r="HT142" s="174"/>
      <c r="HU142" s="174"/>
      <c r="HV142" s="174"/>
      <c r="HW142" s="174"/>
      <c r="HX142" s="174"/>
      <c r="HY142" s="174"/>
      <c r="HZ142" s="174"/>
      <c r="IA142" s="174"/>
      <c r="IB142" s="174"/>
      <c r="IC142" s="174"/>
      <c r="ID142" s="174"/>
      <c r="IE142" s="174"/>
      <c r="IF142" s="174"/>
      <c r="IG142" s="174"/>
      <c r="IH142" s="174"/>
      <c r="II142" s="174"/>
      <c r="IJ142" s="174"/>
      <c r="IK142" s="174"/>
      <c r="IL142" s="174"/>
      <c r="IM142" s="174"/>
      <c r="IN142" s="174"/>
      <c r="IO142" s="174"/>
      <c r="IP142" s="174"/>
      <c r="IQ142" s="174"/>
      <c r="IR142" s="174"/>
      <c r="IS142" s="174"/>
      <c r="IT142" s="174"/>
      <c r="IU142" s="174"/>
      <c r="IV142" s="174"/>
      <c r="IW142" s="174"/>
      <c r="IX142" s="174"/>
      <c r="IY142" s="174"/>
      <c r="IZ142" s="174"/>
      <c r="JA142" s="174"/>
      <c r="JB142" s="174"/>
      <c r="JC142" s="174"/>
      <c r="JD142" s="174"/>
      <c r="JE142" s="174"/>
      <c r="JF142" s="174"/>
      <c r="JG142" s="174"/>
      <c r="JH142" s="174"/>
      <c r="JI142" s="174"/>
      <c r="JJ142" s="174"/>
      <c r="JK142" s="174"/>
      <c r="JL142" s="174"/>
      <c r="JM142" s="174"/>
      <c r="JN142" s="174"/>
      <c r="JO142" s="174"/>
      <c r="JP142" s="174"/>
      <c r="JQ142" s="174"/>
      <c r="JR142" s="174"/>
      <c r="JS142" s="174"/>
      <c r="JT142" s="174"/>
      <c r="JU142" s="174"/>
      <c r="JV142" s="174"/>
    </row>
    <row r="143" spans="1:282" s="146" customFormat="1">
      <c r="A143" s="232"/>
      <c r="B143" s="173"/>
      <c r="C143" s="173"/>
      <c r="D143" s="233"/>
      <c r="E143" s="228"/>
      <c r="F143" s="234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  <c r="AQ143" s="173"/>
      <c r="AR143" s="173"/>
      <c r="AS143" s="173"/>
      <c r="AT143" s="173"/>
      <c r="AU143" s="173"/>
      <c r="AV143" s="173"/>
      <c r="AW143" s="173"/>
      <c r="AX143" s="173"/>
      <c r="AY143" s="173"/>
      <c r="AZ143" s="173"/>
      <c r="BA143" s="277"/>
      <c r="BB143" s="173"/>
      <c r="BC143" s="173"/>
      <c r="BD143" s="173"/>
      <c r="BE143" s="173"/>
      <c r="BF143" s="173"/>
      <c r="BG143" s="173"/>
      <c r="BH143" s="173"/>
      <c r="BI143" s="173"/>
      <c r="BJ143" s="173"/>
      <c r="BK143" s="173"/>
      <c r="BL143" s="173"/>
      <c r="BM143" s="173"/>
      <c r="BN143" s="173"/>
      <c r="BO143" s="173"/>
      <c r="BP143" s="173"/>
      <c r="BQ143" s="173"/>
      <c r="BR143" s="173"/>
      <c r="BS143" s="173"/>
      <c r="BT143" s="173"/>
      <c r="BU143" s="173"/>
      <c r="BV143" s="173"/>
      <c r="BW143" s="173"/>
      <c r="BX143" s="173"/>
      <c r="BY143" s="173"/>
      <c r="BZ143" s="173"/>
      <c r="CA143" s="173"/>
      <c r="CB143" s="173"/>
      <c r="CC143" s="173"/>
      <c r="CD143" s="173"/>
      <c r="CE143" s="173"/>
      <c r="CF143" s="173"/>
      <c r="CG143" s="173"/>
      <c r="CH143" s="173"/>
      <c r="CI143" s="173"/>
      <c r="CJ143" s="173"/>
      <c r="CK143" s="173"/>
      <c r="CL143" s="173"/>
      <c r="CM143" s="173"/>
      <c r="CN143" s="173"/>
      <c r="CO143" s="173"/>
      <c r="CP143" s="173"/>
      <c r="CQ143" s="173"/>
      <c r="CR143" s="151"/>
      <c r="CS143" s="173"/>
      <c r="CT143" s="173"/>
      <c r="CU143" s="173"/>
      <c r="CV143" s="173"/>
      <c r="CW143" s="173"/>
      <c r="CX143" s="173"/>
      <c r="CY143" s="173"/>
      <c r="CZ143" s="173"/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222"/>
      <c r="DL143" s="222"/>
      <c r="DM143" s="222"/>
      <c r="DN143" s="174"/>
      <c r="DO143" s="174"/>
      <c r="DP143" s="174"/>
      <c r="DQ143" s="174"/>
      <c r="DR143" s="174"/>
      <c r="DS143" s="174"/>
      <c r="DT143" s="174"/>
      <c r="DU143" s="174"/>
      <c r="DV143" s="174"/>
      <c r="DW143" s="174"/>
      <c r="DX143" s="174"/>
      <c r="DY143" s="174"/>
      <c r="DZ143" s="174"/>
      <c r="EA143" s="174"/>
      <c r="EB143" s="174"/>
      <c r="EC143" s="174"/>
      <c r="ED143" s="174"/>
      <c r="EE143" s="174"/>
      <c r="EF143" s="174"/>
      <c r="EG143" s="174"/>
      <c r="EH143" s="174"/>
      <c r="EI143" s="174"/>
      <c r="EJ143" s="174"/>
      <c r="EK143" s="174"/>
      <c r="EL143" s="174"/>
      <c r="EM143" s="174"/>
      <c r="EN143" s="174"/>
      <c r="EO143" s="174"/>
      <c r="EP143" s="174"/>
      <c r="EQ143" s="174"/>
      <c r="ER143" s="174"/>
      <c r="ES143" s="174"/>
      <c r="ET143" s="174"/>
      <c r="EU143" s="174"/>
      <c r="EV143" s="174"/>
      <c r="EW143" s="174"/>
      <c r="EX143" s="174"/>
      <c r="EY143" s="174"/>
      <c r="EZ143" s="174"/>
      <c r="FA143" s="174"/>
      <c r="FB143" s="174"/>
      <c r="FC143" s="174"/>
      <c r="FD143" s="174"/>
      <c r="FE143" s="174"/>
      <c r="FF143" s="174"/>
      <c r="FG143" s="174"/>
      <c r="FH143" s="174"/>
      <c r="FI143" s="174"/>
      <c r="FJ143" s="174"/>
      <c r="FK143" s="174"/>
      <c r="FL143" s="174"/>
      <c r="FM143" s="174"/>
      <c r="FN143" s="174"/>
      <c r="FO143" s="174"/>
      <c r="FP143" s="174"/>
      <c r="FQ143" s="174"/>
      <c r="FR143" s="174"/>
      <c r="FS143" s="174"/>
      <c r="FT143" s="174"/>
      <c r="FU143" s="174"/>
      <c r="FV143" s="174"/>
      <c r="FW143" s="174"/>
      <c r="FX143" s="174"/>
      <c r="FY143" s="174"/>
      <c r="FZ143" s="174"/>
      <c r="GA143" s="174"/>
      <c r="GB143" s="174"/>
      <c r="GC143" s="174"/>
      <c r="GD143" s="174"/>
      <c r="GE143" s="174"/>
      <c r="GF143" s="174"/>
      <c r="GG143" s="174"/>
      <c r="GH143" s="174"/>
      <c r="GI143" s="174"/>
      <c r="GJ143" s="174"/>
      <c r="GK143" s="174"/>
      <c r="GL143" s="174"/>
      <c r="GM143" s="174"/>
      <c r="GN143" s="174"/>
      <c r="GO143" s="174"/>
      <c r="GP143" s="174"/>
      <c r="GQ143" s="174"/>
      <c r="GR143" s="174"/>
      <c r="GS143" s="174"/>
      <c r="GT143" s="174"/>
      <c r="GU143" s="174"/>
      <c r="GV143" s="174"/>
      <c r="GW143" s="174"/>
      <c r="GX143" s="174"/>
      <c r="GY143" s="174"/>
      <c r="GZ143" s="174"/>
      <c r="HA143" s="174"/>
      <c r="HB143" s="174"/>
      <c r="HC143" s="174"/>
      <c r="HD143" s="174"/>
      <c r="HE143" s="174"/>
      <c r="HF143" s="174"/>
      <c r="HG143" s="174"/>
      <c r="HH143" s="174"/>
      <c r="HI143" s="174"/>
      <c r="HJ143" s="174"/>
      <c r="HK143" s="174"/>
      <c r="HL143" s="174"/>
      <c r="HM143" s="174"/>
      <c r="HN143" s="174"/>
      <c r="HO143" s="174"/>
      <c r="HP143" s="174"/>
      <c r="HQ143" s="174"/>
      <c r="HR143" s="174"/>
      <c r="HS143" s="174"/>
      <c r="HT143" s="174"/>
      <c r="HU143" s="174"/>
      <c r="HV143" s="174"/>
      <c r="HW143" s="174"/>
      <c r="HX143" s="174"/>
      <c r="HY143" s="174"/>
      <c r="HZ143" s="174"/>
      <c r="IA143" s="174"/>
      <c r="IB143" s="174"/>
      <c r="IC143" s="174"/>
      <c r="ID143" s="174"/>
      <c r="IE143" s="174"/>
      <c r="IF143" s="174"/>
      <c r="IG143" s="174"/>
      <c r="IH143" s="174"/>
      <c r="II143" s="174"/>
      <c r="IJ143" s="174"/>
      <c r="IK143" s="174"/>
      <c r="IL143" s="174"/>
      <c r="IM143" s="174"/>
      <c r="IN143" s="174"/>
      <c r="IO143" s="174"/>
      <c r="IP143" s="174"/>
      <c r="IQ143" s="174"/>
      <c r="IR143" s="174"/>
      <c r="IS143" s="174"/>
      <c r="IT143" s="174"/>
      <c r="IU143" s="174"/>
      <c r="IV143" s="174"/>
      <c r="IW143" s="174"/>
      <c r="IX143" s="174"/>
      <c r="IY143" s="174"/>
      <c r="IZ143" s="174"/>
      <c r="JA143" s="174"/>
      <c r="JB143" s="174"/>
      <c r="JC143" s="174"/>
      <c r="JD143" s="174"/>
      <c r="JE143" s="174"/>
      <c r="JF143" s="174"/>
      <c r="JG143" s="174"/>
      <c r="JH143" s="174"/>
      <c r="JI143" s="174"/>
      <c r="JJ143" s="174"/>
      <c r="JK143" s="174"/>
      <c r="JL143" s="174"/>
      <c r="JM143" s="174"/>
      <c r="JN143" s="174"/>
      <c r="JO143" s="174"/>
      <c r="JP143" s="174"/>
      <c r="JQ143" s="174"/>
      <c r="JR143" s="174"/>
      <c r="JS143" s="174"/>
      <c r="JT143" s="174"/>
      <c r="JU143" s="174"/>
      <c r="JV143" s="174"/>
    </row>
    <row r="144" spans="1:282" s="146" customFormat="1">
      <c r="A144" s="232"/>
      <c r="B144" s="173"/>
      <c r="C144" s="173"/>
      <c r="D144" s="233"/>
      <c r="E144" s="228"/>
      <c r="F144" s="234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  <c r="AY144" s="173"/>
      <c r="AZ144" s="173"/>
      <c r="BA144" s="277"/>
      <c r="BB144" s="173"/>
      <c r="BC144" s="173"/>
      <c r="BD144" s="173"/>
      <c r="BE144" s="173"/>
      <c r="BF144" s="173"/>
      <c r="BG144" s="173"/>
      <c r="BH144" s="173"/>
      <c r="BI144" s="173"/>
      <c r="BJ144" s="173"/>
      <c r="BK144" s="173"/>
      <c r="BL144" s="173"/>
      <c r="BM144" s="173"/>
      <c r="BN144" s="173"/>
      <c r="BO144" s="173"/>
      <c r="BP144" s="173"/>
      <c r="BQ144" s="173"/>
      <c r="BR144" s="173"/>
      <c r="BS144" s="173"/>
      <c r="BT144" s="173"/>
      <c r="BU144" s="173"/>
      <c r="BV144" s="173"/>
      <c r="BW144" s="173"/>
      <c r="BX144" s="173"/>
      <c r="BY144" s="173"/>
      <c r="BZ144" s="173"/>
      <c r="CA144" s="173"/>
      <c r="CB144" s="173"/>
      <c r="CC144" s="173"/>
      <c r="CD144" s="173"/>
      <c r="CE144" s="173"/>
      <c r="CF144" s="173"/>
      <c r="CG144" s="173"/>
      <c r="CH144" s="173"/>
      <c r="CI144" s="173"/>
      <c r="CJ144" s="173"/>
      <c r="CK144" s="173"/>
      <c r="CL144" s="173"/>
      <c r="CM144" s="173"/>
      <c r="CN144" s="173"/>
      <c r="CO144" s="173"/>
      <c r="CP144" s="173"/>
      <c r="CQ144" s="173"/>
      <c r="CR144" s="151"/>
      <c r="CS144" s="173"/>
      <c r="CT144" s="173"/>
      <c r="CU144" s="173"/>
      <c r="CV144" s="173"/>
      <c r="CW144" s="173"/>
      <c r="CX144" s="173"/>
      <c r="CY144" s="173"/>
      <c r="CZ144" s="173"/>
      <c r="DA144" s="222"/>
      <c r="DB144" s="222"/>
      <c r="DC144" s="222"/>
      <c r="DD144" s="222"/>
      <c r="DE144" s="222"/>
      <c r="DF144" s="222"/>
      <c r="DG144" s="222"/>
      <c r="DH144" s="222"/>
      <c r="DI144" s="222"/>
      <c r="DJ144" s="222"/>
      <c r="DK144" s="222"/>
      <c r="DL144" s="222"/>
      <c r="DM144" s="222"/>
      <c r="DN144" s="174"/>
      <c r="DO144" s="174"/>
      <c r="DP144" s="174"/>
      <c r="DQ144" s="174"/>
      <c r="DR144" s="174"/>
      <c r="DS144" s="174"/>
      <c r="DT144" s="174"/>
      <c r="DU144" s="174"/>
      <c r="DV144" s="174"/>
      <c r="DW144" s="174"/>
      <c r="DX144" s="174"/>
      <c r="DY144" s="174"/>
      <c r="DZ144" s="174"/>
      <c r="EA144" s="174"/>
      <c r="EB144" s="174"/>
      <c r="EC144" s="174"/>
      <c r="ED144" s="174"/>
      <c r="EE144" s="174"/>
      <c r="EF144" s="174"/>
      <c r="EG144" s="174"/>
      <c r="EH144" s="174"/>
      <c r="EI144" s="174"/>
      <c r="EJ144" s="174"/>
      <c r="EK144" s="174"/>
      <c r="EL144" s="174"/>
      <c r="EM144" s="174"/>
      <c r="EN144" s="174"/>
      <c r="EO144" s="174"/>
      <c r="EP144" s="174"/>
      <c r="EQ144" s="174"/>
      <c r="ER144" s="174"/>
      <c r="ES144" s="174"/>
      <c r="ET144" s="174"/>
      <c r="EU144" s="174"/>
      <c r="EV144" s="174"/>
      <c r="EW144" s="174"/>
      <c r="EX144" s="174"/>
      <c r="EY144" s="174"/>
      <c r="EZ144" s="174"/>
      <c r="FA144" s="174"/>
      <c r="FB144" s="174"/>
      <c r="FC144" s="174"/>
      <c r="FD144" s="174"/>
      <c r="FE144" s="174"/>
      <c r="FF144" s="174"/>
      <c r="FG144" s="174"/>
      <c r="FH144" s="174"/>
      <c r="FI144" s="174"/>
      <c r="FJ144" s="174"/>
      <c r="FK144" s="174"/>
      <c r="FL144" s="174"/>
      <c r="FM144" s="174"/>
      <c r="FN144" s="174"/>
      <c r="FO144" s="174"/>
      <c r="FP144" s="174"/>
      <c r="FQ144" s="174"/>
      <c r="FR144" s="174"/>
      <c r="FS144" s="174"/>
      <c r="FT144" s="174"/>
      <c r="FU144" s="174"/>
      <c r="FV144" s="174"/>
      <c r="FW144" s="174"/>
      <c r="FX144" s="174"/>
      <c r="FY144" s="174"/>
      <c r="FZ144" s="174"/>
      <c r="GA144" s="174"/>
      <c r="GB144" s="174"/>
      <c r="GC144" s="174"/>
      <c r="GD144" s="174"/>
      <c r="GE144" s="174"/>
      <c r="GF144" s="174"/>
      <c r="GG144" s="174"/>
      <c r="GH144" s="174"/>
      <c r="GI144" s="174"/>
      <c r="GJ144" s="174"/>
      <c r="GK144" s="174"/>
      <c r="GL144" s="174"/>
      <c r="GM144" s="174"/>
      <c r="GN144" s="174"/>
      <c r="GO144" s="174"/>
      <c r="GP144" s="174"/>
      <c r="GQ144" s="174"/>
      <c r="GR144" s="174"/>
      <c r="GS144" s="174"/>
      <c r="GT144" s="174"/>
      <c r="GU144" s="174"/>
      <c r="GV144" s="174"/>
      <c r="GW144" s="174"/>
      <c r="GX144" s="174"/>
      <c r="GY144" s="174"/>
      <c r="GZ144" s="174"/>
      <c r="HA144" s="174"/>
      <c r="HB144" s="174"/>
      <c r="HC144" s="174"/>
      <c r="HD144" s="174"/>
      <c r="HE144" s="174"/>
      <c r="HF144" s="174"/>
      <c r="HG144" s="174"/>
      <c r="HH144" s="174"/>
      <c r="HI144" s="174"/>
      <c r="HJ144" s="174"/>
      <c r="HK144" s="174"/>
      <c r="HL144" s="174"/>
      <c r="HM144" s="174"/>
      <c r="HN144" s="174"/>
      <c r="HO144" s="174"/>
      <c r="HP144" s="174"/>
      <c r="HQ144" s="174"/>
      <c r="HR144" s="174"/>
      <c r="HS144" s="174"/>
      <c r="HT144" s="174"/>
      <c r="HU144" s="174"/>
      <c r="HV144" s="174"/>
      <c r="HW144" s="174"/>
      <c r="HX144" s="174"/>
      <c r="HY144" s="174"/>
      <c r="HZ144" s="174"/>
      <c r="IA144" s="174"/>
      <c r="IB144" s="174"/>
      <c r="IC144" s="174"/>
      <c r="ID144" s="174"/>
      <c r="IE144" s="174"/>
      <c r="IF144" s="174"/>
      <c r="IG144" s="174"/>
      <c r="IH144" s="174"/>
      <c r="II144" s="174"/>
      <c r="IJ144" s="174"/>
      <c r="IK144" s="174"/>
      <c r="IL144" s="174"/>
      <c r="IM144" s="174"/>
      <c r="IN144" s="174"/>
      <c r="IO144" s="174"/>
      <c r="IP144" s="174"/>
      <c r="IQ144" s="174"/>
      <c r="IR144" s="174"/>
      <c r="IS144" s="174"/>
      <c r="IT144" s="174"/>
      <c r="IU144" s="174"/>
      <c r="IV144" s="174"/>
      <c r="IW144" s="174"/>
      <c r="IX144" s="174"/>
      <c r="IY144" s="174"/>
      <c r="IZ144" s="174"/>
      <c r="JA144" s="174"/>
      <c r="JB144" s="174"/>
      <c r="JC144" s="174"/>
      <c r="JD144" s="174"/>
      <c r="JE144" s="174"/>
      <c r="JF144" s="174"/>
      <c r="JG144" s="174"/>
      <c r="JH144" s="174"/>
      <c r="JI144" s="174"/>
      <c r="JJ144" s="174"/>
      <c r="JK144" s="174"/>
      <c r="JL144" s="174"/>
      <c r="JM144" s="174"/>
      <c r="JN144" s="174"/>
      <c r="JO144" s="174"/>
      <c r="JP144" s="174"/>
      <c r="JQ144" s="174"/>
      <c r="JR144" s="174"/>
      <c r="JS144" s="174"/>
      <c r="JT144" s="174"/>
      <c r="JU144" s="174"/>
      <c r="JV144" s="174"/>
    </row>
    <row r="145" spans="1:282" s="146" customFormat="1">
      <c r="A145" s="232"/>
      <c r="B145" s="173"/>
      <c r="C145" s="173"/>
      <c r="D145" s="233"/>
      <c r="E145" s="228"/>
      <c r="F145" s="234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3"/>
      <c r="AT145" s="173"/>
      <c r="AU145" s="173"/>
      <c r="AV145" s="173"/>
      <c r="AW145" s="173"/>
      <c r="AX145" s="173"/>
      <c r="AY145" s="173"/>
      <c r="AZ145" s="173"/>
      <c r="BA145" s="277"/>
      <c r="BB145" s="173"/>
      <c r="BC145" s="173"/>
      <c r="BD145" s="173"/>
      <c r="BE145" s="173"/>
      <c r="BF145" s="173"/>
      <c r="BG145" s="173"/>
      <c r="BH145" s="173"/>
      <c r="BI145" s="173"/>
      <c r="BJ145" s="173"/>
      <c r="BK145" s="173"/>
      <c r="BL145" s="173"/>
      <c r="BM145" s="173"/>
      <c r="BN145" s="173"/>
      <c r="BO145" s="173"/>
      <c r="BP145" s="173"/>
      <c r="BQ145" s="173"/>
      <c r="BR145" s="173"/>
      <c r="BS145" s="173"/>
      <c r="BT145" s="173"/>
      <c r="BU145" s="173"/>
      <c r="BV145" s="173"/>
      <c r="BW145" s="173"/>
      <c r="BX145" s="173"/>
      <c r="BY145" s="173"/>
      <c r="BZ145" s="173"/>
      <c r="CA145" s="173"/>
      <c r="CB145" s="173"/>
      <c r="CC145" s="173"/>
      <c r="CD145" s="173"/>
      <c r="CE145" s="173"/>
      <c r="CF145" s="173"/>
      <c r="CG145" s="173"/>
      <c r="CH145" s="173"/>
      <c r="CI145" s="173"/>
      <c r="CJ145" s="173"/>
      <c r="CK145" s="173"/>
      <c r="CL145" s="173"/>
      <c r="CM145" s="173"/>
      <c r="CN145" s="173"/>
      <c r="CO145" s="173"/>
      <c r="CP145" s="173"/>
      <c r="CQ145" s="173"/>
      <c r="CR145" s="151"/>
      <c r="CS145" s="173"/>
      <c r="CT145" s="173"/>
      <c r="CU145" s="173"/>
      <c r="CV145" s="173"/>
      <c r="CW145" s="173"/>
      <c r="CX145" s="173"/>
      <c r="CY145" s="173"/>
      <c r="CZ145" s="173"/>
      <c r="DA145" s="222"/>
      <c r="DB145" s="222"/>
      <c r="DC145" s="222"/>
      <c r="DD145" s="222"/>
      <c r="DE145" s="222"/>
      <c r="DF145" s="222"/>
      <c r="DG145" s="222"/>
      <c r="DH145" s="222"/>
      <c r="DI145" s="222"/>
      <c r="DJ145" s="222"/>
      <c r="DK145" s="222"/>
      <c r="DL145" s="222"/>
      <c r="DM145" s="222"/>
      <c r="DN145" s="174"/>
      <c r="DO145" s="174"/>
      <c r="DP145" s="174"/>
      <c r="DQ145" s="174"/>
      <c r="DR145" s="174"/>
      <c r="DS145" s="174"/>
      <c r="DT145" s="174"/>
      <c r="DU145" s="174"/>
      <c r="DV145" s="174"/>
      <c r="DW145" s="174"/>
      <c r="DX145" s="174"/>
      <c r="DY145" s="174"/>
      <c r="DZ145" s="174"/>
      <c r="EA145" s="174"/>
      <c r="EB145" s="174"/>
      <c r="EC145" s="174"/>
      <c r="ED145" s="174"/>
      <c r="EE145" s="174"/>
      <c r="EF145" s="174"/>
      <c r="EG145" s="174"/>
      <c r="EH145" s="174"/>
      <c r="EI145" s="174"/>
      <c r="EJ145" s="174"/>
      <c r="EK145" s="174"/>
      <c r="EL145" s="174"/>
      <c r="EM145" s="174"/>
      <c r="EN145" s="174"/>
      <c r="EO145" s="174"/>
      <c r="EP145" s="174"/>
      <c r="EQ145" s="174"/>
      <c r="ER145" s="174"/>
      <c r="ES145" s="174"/>
      <c r="ET145" s="174"/>
      <c r="EU145" s="174"/>
      <c r="EV145" s="174"/>
      <c r="EW145" s="174"/>
      <c r="EX145" s="174"/>
      <c r="EY145" s="174"/>
      <c r="EZ145" s="174"/>
      <c r="FA145" s="174"/>
      <c r="FB145" s="174"/>
      <c r="FC145" s="174"/>
      <c r="FD145" s="174"/>
      <c r="FE145" s="174"/>
      <c r="FF145" s="174"/>
      <c r="FG145" s="174"/>
      <c r="FH145" s="174"/>
      <c r="FI145" s="174"/>
      <c r="FJ145" s="174"/>
      <c r="FK145" s="174"/>
      <c r="FL145" s="174"/>
      <c r="FM145" s="174"/>
      <c r="FN145" s="174"/>
      <c r="FO145" s="174"/>
      <c r="FP145" s="174"/>
      <c r="FQ145" s="174"/>
      <c r="FR145" s="174"/>
      <c r="FS145" s="174"/>
      <c r="FT145" s="174"/>
      <c r="FU145" s="174"/>
      <c r="FV145" s="174"/>
      <c r="FW145" s="174"/>
      <c r="FX145" s="174"/>
      <c r="FY145" s="174"/>
      <c r="FZ145" s="174"/>
      <c r="GA145" s="174"/>
      <c r="GB145" s="174"/>
      <c r="GC145" s="174"/>
      <c r="GD145" s="174"/>
      <c r="GE145" s="174"/>
      <c r="GF145" s="174"/>
      <c r="GG145" s="174"/>
      <c r="GH145" s="174"/>
      <c r="GI145" s="174"/>
      <c r="GJ145" s="174"/>
      <c r="GK145" s="174"/>
      <c r="GL145" s="174"/>
      <c r="GM145" s="174"/>
      <c r="GN145" s="174"/>
      <c r="GO145" s="174"/>
      <c r="GP145" s="174"/>
      <c r="GQ145" s="174"/>
      <c r="GR145" s="174"/>
      <c r="GS145" s="174"/>
      <c r="GT145" s="174"/>
      <c r="GU145" s="174"/>
      <c r="GV145" s="174"/>
      <c r="GW145" s="174"/>
      <c r="GX145" s="174"/>
      <c r="GY145" s="174"/>
      <c r="GZ145" s="174"/>
      <c r="HA145" s="174"/>
      <c r="HB145" s="174"/>
      <c r="HC145" s="174"/>
      <c r="HD145" s="174"/>
      <c r="HE145" s="174"/>
      <c r="HF145" s="174"/>
      <c r="HG145" s="174"/>
      <c r="HH145" s="174"/>
      <c r="HI145" s="174"/>
      <c r="HJ145" s="174"/>
      <c r="HK145" s="174"/>
      <c r="HL145" s="174"/>
      <c r="HM145" s="174"/>
      <c r="HN145" s="174"/>
      <c r="HO145" s="174"/>
      <c r="HP145" s="174"/>
      <c r="HQ145" s="174"/>
      <c r="HR145" s="174"/>
      <c r="HS145" s="174"/>
      <c r="HT145" s="174"/>
      <c r="HU145" s="174"/>
      <c r="HV145" s="174"/>
      <c r="HW145" s="174"/>
      <c r="HX145" s="174"/>
      <c r="HY145" s="174"/>
      <c r="HZ145" s="174"/>
      <c r="IA145" s="174"/>
      <c r="IB145" s="174"/>
      <c r="IC145" s="174"/>
      <c r="ID145" s="174"/>
      <c r="IE145" s="174"/>
      <c r="IF145" s="174"/>
      <c r="IG145" s="174"/>
      <c r="IH145" s="174"/>
      <c r="II145" s="174"/>
      <c r="IJ145" s="174"/>
      <c r="IK145" s="174"/>
      <c r="IL145" s="174"/>
      <c r="IM145" s="174"/>
      <c r="IN145" s="174"/>
      <c r="IO145" s="174"/>
      <c r="IP145" s="174"/>
      <c r="IQ145" s="174"/>
      <c r="IR145" s="174"/>
      <c r="IS145" s="174"/>
      <c r="IT145" s="174"/>
      <c r="IU145" s="174"/>
      <c r="IV145" s="174"/>
      <c r="IW145" s="174"/>
      <c r="IX145" s="174"/>
      <c r="IY145" s="174"/>
      <c r="IZ145" s="174"/>
      <c r="JA145" s="174"/>
      <c r="JB145" s="174"/>
      <c r="JC145" s="174"/>
      <c r="JD145" s="174"/>
      <c r="JE145" s="174"/>
      <c r="JF145" s="174"/>
      <c r="JG145" s="174"/>
      <c r="JH145" s="174"/>
      <c r="JI145" s="174"/>
      <c r="JJ145" s="174"/>
      <c r="JK145" s="174"/>
      <c r="JL145" s="174"/>
      <c r="JM145" s="174"/>
      <c r="JN145" s="174"/>
      <c r="JO145" s="174"/>
      <c r="JP145" s="174"/>
      <c r="JQ145" s="174"/>
      <c r="JR145" s="174"/>
      <c r="JS145" s="174"/>
      <c r="JT145" s="174"/>
      <c r="JU145" s="174"/>
      <c r="JV145" s="174"/>
    </row>
    <row r="146" spans="1:282" s="146" customFormat="1">
      <c r="A146" s="232"/>
      <c r="B146" s="173"/>
      <c r="C146" s="173"/>
      <c r="D146" s="233"/>
      <c r="E146" s="228"/>
      <c r="F146" s="234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3"/>
      <c r="AT146" s="173"/>
      <c r="AU146" s="173"/>
      <c r="AV146" s="173"/>
      <c r="AW146" s="173"/>
      <c r="AX146" s="173"/>
      <c r="AY146" s="173"/>
      <c r="AZ146" s="173"/>
      <c r="BA146" s="277"/>
      <c r="BB146" s="173"/>
      <c r="BC146" s="173"/>
      <c r="BD146" s="173"/>
      <c r="BE146" s="173"/>
      <c r="BF146" s="173"/>
      <c r="BG146" s="173"/>
      <c r="BH146" s="173"/>
      <c r="BI146" s="173"/>
      <c r="BJ146" s="173"/>
      <c r="BK146" s="173"/>
      <c r="BL146" s="173"/>
      <c r="BM146" s="173"/>
      <c r="BN146" s="173"/>
      <c r="BO146" s="173"/>
      <c r="BP146" s="173"/>
      <c r="BQ146" s="173"/>
      <c r="BR146" s="173"/>
      <c r="BS146" s="173"/>
      <c r="BT146" s="173"/>
      <c r="BU146" s="173"/>
      <c r="BV146" s="173"/>
      <c r="BW146" s="173"/>
      <c r="BX146" s="173"/>
      <c r="BY146" s="173"/>
      <c r="BZ146" s="173"/>
      <c r="CA146" s="173"/>
      <c r="CB146" s="173"/>
      <c r="CC146" s="173"/>
      <c r="CD146" s="173"/>
      <c r="CE146" s="173"/>
      <c r="CF146" s="173"/>
      <c r="CG146" s="173"/>
      <c r="CH146" s="173"/>
      <c r="CI146" s="173"/>
      <c r="CJ146" s="173"/>
      <c r="CK146" s="173"/>
      <c r="CL146" s="173"/>
      <c r="CM146" s="173"/>
      <c r="CN146" s="173"/>
      <c r="CO146" s="173"/>
      <c r="CP146" s="173"/>
      <c r="CQ146" s="173"/>
      <c r="CR146" s="151"/>
      <c r="CS146" s="173"/>
      <c r="CT146" s="173"/>
      <c r="CU146" s="173"/>
      <c r="CV146" s="173"/>
      <c r="CW146" s="173"/>
      <c r="CX146" s="173"/>
      <c r="CY146" s="173"/>
      <c r="CZ146" s="173"/>
      <c r="DA146" s="150"/>
      <c r="DB146" s="150"/>
      <c r="DC146" s="150"/>
      <c r="DD146" s="150"/>
      <c r="DE146" s="150"/>
      <c r="DF146" s="150"/>
      <c r="DG146" s="150"/>
      <c r="DH146" s="150"/>
      <c r="DI146" s="150"/>
      <c r="DJ146" s="150"/>
      <c r="DK146" s="222"/>
      <c r="DL146" s="222"/>
      <c r="DM146" s="222"/>
      <c r="DN146" s="174"/>
      <c r="DO146" s="174"/>
      <c r="DP146" s="174"/>
      <c r="DQ146" s="174"/>
      <c r="DR146" s="174"/>
      <c r="DS146" s="174"/>
      <c r="DT146" s="174"/>
      <c r="DU146" s="174"/>
      <c r="DV146" s="174"/>
      <c r="DW146" s="174"/>
      <c r="DX146" s="174"/>
      <c r="DY146" s="174"/>
      <c r="DZ146" s="174"/>
      <c r="EA146" s="174"/>
      <c r="EB146" s="174"/>
      <c r="EC146" s="174"/>
      <c r="ED146" s="174"/>
      <c r="EE146" s="174"/>
      <c r="EF146" s="174"/>
      <c r="EG146" s="174"/>
      <c r="EH146" s="174"/>
      <c r="EI146" s="174"/>
      <c r="EJ146" s="174"/>
      <c r="EK146" s="174"/>
      <c r="EL146" s="174"/>
      <c r="EM146" s="174"/>
      <c r="EN146" s="174"/>
      <c r="EO146" s="174"/>
      <c r="EP146" s="174"/>
      <c r="EQ146" s="174"/>
      <c r="ER146" s="174"/>
      <c r="ES146" s="174"/>
      <c r="ET146" s="174"/>
      <c r="EU146" s="174"/>
      <c r="EV146" s="174"/>
      <c r="EW146" s="174"/>
      <c r="EX146" s="174"/>
      <c r="EY146" s="174"/>
      <c r="EZ146" s="174"/>
      <c r="FA146" s="174"/>
      <c r="FB146" s="174"/>
      <c r="FC146" s="174"/>
      <c r="FD146" s="174"/>
      <c r="FE146" s="174"/>
      <c r="FF146" s="174"/>
      <c r="FG146" s="174"/>
      <c r="FH146" s="174"/>
      <c r="FI146" s="174"/>
      <c r="FJ146" s="174"/>
      <c r="FK146" s="174"/>
      <c r="FL146" s="174"/>
      <c r="FM146" s="174"/>
      <c r="FN146" s="174"/>
      <c r="FO146" s="174"/>
      <c r="FP146" s="174"/>
      <c r="FQ146" s="174"/>
      <c r="FR146" s="174"/>
      <c r="FS146" s="174"/>
      <c r="FT146" s="174"/>
      <c r="FU146" s="174"/>
      <c r="FV146" s="174"/>
      <c r="FW146" s="174"/>
      <c r="FX146" s="174"/>
      <c r="FY146" s="174"/>
      <c r="FZ146" s="174"/>
      <c r="GA146" s="174"/>
      <c r="GB146" s="174"/>
      <c r="GC146" s="174"/>
      <c r="GD146" s="174"/>
      <c r="GE146" s="174"/>
      <c r="GF146" s="174"/>
      <c r="GG146" s="174"/>
      <c r="GH146" s="174"/>
      <c r="GI146" s="174"/>
      <c r="GJ146" s="174"/>
      <c r="GK146" s="174"/>
      <c r="GL146" s="174"/>
      <c r="GM146" s="174"/>
      <c r="GN146" s="174"/>
      <c r="GO146" s="174"/>
      <c r="GP146" s="174"/>
      <c r="GQ146" s="174"/>
      <c r="GR146" s="174"/>
      <c r="GS146" s="174"/>
      <c r="GT146" s="174"/>
      <c r="GU146" s="174"/>
      <c r="GV146" s="174"/>
      <c r="GW146" s="174"/>
      <c r="GX146" s="174"/>
      <c r="GY146" s="174"/>
      <c r="GZ146" s="174"/>
      <c r="HA146" s="174"/>
      <c r="HB146" s="174"/>
      <c r="HC146" s="174"/>
      <c r="HD146" s="174"/>
      <c r="HE146" s="174"/>
      <c r="HF146" s="174"/>
      <c r="HG146" s="174"/>
      <c r="HH146" s="174"/>
      <c r="HI146" s="174"/>
      <c r="HJ146" s="174"/>
      <c r="HK146" s="174"/>
      <c r="HL146" s="174"/>
      <c r="HM146" s="174"/>
      <c r="HN146" s="174"/>
      <c r="HO146" s="174"/>
      <c r="HP146" s="174"/>
      <c r="HQ146" s="174"/>
      <c r="HR146" s="174"/>
      <c r="HS146" s="174"/>
      <c r="HT146" s="174"/>
      <c r="HU146" s="174"/>
      <c r="HV146" s="174"/>
      <c r="HW146" s="174"/>
      <c r="HX146" s="174"/>
      <c r="HY146" s="174"/>
      <c r="HZ146" s="174"/>
      <c r="IA146" s="174"/>
      <c r="IB146" s="174"/>
      <c r="IC146" s="174"/>
      <c r="ID146" s="174"/>
      <c r="IE146" s="174"/>
      <c r="IF146" s="174"/>
      <c r="IG146" s="174"/>
      <c r="IH146" s="174"/>
      <c r="II146" s="174"/>
      <c r="IJ146" s="174"/>
      <c r="IK146" s="174"/>
      <c r="IL146" s="174"/>
      <c r="IM146" s="174"/>
      <c r="IN146" s="174"/>
      <c r="IO146" s="174"/>
      <c r="IP146" s="174"/>
      <c r="IQ146" s="174"/>
      <c r="IR146" s="174"/>
      <c r="IS146" s="174"/>
      <c r="IT146" s="174"/>
      <c r="IU146" s="174"/>
      <c r="IV146" s="174"/>
      <c r="IW146" s="174"/>
      <c r="IX146" s="174"/>
      <c r="IY146" s="174"/>
      <c r="IZ146" s="174"/>
      <c r="JA146" s="174"/>
      <c r="JB146" s="174"/>
      <c r="JC146" s="174"/>
      <c r="JD146" s="174"/>
      <c r="JE146" s="174"/>
      <c r="JF146" s="174"/>
      <c r="JG146" s="174"/>
      <c r="JH146" s="174"/>
      <c r="JI146" s="174"/>
      <c r="JJ146" s="174"/>
      <c r="JK146" s="174"/>
      <c r="JL146" s="174"/>
      <c r="JM146" s="174"/>
      <c r="JN146" s="174"/>
      <c r="JO146" s="174"/>
      <c r="JP146" s="174"/>
      <c r="JQ146" s="174"/>
      <c r="JR146" s="174"/>
      <c r="JS146" s="174"/>
      <c r="JT146" s="174"/>
      <c r="JU146" s="174"/>
      <c r="JV146" s="174"/>
    </row>
    <row r="147" spans="1:282" s="146" customFormat="1">
      <c r="A147" s="232"/>
      <c r="B147" s="173"/>
      <c r="C147" s="173"/>
      <c r="D147" s="233"/>
      <c r="E147" s="228"/>
      <c r="F147" s="234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277"/>
      <c r="BB147" s="173"/>
      <c r="BC147" s="173"/>
      <c r="BD147" s="173"/>
      <c r="BE147" s="173"/>
      <c r="BF147" s="173"/>
      <c r="BG147" s="173"/>
      <c r="BH147" s="173"/>
      <c r="BI147" s="173"/>
      <c r="BJ147" s="173"/>
      <c r="BK147" s="173"/>
      <c r="BL147" s="173"/>
      <c r="BM147" s="173"/>
      <c r="BN147" s="173"/>
      <c r="BO147" s="173"/>
      <c r="BP147" s="173"/>
      <c r="BQ147" s="173"/>
      <c r="BR147" s="173"/>
      <c r="BS147" s="173"/>
      <c r="BT147" s="173"/>
      <c r="BU147" s="173"/>
      <c r="BV147" s="173"/>
      <c r="BW147" s="173"/>
      <c r="BX147" s="173"/>
      <c r="BY147" s="173"/>
      <c r="BZ147" s="173"/>
      <c r="CA147" s="173"/>
      <c r="CB147" s="173"/>
      <c r="CC147" s="173"/>
      <c r="CD147" s="173"/>
      <c r="CE147" s="173"/>
      <c r="CF147" s="173"/>
      <c r="CG147" s="173"/>
      <c r="CH147" s="173"/>
      <c r="CI147" s="173"/>
      <c r="CJ147" s="173"/>
      <c r="CK147" s="173"/>
      <c r="CL147" s="173"/>
      <c r="CM147" s="173"/>
      <c r="CN147" s="173"/>
      <c r="CO147" s="173"/>
      <c r="CP147" s="173"/>
      <c r="CQ147" s="173"/>
      <c r="CR147" s="151"/>
      <c r="CS147" s="173"/>
      <c r="CT147" s="173"/>
      <c r="CU147" s="173"/>
      <c r="CV147" s="173"/>
      <c r="CW147" s="173"/>
      <c r="CX147" s="173"/>
      <c r="CY147" s="173"/>
      <c r="CZ147" s="173"/>
      <c r="DA147" s="150"/>
      <c r="DB147" s="150"/>
      <c r="DC147" s="150"/>
      <c r="DD147" s="150"/>
      <c r="DE147" s="150"/>
      <c r="DF147" s="150"/>
      <c r="DG147" s="150"/>
      <c r="DH147" s="150"/>
      <c r="DI147" s="150"/>
      <c r="DJ147" s="150"/>
      <c r="DK147" s="222"/>
      <c r="DL147" s="222"/>
      <c r="DM147" s="222"/>
      <c r="DN147" s="174"/>
      <c r="DO147" s="174"/>
      <c r="DP147" s="174"/>
      <c r="DQ147" s="174"/>
      <c r="DR147" s="174"/>
      <c r="DS147" s="174"/>
      <c r="DT147" s="174"/>
      <c r="DU147" s="174"/>
      <c r="DV147" s="174"/>
      <c r="DW147" s="174"/>
      <c r="DX147" s="174"/>
      <c r="DY147" s="174"/>
      <c r="DZ147" s="174"/>
      <c r="EA147" s="174"/>
      <c r="EB147" s="174"/>
      <c r="EC147" s="174"/>
      <c r="ED147" s="174"/>
      <c r="EE147" s="174"/>
      <c r="EF147" s="174"/>
      <c r="EG147" s="174"/>
      <c r="EH147" s="174"/>
      <c r="EI147" s="174"/>
      <c r="EJ147" s="174"/>
      <c r="EK147" s="174"/>
      <c r="EL147" s="174"/>
      <c r="EM147" s="174"/>
      <c r="EN147" s="174"/>
      <c r="EO147" s="174"/>
      <c r="EP147" s="174"/>
      <c r="EQ147" s="174"/>
      <c r="ER147" s="174"/>
      <c r="ES147" s="174"/>
      <c r="ET147" s="174"/>
      <c r="EU147" s="174"/>
      <c r="EV147" s="174"/>
      <c r="EW147" s="174"/>
      <c r="EX147" s="174"/>
      <c r="EY147" s="174"/>
      <c r="EZ147" s="174"/>
      <c r="FA147" s="174"/>
      <c r="FB147" s="174"/>
      <c r="FC147" s="174"/>
      <c r="FD147" s="174"/>
      <c r="FE147" s="174"/>
      <c r="FF147" s="174"/>
      <c r="FG147" s="174"/>
      <c r="FH147" s="174"/>
      <c r="FI147" s="174"/>
      <c r="FJ147" s="174"/>
      <c r="FK147" s="174"/>
      <c r="FL147" s="174"/>
      <c r="FM147" s="174"/>
      <c r="FN147" s="174"/>
      <c r="FO147" s="174"/>
      <c r="FP147" s="174"/>
      <c r="FQ147" s="174"/>
      <c r="FR147" s="174"/>
      <c r="FS147" s="174"/>
      <c r="FT147" s="174"/>
      <c r="FU147" s="174"/>
      <c r="FV147" s="174"/>
      <c r="FW147" s="174"/>
      <c r="FX147" s="174"/>
      <c r="FY147" s="174"/>
      <c r="FZ147" s="174"/>
      <c r="GA147" s="174"/>
      <c r="GB147" s="174"/>
      <c r="GC147" s="174"/>
      <c r="GD147" s="174"/>
      <c r="GE147" s="174"/>
      <c r="GF147" s="174"/>
      <c r="GG147" s="174"/>
      <c r="GH147" s="174"/>
      <c r="GI147" s="174"/>
      <c r="GJ147" s="174"/>
      <c r="GK147" s="174"/>
      <c r="GL147" s="174"/>
      <c r="GM147" s="174"/>
      <c r="GN147" s="174"/>
      <c r="GO147" s="174"/>
      <c r="GP147" s="174"/>
      <c r="GQ147" s="174"/>
      <c r="GR147" s="174"/>
      <c r="GS147" s="174"/>
      <c r="GT147" s="174"/>
      <c r="GU147" s="174"/>
      <c r="GV147" s="174"/>
      <c r="GW147" s="174"/>
      <c r="GX147" s="174"/>
      <c r="GY147" s="174"/>
      <c r="GZ147" s="174"/>
      <c r="HA147" s="174"/>
      <c r="HB147" s="174"/>
      <c r="HC147" s="174"/>
      <c r="HD147" s="174"/>
      <c r="HE147" s="174"/>
      <c r="HF147" s="174"/>
      <c r="HG147" s="174"/>
      <c r="HH147" s="174"/>
      <c r="HI147" s="174"/>
      <c r="HJ147" s="174"/>
      <c r="HK147" s="174"/>
      <c r="HL147" s="174"/>
      <c r="HM147" s="174"/>
      <c r="HN147" s="174"/>
      <c r="HO147" s="174"/>
      <c r="HP147" s="174"/>
      <c r="HQ147" s="174"/>
      <c r="HR147" s="174"/>
      <c r="HS147" s="174"/>
      <c r="HT147" s="174"/>
      <c r="HU147" s="174"/>
      <c r="HV147" s="174"/>
      <c r="HW147" s="174"/>
      <c r="HX147" s="174"/>
      <c r="HY147" s="174"/>
      <c r="HZ147" s="174"/>
      <c r="IA147" s="174"/>
      <c r="IB147" s="174"/>
      <c r="IC147" s="174"/>
      <c r="ID147" s="174"/>
      <c r="IE147" s="174"/>
      <c r="IF147" s="174"/>
      <c r="IG147" s="174"/>
      <c r="IH147" s="174"/>
      <c r="II147" s="174"/>
      <c r="IJ147" s="174"/>
      <c r="IK147" s="174"/>
      <c r="IL147" s="174"/>
      <c r="IM147" s="174"/>
      <c r="IN147" s="174"/>
      <c r="IO147" s="174"/>
      <c r="IP147" s="174"/>
      <c r="IQ147" s="174"/>
      <c r="IR147" s="174"/>
      <c r="IS147" s="174"/>
      <c r="IT147" s="174"/>
      <c r="IU147" s="174"/>
      <c r="IV147" s="174"/>
      <c r="IW147" s="174"/>
      <c r="IX147" s="174"/>
      <c r="IY147" s="174"/>
      <c r="IZ147" s="174"/>
      <c r="JA147" s="174"/>
      <c r="JB147" s="174"/>
      <c r="JC147" s="174"/>
      <c r="JD147" s="174"/>
      <c r="JE147" s="174"/>
      <c r="JF147" s="174"/>
      <c r="JG147" s="174"/>
      <c r="JH147" s="174"/>
      <c r="JI147" s="174"/>
      <c r="JJ147" s="174"/>
      <c r="JK147" s="174"/>
      <c r="JL147" s="174"/>
      <c r="JM147" s="174"/>
      <c r="JN147" s="174"/>
      <c r="JO147" s="174"/>
      <c r="JP147" s="174"/>
      <c r="JQ147" s="174"/>
      <c r="JR147" s="174"/>
      <c r="JS147" s="174"/>
      <c r="JT147" s="174"/>
      <c r="JU147" s="174"/>
      <c r="JV147" s="174"/>
    </row>
    <row r="148" spans="1:282" s="229" customFormat="1">
      <c r="A148" s="232"/>
      <c r="B148" s="173"/>
      <c r="C148" s="173"/>
      <c r="D148" s="233"/>
      <c r="E148" s="228"/>
      <c r="F148" s="234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3"/>
      <c r="AT148" s="173"/>
      <c r="AU148" s="173"/>
      <c r="AV148" s="173"/>
      <c r="AW148" s="173"/>
      <c r="AX148" s="173"/>
      <c r="AY148" s="173"/>
      <c r="AZ148" s="173"/>
      <c r="BA148" s="277"/>
      <c r="BB148" s="173"/>
      <c r="BC148" s="173"/>
      <c r="BD148" s="173"/>
      <c r="BE148" s="173"/>
      <c r="BF148" s="173"/>
      <c r="BG148" s="173"/>
      <c r="BH148" s="173"/>
      <c r="BI148" s="173"/>
      <c r="BJ148" s="173"/>
      <c r="BK148" s="173"/>
      <c r="BL148" s="173"/>
      <c r="BM148" s="173"/>
      <c r="BN148" s="173"/>
      <c r="BO148" s="173"/>
      <c r="BP148" s="173"/>
      <c r="BQ148" s="173"/>
      <c r="BR148" s="173"/>
      <c r="BS148" s="173"/>
      <c r="BT148" s="173"/>
      <c r="BU148" s="173"/>
      <c r="BV148" s="173"/>
      <c r="BW148" s="173"/>
      <c r="BX148" s="173"/>
      <c r="BY148" s="173"/>
      <c r="BZ148" s="173"/>
      <c r="CA148" s="173"/>
      <c r="CB148" s="173"/>
      <c r="CC148" s="173"/>
      <c r="CD148" s="173"/>
      <c r="CE148" s="173"/>
      <c r="CF148" s="173"/>
      <c r="CG148" s="173"/>
      <c r="CH148" s="173"/>
      <c r="CI148" s="173"/>
      <c r="CJ148" s="173"/>
      <c r="CK148" s="173"/>
      <c r="CL148" s="173"/>
      <c r="CM148" s="173"/>
      <c r="CN148" s="173"/>
      <c r="CO148" s="173"/>
      <c r="CP148" s="173"/>
      <c r="CQ148" s="173"/>
      <c r="CR148" s="151"/>
      <c r="CS148" s="173"/>
      <c r="CT148" s="173"/>
      <c r="CU148" s="173"/>
      <c r="CV148" s="173"/>
      <c r="CW148" s="173"/>
      <c r="CX148" s="173"/>
      <c r="CY148" s="173"/>
      <c r="CZ148" s="173"/>
      <c r="DA148" s="222"/>
      <c r="DB148" s="222"/>
      <c r="DC148" s="222"/>
      <c r="DD148" s="222"/>
      <c r="DE148" s="222"/>
      <c r="DF148" s="222"/>
      <c r="DG148" s="222"/>
      <c r="DH148" s="222"/>
      <c r="DI148" s="222"/>
      <c r="DJ148" s="222"/>
      <c r="DK148" s="222"/>
      <c r="DL148" s="222"/>
      <c r="DM148" s="222"/>
      <c r="DN148" s="174"/>
      <c r="DO148" s="174"/>
      <c r="DP148" s="174"/>
      <c r="DQ148" s="174"/>
      <c r="DR148" s="174"/>
      <c r="DS148" s="174"/>
      <c r="DT148" s="174"/>
      <c r="DU148" s="174"/>
      <c r="DV148" s="174"/>
      <c r="DW148" s="174"/>
      <c r="DX148" s="174"/>
      <c r="DY148" s="174"/>
      <c r="DZ148" s="174"/>
      <c r="EA148" s="174"/>
      <c r="EB148" s="174"/>
      <c r="EC148" s="174"/>
      <c r="ED148" s="174"/>
      <c r="EE148" s="174"/>
      <c r="EF148" s="174"/>
      <c r="EG148" s="174"/>
      <c r="EH148" s="174"/>
      <c r="EI148" s="174"/>
      <c r="EJ148" s="174"/>
      <c r="EK148" s="174"/>
      <c r="EL148" s="174"/>
      <c r="EM148" s="174"/>
      <c r="EN148" s="174"/>
      <c r="EO148" s="174"/>
      <c r="EP148" s="174"/>
      <c r="EQ148" s="174"/>
      <c r="ER148" s="174"/>
      <c r="ES148" s="174"/>
      <c r="ET148" s="174"/>
      <c r="EU148" s="174"/>
      <c r="EV148" s="174"/>
      <c r="EW148" s="174"/>
      <c r="EX148" s="174"/>
      <c r="EY148" s="174"/>
      <c r="EZ148" s="174"/>
      <c r="FA148" s="174"/>
      <c r="FB148" s="174"/>
      <c r="FC148" s="174"/>
      <c r="FD148" s="174"/>
      <c r="FE148" s="174"/>
      <c r="FF148" s="174"/>
      <c r="FG148" s="174"/>
      <c r="FH148" s="174"/>
      <c r="FI148" s="174"/>
      <c r="FJ148" s="174"/>
      <c r="FK148" s="174"/>
      <c r="FL148" s="174"/>
      <c r="FM148" s="174"/>
      <c r="FN148" s="174"/>
      <c r="FO148" s="174"/>
      <c r="FP148" s="174"/>
      <c r="FQ148" s="174"/>
      <c r="FR148" s="174"/>
      <c r="FS148" s="174"/>
      <c r="FT148" s="174"/>
      <c r="FU148" s="174"/>
      <c r="FV148" s="174"/>
      <c r="FW148" s="174"/>
      <c r="FX148" s="174"/>
      <c r="FY148" s="174"/>
      <c r="FZ148" s="174"/>
      <c r="GA148" s="174"/>
      <c r="GB148" s="174"/>
      <c r="GC148" s="174"/>
      <c r="GD148" s="174"/>
      <c r="GE148" s="174"/>
      <c r="GF148" s="174"/>
      <c r="GG148" s="174"/>
      <c r="GH148" s="174"/>
      <c r="GI148" s="174"/>
      <c r="GJ148" s="174"/>
      <c r="GK148" s="174"/>
      <c r="GL148" s="174"/>
      <c r="GM148" s="174"/>
      <c r="GN148" s="174"/>
      <c r="GO148" s="174"/>
      <c r="GP148" s="174"/>
      <c r="GQ148" s="174"/>
      <c r="GR148" s="174"/>
      <c r="GS148" s="174"/>
      <c r="GT148" s="174"/>
      <c r="GU148" s="174"/>
      <c r="GV148" s="174"/>
      <c r="GW148" s="174"/>
      <c r="GX148" s="174"/>
      <c r="GY148" s="174"/>
      <c r="GZ148" s="174"/>
      <c r="HA148" s="174"/>
      <c r="HB148" s="174"/>
      <c r="HC148" s="174"/>
      <c r="HD148" s="174"/>
      <c r="HE148" s="174"/>
      <c r="HF148" s="174"/>
      <c r="HG148" s="174"/>
      <c r="HH148" s="174"/>
      <c r="HI148" s="174"/>
      <c r="HJ148" s="174"/>
      <c r="HK148" s="174"/>
      <c r="HL148" s="174"/>
      <c r="HM148" s="174"/>
      <c r="HN148" s="174"/>
      <c r="HO148" s="174"/>
      <c r="HP148" s="174"/>
      <c r="HQ148" s="174"/>
      <c r="HR148" s="174"/>
      <c r="HS148" s="174"/>
      <c r="HT148" s="174"/>
      <c r="HU148" s="174"/>
      <c r="HV148" s="174"/>
      <c r="HW148" s="174"/>
      <c r="HX148" s="174"/>
      <c r="HY148" s="174"/>
      <c r="HZ148" s="174"/>
      <c r="IA148" s="174"/>
      <c r="IB148" s="174"/>
      <c r="IC148" s="174"/>
      <c r="ID148" s="174"/>
      <c r="IE148" s="174"/>
      <c r="IF148" s="174"/>
      <c r="IG148" s="174"/>
      <c r="IH148" s="174"/>
      <c r="II148" s="174"/>
      <c r="IJ148" s="174"/>
      <c r="IK148" s="174"/>
      <c r="IL148" s="174"/>
      <c r="IM148" s="174"/>
      <c r="IN148" s="174"/>
      <c r="IO148" s="174"/>
      <c r="IP148" s="174"/>
      <c r="IQ148" s="174"/>
      <c r="IR148" s="174"/>
      <c r="IS148" s="174"/>
      <c r="IT148" s="174"/>
      <c r="IU148" s="174"/>
      <c r="IV148" s="174"/>
      <c r="IW148" s="174"/>
      <c r="IX148" s="174"/>
      <c r="IY148" s="174"/>
      <c r="IZ148" s="174"/>
      <c r="JA148" s="174"/>
      <c r="JB148" s="174"/>
      <c r="JC148" s="174"/>
      <c r="JD148" s="174"/>
      <c r="JE148" s="174"/>
      <c r="JF148" s="174"/>
      <c r="JG148" s="174"/>
      <c r="JH148" s="174"/>
      <c r="JI148" s="174"/>
      <c r="JJ148" s="174"/>
      <c r="JK148" s="174"/>
      <c r="JL148" s="174"/>
      <c r="JM148" s="174"/>
      <c r="JN148" s="174"/>
      <c r="JO148" s="174"/>
      <c r="JP148" s="174"/>
      <c r="JQ148" s="174"/>
      <c r="JR148" s="174"/>
      <c r="JS148" s="174"/>
      <c r="JT148" s="174"/>
      <c r="JU148" s="174"/>
      <c r="JV148" s="174"/>
    </row>
    <row r="149" spans="1:282" s="229" customFormat="1">
      <c r="A149" s="232"/>
      <c r="B149" s="173"/>
      <c r="C149" s="173"/>
      <c r="D149" s="233"/>
      <c r="E149" s="228"/>
      <c r="F149" s="234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3"/>
      <c r="AT149" s="173"/>
      <c r="AU149" s="173"/>
      <c r="AV149" s="173"/>
      <c r="AW149" s="173"/>
      <c r="AX149" s="173"/>
      <c r="AY149" s="173"/>
      <c r="AZ149" s="173"/>
      <c r="BA149" s="277"/>
      <c r="BB149" s="173"/>
      <c r="BC149" s="173"/>
      <c r="BD149" s="173"/>
      <c r="BE149" s="173"/>
      <c r="BF149" s="173"/>
      <c r="BG149" s="173"/>
      <c r="BH149" s="173"/>
      <c r="BI149" s="173"/>
      <c r="BJ149" s="173"/>
      <c r="BK149" s="173"/>
      <c r="BL149" s="173"/>
      <c r="BM149" s="173"/>
      <c r="BN149" s="173"/>
      <c r="BO149" s="173"/>
      <c r="BP149" s="173"/>
      <c r="BQ149" s="173"/>
      <c r="BR149" s="173"/>
      <c r="BS149" s="173"/>
      <c r="BT149" s="173"/>
      <c r="BU149" s="173"/>
      <c r="BV149" s="173"/>
      <c r="BW149" s="173"/>
      <c r="BX149" s="173"/>
      <c r="BY149" s="173"/>
      <c r="BZ149" s="173"/>
      <c r="CA149" s="173"/>
      <c r="CB149" s="173"/>
      <c r="CC149" s="173"/>
      <c r="CD149" s="173"/>
      <c r="CE149" s="173"/>
      <c r="CF149" s="173"/>
      <c r="CG149" s="173"/>
      <c r="CH149" s="173"/>
      <c r="CI149" s="173"/>
      <c r="CJ149" s="173"/>
      <c r="CK149" s="173"/>
      <c r="CL149" s="173"/>
      <c r="CM149" s="173"/>
      <c r="CN149" s="173"/>
      <c r="CO149" s="173"/>
      <c r="CP149" s="173"/>
      <c r="CQ149" s="173"/>
      <c r="CR149" s="151"/>
      <c r="CS149" s="173"/>
      <c r="CT149" s="173"/>
      <c r="CU149" s="173"/>
      <c r="CV149" s="173"/>
      <c r="CW149" s="173"/>
      <c r="CX149" s="173"/>
      <c r="CY149" s="173"/>
      <c r="CZ149" s="173"/>
      <c r="DA149" s="222"/>
      <c r="DB149" s="222"/>
      <c r="DC149" s="222"/>
      <c r="DD149" s="222"/>
      <c r="DE149" s="222"/>
      <c r="DF149" s="222"/>
      <c r="DG149" s="222"/>
      <c r="DH149" s="222"/>
      <c r="DI149" s="222"/>
      <c r="DJ149" s="222"/>
      <c r="DK149" s="222"/>
      <c r="DL149" s="222"/>
      <c r="DM149" s="222"/>
      <c r="DN149" s="174"/>
      <c r="DO149" s="174"/>
      <c r="DP149" s="174"/>
      <c r="DQ149" s="174"/>
      <c r="DR149" s="174"/>
      <c r="DS149" s="174"/>
      <c r="DT149" s="174"/>
      <c r="DU149" s="174"/>
      <c r="DV149" s="174"/>
      <c r="DW149" s="174"/>
      <c r="DX149" s="174"/>
      <c r="DY149" s="174"/>
      <c r="DZ149" s="174"/>
      <c r="EA149" s="174"/>
      <c r="EB149" s="174"/>
      <c r="EC149" s="174"/>
      <c r="ED149" s="174"/>
      <c r="EE149" s="174"/>
      <c r="EF149" s="174"/>
      <c r="EG149" s="174"/>
      <c r="EH149" s="174"/>
      <c r="EI149" s="174"/>
      <c r="EJ149" s="174"/>
      <c r="EK149" s="174"/>
      <c r="EL149" s="174"/>
      <c r="EM149" s="174"/>
      <c r="EN149" s="174"/>
      <c r="EO149" s="174"/>
      <c r="EP149" s="174"/>
      <c r="EQ149" s="174"/>
      <c r="ER149" s="174"/>
      <c r="ES149" s="174"/>
      <c r="ET149" s="174"/>
      <c r="EU149" s="174"/>
      <c r="EV149" s="174"/>
      <c r="EW149" s="174"/>
      <c r="EX149" s="174"/>
      <c r="EY149" s="174"/>
      <c r="EZ149" s="174"/>
      <c r="FA149" s="174"/>
      <c r="FB149" s="174"/>
      <c r="FC149" s="174"/>
      <c r="FD149" s="174"/>
      <c r="FE149" s="174"/>
      <c r="FF149" s="174"/>
      <c r="FG149" s="174"/>
      <c r="FH149" s="174"/>
      <c r="FI149" s="174"/>
      <c r="FJ149" s="174"/>
      <c r="FK149" s="174"/>
      <c r="FL149" s="174"/>
      <c r="FM149" s="174"/>
      <c r="FN149" s="174"/>
      <c r="FO149" s="174"/>
      <c r="FP149" s="174"/>
      <c r="FQ149" s="174"/>
      <c r="FR149" s="174"/>
      <c r="FS149" s="174"/>
      <c r="FT149" s="174"/>
      <c r="FU149" s="174"/>
      <c r="FV149" s="174"/>
      <c r="FW149" s="174"/>
      <c r="FX149" s="174"/>
      <c r="FY149" s="174"/>
      <c r="FZ149" s="174"/>
      <c r="GA149" s="174"/>
      <c r="GB149" s="174"/>
      <c r="GC149" s="174"/>
      <c r="GD149" s="174"/>
      <c r="GE149" s="174"/>
      <c r="GF149" s="174"/>
      <c r="GG149" s="174"/>
      <c r="GH149" s="174"/>
      <c r="GI149" s="174"/>
      <c r="GJ149" s="174"/>
      <c r="GK149" s="174"/>
      <c r="GL149" s="174"/>
      <c r="GM149" s="174"/>
      <c r="GN149" s="174"/>
      <c r="GO149" s="174"/>
      <c r="GP149" s="174"/>
      <c r="GQ149" s="174"/>
      <c r="GR149" s="174"/>
      <c r="GS149" s="174"/>
      <c r="GT149" s="174"/>
      <c r="GU149" s="174"/>
      <c r="GV149" s="174"/>
      <c r="GW149" s="174"/>
      <c r="GX149" s="174"/>
      <c r="GY149" s="174"/>
      <c r="GZ149" s="174"/>
      <c r="HA149" s="174"/>
      <c r="HB149" s="174"/>
      <c r="HC149" s="174"/>
      <c r="HD149" s="174"/>
      <c r="HE149" s="174"/>
      <c r="HF149" s="174"/>
      <c r="HG149" s="174"/>
      <c r="HH149" s="174"/>
      <c r="HI149" s="174"/>
      <c r="HJ149" s="174"/>
      <c r="HK149" s="174"/>
      <c r="HL149" s="174"/>
      <c r="HM149" s="174"/>
      <c r="HN149" s="174"/>
      <c r="HO149" s="174"/>
      <c r="HP149" s="174"/>
      <c r="HQ149" s="174"/>
      <c r="HR149" s="174"/>
      <c r="HS149" s="174"/>
      <c r="HT149" s="174"/>
      <c r="HU149" s="174"/>
      <c r="HV149" s="174"/>
      <c r="HW149" s="174"/>
      <c r="HX149" s="174"/>
      <c r="HY149" s="174"/>
      <c r="HZ149" s="174"/>
      <c r="IA149" s="174"/>
      <c r="IB149" s="174"/>
      <c r="IC149" s="174"/>
      <c r="ID149" s="174"/>
      <c r="IE149" s="174"/>
      <c r="IF149" s="174"/>
      <c r="IG149" s="174"/>
      <c r="IH149" s="174"/>
      <c r="II149" s="174"/>
      <c r="IJ149" s="174"/>
      <c r="IK149" s="174"/>
      <c r="IL149" s="174"/>
      <c r="IM149" s="174"/>
      <c r="IN149" s="174"/>
      <c r="IO149" s="174"/>
      <c r="IP149" s="174"/>
      <c r="IQ149" s="174"/>
      <c r="IR149" s="174"/>
      <c r="IS149" s="174"/>
      <c r="IT149" s="174"/>
      <c r="IU149" s="174"/>
      <c r="IV149" s="174"/>
      <c r="IW149" s="174"/>
      <c r="IX149" s="174"/>
      <c r="IY149" s="174"/>
      <c r="IZ149" s="174"/>
      <c r="JA149" s="174"/>
      <c r="JB149" s="174"/>
      <c r="JC149" s="174"/>
      <c r="JD149" s="174"/>
      <c r="JE149" s="174"/>
      <c r="JF149" s="174"/>
      <c r="JG149" s="174"/>
      <c r="JH149" s="174"/>
      <c r="JI149" s="174"/>
      <c r="JJ149" s="174"/>
      <c r="JK149" s="174"/>
      <c r="JL149" s="174"/>
      <c r="JM149" s="174"/>
      <c r="JN149" s="174"/>
      <c r="JO149" s="174"/>
      <c r="JP149" s="174"/>
      <c r="JQ149" s="174"/>
      <c r="JR149" s="174"/>
      <c r="JS149" s="174"/>
      <c r="JT149" s="174"/>
      <c r="JU149" s="174"/>
      <c r="JV149" s="174"/>
    </row>
    <row r="150" spans="1:282" s="229" customFormat="1">
      <c r="A150" s="232"/>
      <c r="B150" s="173"/>
      <c r="C150" s="173"/>
      <c r="D150" s="233"/>
      <c r="E150" s="228"/>
      <c r="F150" s="234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3"/>
      <c r="AT150" s="173"/>
      <c r="AU150" s="173"/>
      <c r="AV150" s="173"/>
      <c r="AW150" s="173"/>
      <c r="AX150" s="173"/>
      <c r="AY150" s="173"/>
      <c r="AZ150" s="173"/>
      <c r="BA150" s="277"/>
      <c r="BB150" s="173"/>
      <c r="BC150" s="173"/>
      <c r="BD150" s="173"/>
      <c r="BE150" s="173"/>
      <c r="BF150" s="173"/>
      <c r="BG150" s="173"/>
      <c r="BH150" s="173"/>
      <c r="BI150" s="173"/>
      <c r="BJ150" s="173"/>
      <c r="BK150" s="173"/>
      <c r="BL150" s="173"/>
      <c r="BM150" s="173"/>
      <c r="BN150" s="173"/>
      <c r="BO150" s="173"/>
      <c r="BP150" s="173"/>
      <c r="BQ150" s="173"/>
      <c r="BR150" s="173"/>
      <c r="BS150" s="173"/>
      <c r="BT150" s="173"/>
      <c r="BU150" s="173"/>
      <c r="BV150" s="173"/>
      <c r="BW150" s="173"/>
      <c r="BX150" s="173"/>
      <c r="BY150" s="173"/>
      <c r="BZ150" s="173"/>
      <c r="CA150" s="173"/>
      <c r="CB150" s="173"/>
      <c r="CC150" s="173"/>
      <c r="CD150" s="173"/>
      <c r="CE150" s="173"/>
      <c r="CF150" s="173"/>
      <c r="CG150" s="173"/>
      <c r="CH150" s="173"/>
      <c r="CI150" s="173"/>
      <c r="CJ150" s="173"/>
      <c r="CK150" s="173"/>
      <c r="CL150" s="173"/>
      <c r="CM150" s="173"/>
      <c r="CN150" s="173"/>
      <c r="CO150" s="173"/>
      <c r="CP150" s="173"/>
      <c r="CQ150" s="173"/>
      <c r="CR150" s="151"/>
      <c r="CS150" s="173"/>
      <c r="CT150" s="173"/>
      <c r="CU150" s="173"/>
      <c r="CV150" s="173"/>
      <c r="CW150" s="173"/>
      <c r="CX150" s="173"/>
      <c r="CY150" s="173"/>
      <c r="CZ150" s="173"/>
      <c r="DA150" s="150"/>
      <c r="DB150" s="150"/>
      <c r="DC150" s="150"/>
      <c r="DD150" s="150"/>
      <c r="DE150" s="150"/>
      <c r="DF150" s="150"/>
      <c r="DG150" s="150"/>
      <c r="DH150" s="150"/>
      <c r="DI150" s="150"/>
      <c r="DJ150" s="150"/>
      <c r="DK150" s="222"/>
      <c r="DL150" s="222"/>
      <c r="DM150" s="222"/>
      <c r="DN150" s="174"/>
      <c r="DO150" s="174"/>
      <c r="DP150" s="174"/>
      <c r="DQ150" s="174"/>
      <c r="DR150" s="174"/>
      <c r="DS150" s="174"/>
      <c r="DT150" s="174"/>
      <c r="DU150" s="174"/>
      <c r="DV150" s="174"/>
      <c r="DW150" s="174"/>
      <c r="DX150" s="174"/>
      <c r="DY150" s="174"/>
      <c r="DZ150" s="174"/>
      <c r="EA150" s="174"/>
      <c r="EB150" s="174"/>
      <c r="EC150" s="174"/>
      <c r="ED150" s="174"/>
      <c r="EE150" s="174"/>
      <c r="EF150" s="174"/>
      <c r="EG150" s="174"/>
      <c r="EH150" s="174"/>
      <c r="EI150" s="174"/>
      <c r="EJ150" s="174"/>
      <c r="EK150" s="174"/>
      <c r="EL150" s="174"/>
      <c r="EM150" s="174"/>
      <c r="EN150" s="174"/>
      <c r="EO150" s="174"/>
      <c r="EP150" s="174"/>
      <c r="EQ150" s="174"/>
      <c r="ER150" s="174"/>
      <c r="ES150" s="174"/>
      <c r="ET150" s="174"/>
      <c r="EU150" s="174"/>
      <c r="EV150" s="174"/>
      <c r="EW150" s="174"/>
      <c r="EX150" s="174"/>
      <c r="EY150" s="174"/>
      <c r="EZ150" s="174"/>
      <c r="FA150" s="174"/>
      <c r="FB150" s="174"/>
      <c r="FC150" s="174"/>
      <c r="FD150" s="174"/>
      <c r="FE150" s="174"/>
      <c r="FF150" s="174"/>
      <c r="FG150" s="174"/>
      <c r="FH150" s="174"/>
      <c r="FI150" s="174"/>
      <c r="FJ150" s="174"/>
      <c r="FK150" s="174"/>
      <c r="FL150" s="174"/>
      <c r="FM150" s="174"/>
      <c r="FN150" s="174"/>
      <c r="FO150" s="174"/>
      <c r="FP150" s="174"/>
      <c r="FQ150" s="174"/>
      <c r="FR150" s="174"/>
      <c r="FS150" s="174"/>
      <c r="FT150" s="174"/>
      <c r="FU150" s="174"/>
      <c r="FV150" s="174"/>
      <c r="FW150" s="174"/>
      <c r="FX150" s="174"/>
      <c r="FY150" s="174"/>
      <c r="FZ150" s="174"/>
      <c r="GA150" s="174"/>
      <c r="GB150" s="174"/>
      <c r="GC150" s="174"/>
      <c r="GD150" s="174"/>
      <c r="GE150" s="174"/>
      <c r="GF150" s="174"/>
      <c r="GG150" s="174"/>
      <c r="GH150" s="174"/>
      <c r="GI150" s="174"/>
      <c r="GJ150" s="174"/>
      <c r="GK150" s="174"/>
      <c r="GL150" s="174"/>
      <c r="GM150" s="174"/>
      <c r="GN150" s="174"/>
      <c r="GO150" s="174"/>
      <c r="GP150" s="174"/>
      <c r="GQ150" s="174"/>
      <c r="GR150" s="174"/>
      <c r="GS150" s="174"/>
      <c r="GT150" s="174"/>
      <c r="GU150" s="174"/>
      <c r="GV150" s="174"/>
      <c r="GW150" s="174"/>
      <c r="GX150" s="174"/>
      <c r="GY150" s="174"/>
      <c r="GZ150" s="174"/>
      <c r="HA150" s="174"/>
      <c r="HB150" s="174"/>
      <c r="HC150" s="174"/>
      <c r="HD150" s="174"/>
      <c r="HE150" s="174"/>
      <c r="HF150" s="174"/>
      <c r="HG150" s="174"/>
      <c r="HH150" s="174"/>
      <c r="HI150" s="174"/>
      <c r="HJ150" s="174"/>
      <c r="HK150" s="174"/>
      <c r="HL150" s="174"/>
      <c r="HM150" s="174"/>
      <c r="HN150" s="174"/>
      <c r="HO150" s="174"/>
      <c r="HP150" s="174"/>
      <c r="HQ150" s="174"/>
      <c r="HR150" s="174"/>
      <c r="HS150" s="174"/>
      <c r="HT150" s="174"/>
      <c r="HU150" s="174"/>
      <c r="HV150" s="174"/>
      <c r="HW150" s="174"/>
      <c r="HX150" s="174"/>
      <c r="HY150" s="174"/>
      <c r="HZ150" s="174"/>
      <c r="IA150" s="174"/>
      <c r="IB150" s="174"/>
      <c r="IC150" s="174"/>
      <c r="ID150" s="174"/>
      <c r="IE150" s="174"/>
      <c r="IF150" s="174"/>
      <c r="IG150" s="174"/>
      <c r="IH150" s="174"/>
      <c r="II150" s="174"/>
      <c r="IJ150" s="174"/>
      <c r="IK150" s="174"/>
      <c r="IL150" s="174"/>
      <c r="IM150" s="174"/>
      <c r="IN150" s="174"/>
      <c r="IO150" s="174"/>
      <c r="IP150" s="174"/>
      <c r="IQ150" s="174"/>
      <c r="IR150" s="174"/>
      <c r="IS150" s="174"/>
      <c r="IT150" s="174"/>
      <c r="IU150" s="174"/>
      <c r="IV150" s="174"/>
      <c r="IW150" s="174"/>
      <c r="IX150" s="174"/>
      <c r="IY150" s="174"/>
      <c r="IZ150" s="174"/>
      <c r="JA150" s="174"/>
      <c r="JB150" s="174"/>
      <c r="JC150" s="174"/>
      <c r="JD150" s="174"/>
      <c r="JE150" s="174"/>
      <c r="JF150" s="174"/>
      <c r="JG150" s="174"/>
      <c r="JH150" s="174"/>
      <c r="JI150" s="174"/>
      <c r="JJ150" s="174"/>
      <c r="JK150" s="174"/>
      <c r="JL150" s="174"/>
      <c r="JM150" s="174"/>
      <c r="JN150" s="174"/>
      <c r="JO150" s="174"/>
      <c r="JP150" s="174"/>
      <c r="JQ150" s="174"/>
      <c r="JR150" s="174"/>
      <c r="JS150" s="174"/>
      <c r="JT150" s="174"/>
      <c r="JU150" s="174"/>
      <c r="JV150" s="174"/>
    </row>
    <row r="151" spans="1:282" s="229" customFormat="1">
      <c r="A151" s="232"/>
      <c r="B151" s="173"/>
      <c r="C151" s="173"/>
      <c r="D151" s="233"/>
      <c r="E151" s="228"/>
      <c r="F151" s="234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  <c r="AY151" s="173"/>
      <c r="AZ151" s="173"/>
      <c r="BA151" s="277"/>
      <c r="BB151" s="173"/>
      <c r="BC151" s="173"/>
      <c r="BD151" s="173"/>
      <c r="BE151" s="173"/>
      <c r="BF151" s="173"/>
      <c r="BG151" s="173"/>
      <c r="BH151" s="173"/>
      <c r="BI151" s="173"/>
      <c r="BJ151" s="173"/>
      <c r="BK151" s="173"/>
      <c r="BL151" s="173"/>
      <c r="BM151" s="173"/>
      <c r="BN151" s="173"/>
      <c r="BO151" s="173"/>
      <c r="BP151" s="173"/>
      <c r="BQ151" s="173"/>
      <c r="BR151" s="173"/>
      <c r="BS151" s="173"/>
      <c r="BT151" s="173"/>
      <c r="BU151" s="173"/>
      <c r="BV151" s="173"/>
      <c r="BW151" s="173"/>
      <c r="BX151" s="173"/>
      <c r="BY151" s="173"/>
      <c r="BZ151" s="173"/>
      <c r="CA151" s="173"/>
      <c r="CB151" s="173"/>
      <c r="CC151" s="173"/>
      <c r="CD151" s="173"/>
      <c r="CE151" s="173"/>
      <c r="CF151" s="173"/>
      <c r="CG151" s="173"/>
      <c r="CH151" s="173"/>
      <c r="CI151" s="173"/>
      <c r="CJ151" s="173"/>
      <c r="CK151" s="173"/>
      <c r="CL151" s="173"/>
      <c r="CM151" s="173"/>
      <c r="CN151" s="173"/>
      <c r="CO151" s="173"/>
      <c r="CP151" s="173"/>
      <c r="CQ151" s="173"/>
      <c r="CR151" s="151"/>
      <c r="CS151" s="173"/>
      <c r="CT151" s="173"/>
      <c r="CU151" s="173"/>
      <c r="CV151" s="173"/>
      <c r="CW151" s="173"/>
      <c r="CX151" s="173"/>
      <c r="CY151" s="173"/>
      <c r="CZ151" s="173"/>
      <c r="DA151" s="150"/>
      <c r="DB151" s="150"/>
      <c r="DC151" s="150"/>
      <c r="DD151" s="150"/>
      <c r="DE151" s="150"/>
      <c r="DF151" s="150"/>
      <c r="DG151" s="150"/>
      <c r="DH151" s="150"/>
      <c r="DI151" s="150"/>
      <c r="DJ151" s="150"/>
      <c r="DK151" s="222"/>
      <c r="DL151" s="222"/>
      <c r="DM151" s="222"/>
      <c r="DN151" s="174"/>
      <c r="DO151" s="174"/>
      <c r="DP151" s="174"/>
      <c r="DQ151" s="174"/>
      <c r="DR151" s="174"/>
      <c r="DS151" s="174"/>
      <c r="DT151" s="174"/>
      <c r="DU151" s="174"/>
      <c r="DV151" s="174"/>
      <c r="DW151" s="174"/>
      <c r="DX151" s="174"/>
      <c r="DY151" s="174"/>
      <c r="DZ151" s="174"/>
      <c r="EA151" s="174"/>
      <c r="EB151" s="174"/>
      <c r="EC151" s="174"/>
      <c r="ED151" s="174"/>
      <c r="EE151" s="174"/>
      <c r="EF151" s="174"/>
      <c r="EG151" s="174"/>
      <c r="EH151" s="174"/>
      <c r="EI151" s="174"/>
      <c r="EJ151" s="174"/>
      <c r="EK151" s="174"/>
      <c r="EL151" s="174"/>
      <c r="EM151" s="174"/>
      <c r="EN151" s="174"/>
      <c r="EO151" s="174"/>
      <c r="EP151" s="174"/>
      <c r="EQ151" s="174"/>
      <c r="ER151" s="174"/>
      <c r="ES151" s="174"/>
      <c r="ET151" s="174"/>
      <c r="EU151" s="174"/>
      <c r="EV151" s="174"/>
      <c r="EW151" s="174"/>
      <c r="EX151" s="174"/>
      <c r="EY151" s="174"/>
      <c r="EZ151" s="174"/>
      <c r="FA151" s="174"/>
      <c r="FB151" s="174"/>
      <c r="FC151" s="174"/>
      <c r="FD151" s="174"/>
      <c r="FE151" s="174"/>
      <c r="FF151" s="174"/>
      <c r="FG151" s="174"/>
      <c r="FH151" s="174"/>
      <c r="FI151" s="174"/>
      <c r="FJ151" s="174"/>
      <c r="FK151" s="174"/>
      <c r="FL151" s="174"/>
      <c r="FM151" s="174"/>
      <c r="FN151" s="174"/>
      <c r="FO151" s="174"/>
      <c r="FP151" s="174"/>
      <c r="FQ151" s="174"/>
      <c r="FR151" s="174"/>
      <c r="FS151" s="174"/>
      <c r="FT151" s="174"/>
      <c r="FU151" s="174"/>
      <c r="FV151" s="174"/>
      <c r="FW151" s="174"/>
      <c r="FX151" s="174"/>
      <c r="FY151" s="174"/>
      <c r="FZ151" s="174"/>
      <c r="GA151" s="174"/>
      <c r="GB151" s="174"/>
      <c r="GC151" s="174"/>
      <c r="GD151" s="174"/>
      <c r="GE151" s="174"/>
      <c r="GF151" s="174"/>
      <c r="GG151" s="174"/>
      <c r="GH151" s="174"/>
      <c r="GI151" s="174"/>
      <c r="GJ151" s="174"/>
      <c r="GK151" s="174"/>
      <c r="GL151" s="174"/>
      <c r="GM151" s="174"/>
      <c r="GN151" s="174"/>
      <c r="GO151" s="174"/>
      <c r="GP151" s="174"/>
      <c r="GQ151" s="174"/>
      <c r="GR151" s="174"/>
      <c r="GS151" s="174"/>
      <c r="GT151" s="174"/>
      <c r="GU151" s="174"/>
      <c r="GV151" s="174"/>
      <c r="GW151" s="174"/>
      <c r="GX151" s="174"/>
      <c r="GY151" s="174"/>
      <c r="GZ151" s="174"/>
      <c r="HA151" s="174"/>
      <c r="HB151" s="174"/>
      <c r="HC151" s="174"/>
      <c r="HD151" s="174"/>
      <c r="HE151" s="174"/>
      <c r="HF151" s="174"/>
      <c r="HG151" s="174"/>
      <c r="HH151" s="174"/>
      <c r="HI151" s="174"/>
      <c r="HJ151" s="174"/>
      <c r="HK151" s="174"/>
      <c r="HL151" s="174"/>
      <c r="HM151" s="174"/>
      <c r="HN151" s="174"/>
      <c r="HO151" s="174"/>
      <c r="HP151" s="174"/>
      <c r="HQ151" s="174"/>
      <c r="HR151" s="174"/>
      <c r="HS151" s="174"/>
      <c r="HT151" s="174"/>
      <c r="HU151" s="174"/>
      <c r="HV151" s="174"/>
      <c r="HW151" s="174"/>
      <c r="HX151" s="174"/>
      <c r="HY151" s="174"/>
      <c r="HZ151" s="174"/>
      <c r="IA151" s="174"/>
      <c r="IB151" s="174"/>
      <c r="IC151" s="174"/>
      <c r="ID151" s="174"/>
      <c r="IE151" s="174"/>
      <c r="IF151" s="174"/>
      <c r="IG151" s="174"/>
      <c r="IH151" s="174"/>
      <c r="II151" s="174"/>
      <c r="IJ151" s="174"/>
      <c r="IK151" s="174"/>
      <c r="IL151" s="174"/>
      <c r="IM151" s="174"/>
      <c r="IN151" s="174"/>
      <c r="IO151" s="174"/>
      <c r="IP151" s="174"/>
      <c r="IQ151" s="174"/>
      <c r="IR151" s="174"/>
      <c r="IS151" s="174"/>
      <c r="IT151" s="174"/>
      <c r="IU151" s="174"/>
      <c r="IV151" s="174"/>
      <c r="IW151" s="174"/>
      <c r="IX151" s="174"/>
      <c r="IY151" s="174"/>
      <c r="IZ151" s="174"/>
      <c r="JA151" s="174"/>
      <c r="JB151" s="174"/>
      <c r="JC151" s="174"/>
      <c r="JD151" s="174"/>
      <c r="JE151" s="174"/>
      <c r="JF151" s="174"/>
      <c r="JG151" s="174"/>
      <c r="JH151" s="174"/>
      <c r="JI151" s="174"/>
      <c r="JJ151" s="174"/>
      <c r="JK151" s="174"/>
      <c r="JL151" s="174"/>
      <c r="JM151" s="174"/>
      <c r="JN151" s="174"/>
      <c r="JO151" s="174"/>
      <c r="JP151" s="174"/>
      <c r="JQ151" s="174"/>
      <c r="JR151" s="174"/>
      <c r="JS151" s="174"/>
      <c r="JT151" s="174"/>
      <c r="JU151" s="174"/>
      <c r="JV151" s="174"/>
    </row>
    <row r="152" spans="1:282" s="229" customFormat="1">
      <c r="A152" s="232"/>
      <c r="B152" s="173"/>
      <c r="C152" s="173"/>
      <c r="D152" s="233"/>
      <c r="E152" s="228"/>
      <c r="F152" s="234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3"/>
      <c r="AT152" s="173"/>
      <c r="AU152" s="173"/>
      <c r="AV152" s="173"/>
      <c r="AW152" s="173"/>
      <c r="AX152" s="173"/>
      <c r="AY152" s="173"/>
      <c r="AZ152" s="173"/>
      <c r="BA152" s="277"/>
      <c r="BB152" s="173"/>
      <c r="BC152" s="173"/>
      <c r="BD152" s="173"/>
      <c r="BE152" s="173"/>
      <c r="BF152" s="173"/>
      <c r="BG152" s="173"/>
      <c r="BH152" s="173"/>
      <c r="BI152" s="173"/>
      <c r="BJ152" s="173"/>
      <c r="BK152" s="173"/>
      <c r="BL152" s="173"/>
      <c r="BM152" s="173"/>
      <c r="BN152" s="173"/>
      <c r="BO152" s="173"/>
      <c r="BP152" s="173"/>
      <c r="BQ152" s="173"/>
      <c r="BR152" s="173"/>
      <c r="BS152" s="173"/>
      <c r="BT152" s="173"/>
      <c r="BU152" s="173"/>
      <c r="BV152" s="173"/>
      <c r="BW152" s="173"/>
      <c r="BX152" s="173"/>
      <c r="BY152" s="173"/>
      <c r="BZ152" s="173"/>
      <c r="CA152" s="173"/>
      <c r="CB152" s="173"/>
      <c r="CC152" s="173"/>
      <c r="CD152" s="173"/>
      <c r="CE152" s="173"/>
      <c r="CF152" s="173"/>
      <c r="CG152" s="173"/>
      <c r="CH152" s="173"/>
      <c r="CI152" s="173"/>
      <c r="CJ152" s="173"/>
      <c r="CK152" s="173"/>
      <c r="CL152" s="173"/>
      <c r="CM152" s="173"/>
      <c r="CN152" s="173"/>
      <c r="CO152" s="173"/>
      <c r="CP152" s="173"/>
      <c r="CQ152" s="173"/>
      <c r="CR152" s="151"/>
      <c r="CS152" s="173"/>
      <c r="CT152" s="173"/>
      <c r="CU152" s="173"/>
      <c r="CV152" s="173"/>
      <c r="CW152" s="173"/>
      <c r="CX152" s="173"/>
      <c r="CY152" s="173"/>
      <c r="CZ152" s="173"/>
      <c r="DA152" s="222"/>
      <c r="DB152" s="222"/>
      <c r="DC152" s="222"/>
      <c r="DD152" s="222"/>
      <c r="DE152" s="222"/>
      <c r="DF152" s="222"/>
      <c r="DG152" s="222"/>
      <c r="DH152" s="222"/>
      <c r="DI152" s="222"/>
      <c r="DJ152" s="222"/>
      <c r="DK152" s="222"/>
      <c r="DL152" s="222"/>
      <c r="DM152" s="222"/>
      <c r="DN152" s="174"/>
      <c r="DO152" s="174"/>
      <c r="DP152" s="174"/>
      <c r="DQ152" s="174"/>
      <c r="DR152" s="174"/>
      <c r="DS152" s="174"/>
      <c r="DT152" s="174"/>
      <c r="DU152" s="174"/>
      <c r="DV152" s="174"/>
      <c r="DW152" s="174"/>
      <c r="DX152" s="174"/>
      <c r="DY152" s="174"/>
      <c r="DZ152" s="174"/>
      <c r="EA152" s="174"/>
      <c r="EB152" s="174"/>
      <c r="EC152" s="174"/>
      <c r="ED152" s="174"/>
      <c r="EE152" s="174"/>
      <c r="EF152" s="174"/>
      <c r="EG152" s="174"/>
      <c r="EH152" s="174"/>
      <c r="EI152" s="174"/>
      <c r="EJ152" s="174"/>
      <c r="EK152" s="174"/>
      <c r="EL152" s="174"/>
      <c r="EM152" s="174"/>
      <c r="EN152" s="174"/>
      <c r="EO152" s="174"/>
      <c r="EP152" s="174"/>
      <c r="EQ152" s="174"/>
      <c r="ER152" s="174"/>
      <c r="ES152" s="174"/>
      <c r="ET152" s="174"/>
      <c r="EU152" s="174"/>
      <c r="EV152" s="174"/>
      <c r="EW152" s="174"/>
      <c r="EX152" s="174"/>
      <c r="EY152" s="174"/>
      <c r="EZ152" s="174"/>
      <c r="FA152" s="174"/>
      <c r="FB152" s="174"/>
      <c r="FC152" s="174"/>
      <c r="FD152" s="174"/>
      <c r="FE152" s="174"/>
      <c r="FF152" s="174"/>
      <c r="FG152" s="174"/>
      <c r="FH152" s="174"/>
      <c r="FI152" s="174"/>
      <c r="FJ152" s="174"/>
      <c r="FK152" s="174"/>
      <c r="FL152" s="174"/>
      <c r="FM152" s="174"/>
      <c r="FN152" s="174"/>
      <c r="FO152" s="174"/>
      <c r="FP152" s="174"/>
      <c r="FQ152" s="174"/>
      <c r="FR152" s="174"/>
      <c r="FS152" s="174"/>
      <c r="FT152" s="174"/>
      <c r="FU152" s="174"/>
      <c r="FV152" s="174"/>
      <c r="FW152" s="174"/>
      <c r="FX152" s="174"/>
      <c r="FY152" s="174"/>
      <c r="FZ152" s="174"/>
      <c r="GA152" s="174"/>
      <c r="GB152" s="174"/>
      <c r="GC152" s="174"/>
      <c r="GD152" s="174"/>
      <c r="GE152" s="174"/>
      <c r="GF152" s="174"/>
      <c r="GG152" s="174"/>
      <c r="GH152" s="174"/>
      <c r="GI152" s="174"/>
      <c r="GJ152" s="174"/>
      <c r="GK152" s="174"/>
      <c r="GL152" s="174"/>
      <c r="GM152" s="174"/>
      <c r="GN152" s="174"/>
      <c r="GO152" s="174"/>
      <c r="GP152" s="174"/>
      <c r="GQ152" s="174"/>
      <c r="GR152" s="174"/>
      <c r="GS152" s="174"/>
      <c r="GT152" s="174"/>
      <c r="GU152" s="174"/>
      <c r="GV152" s="174"/>
      <c r="GW152" s="174"/>
      <c r="GX152" s="174"/>
      <c r="GY152" s="174"/>
      <c r="GZ152" s="174"/>
      <c r="HA152" s="174"/>
      <c r="HB152" s="174"/>
      <c r="HC152" s="174"/>
      <c r="HD152" s="174"/>
      <c r="HE152" s="174"/>
      <c r="HF152" s="174"/>
      <c r="HG152" s="174"/>
      <c r="HH152" s="174"/>
      <c r="HI152" s="174"/>
      <c r="HJ152" s="174"/>
      <c r="HK152" s="174"/>
      <c r="HL152" s="174"/>
      <c r="HM152" s="174"/>
      <c r="HN152" s="174"/>
      <c r="HO152" s="174"/>
      <c r="HP152" s="174"/>
      <c r="HQ152" s="174"/>
      <c r="HR152" s="174"/>
      <c r="HS152" s="174"/>
      <c r="HT152" s="174"/>
      <c r="HU152" s="174"/>
      <c r="HV152" s="174"/>
      <c r="HW152" s="174"/>
      <c r="HX152" s="174"/>
      <c r="HY152" s="174"/>
      <c r="HZ152" s="174"/>
      <c r="IA152" s="174"/>
      <c r="IB152" s="174"/>
      <c r="IC152" s="174"/>
      <c r="ID152" s="174"/>
      <c r="IE152" s="174"/>
      <c r="IF152" s="174"/>
      <c r="IG152" s="174"/>
      <c r="IH152" s="174"/>
      <c r="II152" s="174"/>
      <c r="IJ152" s="174"/>
      <c r="IK152" s="174"/>
      <c r="IL152" s="174"/>
      <c r="IM152" s="174"/>
      <c r="IN152" s="174"/>
      <c r="IO152" s="174"/>
      <c r="IP152" s="174"/>
      <c r="IQ152" s="174"/>
      <c r="IR152" s="174"/>
      <c r="IS152" s="174"/>
      <c r="IT152" s="174"/>
      <c r="IU152" s="174"/>
      <c r="IV152" s="174"/>
      <c r="IW152" s="174"/>
      <c r="IX152" s="174"/>
      <c r="IY152" s="174"/>
      <c r="IZ152" s="174"/>
      <c r="JA152" s="174"/>
      <c r="JB152" s="174"/>
      <c r="JC152" s="174"/>
      <c r="JD152" s="174"/>
      <c r="JE152" s="174"/>
      <c r="JF152" s="174"/>
      <c r="JG152" s="174"/>
      <c r="JH152" s="174"/>
      <c r="JI152" s="174"/>
      <c r="JJ152" s="174"/>
      <c r="JK152" s="174"/>
      <c r="JL152" s="174"/>
      <c r="JM152" s="174"/>
      <c r="JN152" s="174"/>
      <c r="JO152" s="174"/>
      <c r="JP152" s="174"/>
      <c r="JQ152" s="174"/>
      <c r="JR152" s="174"/>
      <c r="JS152" s="174"/>
      <c r="JT152" s="174"/>
      <c r="JU152" s="174"/>
      <c r="JV152" s="174"/>
    </row>
    <row r="153" spans="1:282" s="229" customFormat="1">
      <c r="A153" s="232"/>
      <c r="B153" s="173"/>
      <c r="C153" s="173"/>
      <c r="D153" s="233"/>
      <c r="E153" s="228"/>
      <c r="F153" s="234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3"/>
      <c r="AT153" s="173"/>
      <c r="AU153" s="173"/>
      <c r="AV153" s="173"/>
      <c r="AW153" s="173"/>
      <c r="AX153" s="173"/>
      <c r="AY153" s="173"/>
      <c r="AZ153" s="173"/>
      <c r="BA153" s="277"/>
      <c r="BB153" s="173"/>
      <c r="BC153" s="173"/>
      <c r="BD153" s="173"/>
      <c r="BE153" s="173"/>
      <c r="BF153" s="173"/>
      <c r="BG153" s="173"/>
      <c r="BH153" s="173"/>
      <c r="BI153" s="173"/>
      <c r="BJ153" s="173"/>
      <c r="BK153" s="173"/>
      <c r="BL153" s="173"/>
      <c r="BM153" s="173"/>
      <c r="BN153" s="173"/>
      <c r="BO153" s="173"/>
      <c r="BP153" s="173"/>
      <c r="BQ153" s="173"/>
      <c r="BR153" s="173"/>
      <c r="BS153" s="173"/>
      <c r="BT153" s="173"/>
      <c r="BU153" s="173"/>
      <c r="BV153" s="173"/>
      <c r="BW153" s="173"/>
      <c r="BX153" s="173"/>
      <c r="BY153" s="173"/>
      <c r="BZ153" s="173"/>
      <c r="CA153" s="173"/>
      <c r="CB153" s="173"/>
      <c r="CC153" s="173"/>
      <c r="CD153" s="173"/>
      <c r="CE153" s="173"/>
      <c r="CF153" s="173"/>
      <c r="CG153" s="173"/>
      <c r="CH153" s="173"/>
      <c r="CI153" s="173"/>
      <c r="CJ153" s="173"/>
      <c r="CK153" s="173"/>
      <c r="CL153" s="173"/>
      <c r="CM153" s="173"/>
      <c r="CN153" s="173"/>
      <c r="CO153" s="173"/>
      <c r="CP153" s="173"/>
      <c r="CQ153" s="173"/>
      <c r="CR153" s="151"/>
      <c r="CS153" s="173"/>
      <c r="CT153" s="173"/>
      <c r="CU153" s="173"/>
      <c r="CV153" s="173"/>
      <c r="CW153" s="173"/>
      <c r="CX153" s="173"/>
      <c r="CY153" s="173"/>
      <c r="CZ153" s="173"/>
      <c r="DA153" s="222"/>
      <c r="DB153" s="222"/>
      <c r="DC153" s="222"/>
      <c r="DD153" s="222"/>
      <c r="DE153" s="222"/>
      <c r="DF153" s="222"/>
      <c r="DG153" s="222"/>
      <c r="DH153" s="222"/>
      <c r="DI153" s="222"/>
      <c r="DJ153" s="222"/>
      <c r="DK153" s="222"/>
      <c r="DL153" s="222"/>
      <c r="DM153" s="222"/>
      <c r="DN153" s="174"/>
      <c r="DO153" s="174"/>
      <c r="DP153" s="174"/>
      <c r="DQ153" s="174"/>
      <c r="DR153" s="174"/>
      <c r="DS153" s="174"/>
      <c r="DT153" s="174"/>
      <c r="DU153" s="174"/>
      <c r="DV153" s="174"/>
      <c r="DW153" s="174"/>
      <c r="DX153" s="174"/>
      <c r="DY153" s="174"/>
      <c r="DZ153" s="174"/>
      <c r="EA153" s="174"/>
      <c r="EB153" s="174"/>
      <c r="EC153" s="174"/>
      <c r="ED153" s="174"/>
      <c r="EE153" s="174"/>
      <c r="EF153" s="174"/>
      <c r="EG153" s="174"/>
      <c r="EH153" s="174"/>
      <c r="EI153" s="174"/>
      <c r="EJ153" s="174"/>
      <c r="EK153" s="174"/>
      <c r="EL153" s="174"/>
      <c r="EM153" s="174"/>
      <c r="EN153" s="174"/>
      <c r="EO153" s="174"/>
      <c r="EP153" s="174"/>
      <c r="EQ153" s="174"/>
      <c r="ER153" s="174"/>
      <c r="ES153" s="174"/>
      <c r="ET153" s="174"/>
      <c r="EU153" s="174"/>
      <c r="EV153" s="174"/>
      <c r="EW153" s="174"/>
      <c r="EX153" s="174"/>
      <c r="EY153" s="174"/>
      <c r="EZ153" s="174"/>
      <c r="FA153" s="174"/>
      <c r="FB153" s="174"/>
      <c r="FC153" s="174"/>
      <c r="FD153" s="174"/>
      <c r="FE153" s="174"/>
      <c r="FF153" s="174"/>
      <c r="FG153" s="174"/>
      <c r="FH153" s="174"/>
      <c r="FI153" s="174"/>
      <c r="FJ153" s="174"/>
      <c r="FK153" s="174"/>
      <c r="FL153" s="174"/>
      <c r="FM153" s="174"/>
      <c r="FN153" s="174"/>
      <c r="FO153" s="174"/>
      <c r="FP153" s="174"/>
      <c r="FQ153" s="174"/>
      <c r="FR153" s="174"/>
      <c r="FS153" s="174"/>
      <c r="FT153" s="174"/>
      <c r="FU153" s="174"/>
      <c r="FV153" s="174"/>
      <c r="FW153" s="174"/>
      <c r="FX153" s="174"/>
      <c r="FY153" s="174"/>
      <c r="FZ153" s="174"/>
      <c r="GA153" s="174"/>
      <c r="GB153" s="174"/>
      <c r="GC153" s="174"/>
      <c r="GD153" s="174"/>
      <c r="GE153" s="174"/>
      <c r="GF153" s="174"/>
      <c r="GG153" s="174"/>
      <c r="GH153" s="174"/>
      <c r="GI153" s="174"/>
      <c r="GJ153" s="174"/>
      <c r="GK153" s="174"/>
      <c r="GL153" s="174"/>
      <c r="GM153" s="174"/>
      <c r="GN153" s="174"/>
      <c r="GO153" s="174"/>
      <c r="GP153" s="174"/>
      <c r="GQ153" s="174"/>
      <c r="GR153" s="174"/>
      <c r="GS153" s="174"/>
      <c r="GT153" s="174"/>
      <c r="GU153" s="174"/>
      <c r="GV153" s="174"/>
      <c r="GW153" s="174"/>
      <c r="GX153" s="174"/>
      <c r="GY153" s="174"/>
      <c r="GZ153" s="174"/>
      <c r="HA153" s="174"/>
      <c r="HB153" s="174"/>
      <c r="HC153" s="174"/>
      <c r="HD153" s="174"/>
      <c r="HE153" s="174"/>
      <c r="HF153" s="174"/>
      <c r="HG153" s="174"/>
      <c r="HH153" s="174"/>
      <c r="HI153" s="174"/>
      <c r="HJ153" s="174"/>
      <c r="HK153" s="174"/>
      <c r="HL153" s="174"/>
      <c r="HM153" s="174"/>
      <c r="HN153" s="174"/>
      <c r="HO153" s="174"/>
      <c r="HP153" s="174"/>
      <c r="HQ153" s="174"/>
      <c r="HR153" s="174"/>
      <c r="HS153" s="174"/>
      <c r="HT153" s="174"/>
      <c r="HU153" s="174"/>
      <c r="HV153" s="174"/>
      <c r="HW153" s="174"/>
      <c r="HX153" s="174"/>
      <c r="HY153" s="174"/>
      <c r="HZ153" s="174"/>
      <c r="IA153" s="174"/>
      <c r="IB153" s="174"/>
      <c r="IC153" s="174"/>
      <c r="ID153" s="174"/>
      <c r="IE153" s="174"/>
      <c r="IF153" s="174"/>
      <c r="IG153" s="174"/>
      <c r="IH153" s="174"/>
      <c r="II153" s="174"/>
      <c r="IJ153" s="174"/>
      <c r="IK153" s="174"/>
      <c r="IL153" s="174"/>
      <c r="IM153" s="174"/>
      <c r="IN153" s="174"/>
      <c r="IO153" s="174"/>
      <c r="IP153" s="174"/>
      <c r="IQ153" s="174"/>
      <c r="IR153" s="174"/>
      <c r="IS153" s="174"/>
      <c r="IT153" s="174"/>
      <c r="IU153" s="174"/>
      <c r="IV153" s="174"/>
      <c r="IW153" s="174"/>
      <c r="IX153" s="174"/>
      <c r="IY153" s="174"/>
      <c r="IZ153" s="174"/>
      <c r="JA153" s="174"/>
      <c r="JB153" s="174"/>
      <c r="JC153" s="174"/>
      <c r="JD153" s="174"/>
      <c r="JE153" s="174"/>
      <c r="JF153" s="174"/>
      <c r="JG153" s="174"/>
      <c r="JH153" s="174"/>
      <c r="JI153" s="174"/>
      <c r="JJ153" s="174"/>
      <c r="JK153" s="174"/>
      <c r="JL153" s="174"/>
      <c r="JM153" s="174"/>
      <c r="JN153" s="174"/>
      <c r="JO153" s="174"/>
      <c r="JP153" s="174"/>
      <c r="JQ153" s="174"/>
      <c r="JR153" s="174"/>
      <c r="JS153" s="174"/>
      <c r="JT153" s="174"/>
      <c r="JU153" s="174"/>
      <c r="JV153" s="174"/>
    </row>
    <row r="154" spans="1:282" s="229" customFormat="1">
      <c r="A154" s="232"/>
      <c r="B154" s="173"/>
      <c r="C154" s="173"/>
      <c r="D154" s="233"/>
      <c r="E154" s="228"/>
      <c r="F154" s="234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3"/>
      <c r="AT154" s="173"/>
      <c r="AU154" s="173"/>
      <c r="AV154" s="173"/>
      <c r="AW154" s="173"/>
      <c r="AX154" s="173"/>
      <c r="AY154" s="173"/>
      <c r="AZ154" s="173"/>
      <c r="BA154" s="277"/>
      <c r="BB154" s="173"/>
      <c r="BC154" s="173"/>
      <c r="BD154" s="173"/>
      <c r="BE154" s="173"/>
      <c r="BF154" s="173"/>
      <c r="BG154" s="173"/>
      <c r="BH154" s="173"/>
      <c r="BI154" s="173"/>
      <c r="BJ154" s="173"/>
      <c r="BK154" s="173"/>
      <c r="BL154" s="173"/>
      <c r="BM154" s="173"/>
      <c r="BN154" s="173"/>
      <c r="BO154" s="173"/>
      <c r="BP154" s="173"/>
      <c r="BQ154" s="173"/>
      <c r="BR154" s="173"/>
      <c r="BS154" s="173"/>
      <c r="BT154" s="173"/>
      <c r="BU154" s="173"/>
      <c r="BV154" s="173"/>
      <c r="BW154" s="173"/>
      <c r="BX154" s="173"/>
      <c r="BY154" s="173"/>
      <c r="BZ154" s="173"/>
      <c r="CA154" s="173"/>
      <c r="CB154" s="173"/>
      <c r="CC154" s="173"/>
      <c r="CD154" s="173"/>
      <c r="CE154" s="173"/>
      <c r="CF154" s="173"/>
      <c r="CG154" s="173"/>
      <c r="CH154" s="173"/>
      <c r="CI154" s="173"/>
      <c r="CJ154" s="173"/>
      <c r="CK154" s="173"/>
      <c r="CL154" s="173"/>
      <c r="CM154" s="173"/>
      <c r="CN154" s="173"/>
      <c r="CO154" s="173"/>
      <c r="CP154" s="173"/>
      <c r="CQ154" s="173"/>
      <c r="CR154" s="151"/>
      <c r="CS154" s="173"/>
      <c r="CT154" s="173"/>
      <c r="CU154" s="173"/>
      <c r="CV154" s="173"/>
      <c r="CW154" s="173"/>
      <c r="CX154" s="173"/>
      <c r="CY154" s="173"/>
      <c r="CZ154" s="173"/>
      <c r="DA154" s="222"/>
      <c r="DB154" s="222"/>
      <c r="DC154" s="222"/>
      <c r="DD154" s="222"/>
      <c r="DE154" s="222"/>
      <c r="DF154" s="222"/>
      <c r="DG154" s="222"/>
      <c r="DH154" s="222"/>
      <c r="DI154" s="222"/>
      <c r="DJ154" s="222"/>
      <c r="DK154" s="222"/>
      <c r="DL154" s="222"/>
      <c r="DM154" s="222"/>
      <c r="DN154" s="174"/>
      <c r="DO154" s="174"/>
      <c r="DP154" s="174"/>
      <c r="DQ154" s="174"/>
      <c r="DR154" s="174"/>
      <c r="DS154" s="174"/>
      <c r="DT154" s="174"/>
      <c r="DU154" s="174"/>
      <c r="DV154" s="174"/>
      <c r="DW154" s="174"/>
      <c r="DX154" s="174"/>
      <c r="DY154" s="174"/>
      <c r="DZ154" s="174"/>
      <c r="EA154" s="174"/>
      <c r="EB154" s="174"/>
      <c r="EC154" s="174"/>
      <c r="ED154" s="174"/>
      <c r="EE154" s="174"/>
      <c r="EF154" s="174"/>
      <c r="EG154" s="174"/>
      <c r="EH154" s="174"/>
      <c r="EI154" s="174"/>
      <c r="EJ154" s="174"/>
      <c r="EK154" s="174"/>
      <c r="EL154" s="174"/>
      <c r="EM154" s="174"/>
      <c r="EN154" s="174"/>
      <c r="EO154" s="174"/>
      <c r="EP154" s="174"/>
      <c r="EQ154" s="174"/>
      <c r="ER154" s="174"/>
      <c r="ES154" s="174"/>
      <c r="ET154" s="174"/>
      <c r="EU154" s="174"/>
      <c r="EV154" s="174"/>
      <c r="EW154" s="174"/>
      <c r="EX154" s="174"/>
      <c r="EY154" s="174"/>
      <c r="EZ154" s="174"/>
      <c r="FA154" s="174"/>
      <c r="FB154" s="174"/>
      <c r="FC154" s="174"/>
      <c r="FD154" s="174"/>
      <c r="FE154" s="174"/>
      <c r="FF154" s="174"/>
      <c r="FG154" s="174"/>
      <c r="FH154" s="174"/>
      <c r="FI154" s="174"/>
      <c r="FJ154" s="174"/>
      <c r="FK154" s="174"/>
      <c r="FL154" s="174"/>
      <c r="FM154" s="174"/>
      <c r="FN154" s="174"/>
      <c r="FO154" s="174"/>
      <c r="FP154" s="174"/>
      <c r="FQ154" s="174"/>
      <c r="FR154" s="174"/>
      <c r="FS154" s="174"/>
      <c r="FT154" s="174"/>
      <c r="FU154" s="174"/>
      <c r="FV154" s="174"/>
      <c r="FW154" s="174"/>
      <c r="FX154" s="174"/>
      <c r="FY154" s="174"/>
      <c r="FZ154" s="174"/>
      <c r="GA154" s="174"/>
      <c r="GB154" s="174"/>
      <c r="GC154" s="174"/>
      <c r="GD154" s="174"/>
      <c r="GE154" s="174"/>
      <c r="GF154" s="174"/>
      <c r="GG154" s="174"/>
      <c r="GH154" s="174"/>
      <c r="GI154" s="174"/>
      <c r="GJ154" s="174"/>
      <c r="GK154" s="174"/>
      <c r="GL154" s="174"/>
      <c r="GM154" s="174"/>
      <c r="GN154" s="174"/>
      <c r="GO154" s="174"/>
      <c r="GP154" s="174"/>
      <c r="GQ154" s="174"/>
      <c r="GR154" s="174"/>
      <c r="GS154" s="174"/>
      <c r="GT154" s="174"/>
      <c r="GU154" s="174"/>
      <c r="GV154" s="174"/>
      <c r="GW154" s="174"/>
      <c r="GX154" s="174"/>
      <c r="GY154" s="174"/>
      <c r="GZ154" s="174"/>
      <c r="HA154" s="174"/>
      <c r="HB154" s="174"/>
      <c r="HC154" s="174"/>
      <c r="HD154" s="174"/>
      <c r="HE154" s="174"/>
      <c r="HF154" s="174"/>
      <c r="HG154" s="174"/>
      <c r="HH154" s="174"/>
      <c r="HI154" s="174"/>
      <c r="HJ154" s="174"/>
      <c r="HK154" s="174"/>
      <c r="HL154" s="174"/>
      <c r="HM154" s="174"/>
      <c r="HN154" s="174"/>
      <c r="HO154" s="174"/>
      <c r="HP154" s="174"/>
      <c r="HQ154" s="174"/>
      <c r="HR154" s="174"/>
      <c r="HS154" s="174"/>
      <c r="HT154" s="174"/>
      <c r="HU154" s="174"/>
      <c r="HV154" s="174"/>
      <c r="HW154" s="174"/>
      <c r="HX154" s="174"/>
      <c r="HY154" s="174"/>
      <c r="HZ154" s="174"/>
      <c r="IA154" s="174"/>
      <c r="IB154" s="174"/>
      <c r="IC154" s="174"/>
      <c r="ID154" s="174"/>
      <c r="IE154" s="174"/>
      <c r="IF154" s="174"/>
      <c r="IG154" s="174"/>
      <c r="IH154" s="174"/>
      <c r="II154" s="174"/>
      <c r="IJ154" s="174"/>
      <c r="IK154" s="174"/>
      <c r="IL154" s="174"/>
      <c r="IM154" s="174"/>
      <c r="IN154" s="174"/>
      <c r="IO154" s="174"/>
      <c r="IP154" s="174"/>
      <c r="IQ154" s="174"/>
      <c r="IR154" s="174"/>
      <c r="IS154" s="174"/>
      <c r="IT154" s="174"/>
      <c r="IU154" s="174"/>
      <c r="IV154" s="174"/>
      <c r="IW154" s="174"/>
      <c r="IX154" s="174"/>
      <c r="IY154" s="174"/>
      <c r="IZ154" s="174"/>
      <c r="JA154" s="174"/>
      <c r="JB154" s="174"/>
      <c r="JC154" s="174"/>
      <c r="JD154" s="174"/>
      <c r="JE154" s="174"/>
      <c r="JF154" s="174"/>
      <c r="JG154" s="174"/>
      <c r="JH154" s="174"/>
      <c r="JI154" s="174"/>
      <c r="JJ154" s="174"/>
      <c r="JK154" s="174"/>
      <c r="JL154" s="174"/>
      <c r="JM154" s="174"/>
      <c r="JN154" s="174"/>
      <c r="JO154" s="174"/>
      <c r="JP154" s="174"/>
      <c r="JQ154" s="174"/>
      <c r="JR154" s="174"/>
      <c r="JS154" s="174"/>
      <c r="JT154" s="174"/>
      <c r="JU154" s="174"/>
      <c r="JV154" s="174"/>
    </row>
    <row r="155" spans="1:282" s="229" customFormat="1">
      <c r="A155" s="232"/>
      <c r="B155" s="173"/>
      <c r="C155" s="173"/>
      <c r="D155" s="233"/>
      <c r="E155" s="228"/>
      <c r="F155" s="234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3"/>
      <c r="AT155" s="173"/>
      <c r="AU155" s="173"/>
      <c r="AV155" s="173"/>
      <c r="AW155" s="173"/>
      <c r="AX155" s="173"/>
      <c r="AY155" s="173"/>
      <c r="AZ155" s="173"/>
      <c r="BA155" s="277"/>
      <c r="BB155" s="173"/>
      <c r="BC155" s="173"/>
      <c r="BD155" s="173"/>
      <c r="BE155" s="173"/>
      <c r="BF155" s="173"/>
      <c r="BG155" s="173"/>
      <c r="BH155" s="173"/>
      <c r="BI155" s="173"/>
      <c r="BJ155" s="173"/>
      <c r="BK155" s="173"/>
      <c r="BL155" s="173"/>
      <c r="BM155" s="173"/>
      <c r="BN155" s="173"/>
      <c r="BO155" s="173"/>
      <c r="BP155" s="173"/>
      <c r="BQ155" s="173"/>
      <c r="BR155" s="173"/>
      <c r="BS155" s="173"/>
      <c r="BT155" s="173"/>
      <c r="BU155" s="173"/>
      <c r="BV155" s="173"/>
      <c r="BW155" s="173"/>
      <c r="BX155" s="173"/>
      <c r="BY155" s="173"/>
      <c r="BZ155" s="173"/>
      <c r="CA155" s="173"/>
      <c r="CB155" s="173"/>
      <c r="CC155" s="173"/>
      <c r="CD155" s="173"/>
      <c r="CE155" s="173"/>
      <c r="CF155" s="173"/>
      <c r="CG155" s="173"/>
      <c r="CH155" s="173"/>
      <c r="CI155" s="173"/>
      <c r="CJ155" s="173"/>
      <c r="CK155" s="173"/>
      <c r="CL155" s="173"/>
      <c r="CM155" s="173"/>
      <c r="CN155" s="173"/>
      <c r="CO155" s="173"/>
      <c r="CP155" s="173"/>
      <c r="CQ155" s="173"/>
      <c r="CR155" s="151"/>
      <c r="CS155" s="173"/>
      <c r="CT155" s="173"/>
      <c r="CU155" s="173"/>
      <c r="CV155" s="173"/>
      <c r="CW155" s="173"/>
      <c r="CX155" s="173"/>
      <c r="CY155" s="173"/>
      <c r="CZ155" s="173"/>
      <c r="DA155" s="222"/>
      <c r="DB155" s="222"/>
      <c r="DC155" s="222"/>
      <c r="DD155" s="222"/>
      <c r="DE155" s="222"/>
      <c r="DF155" s="222"/>
      <c r="DG155" s="222"/>
      <c r="DH155" s="222"/>
      <c r="DI155" s="222"/>
      <c r="DJ155" s="222"/>
      <c r="DK155" s="222"/>
      <c r="DL155" s="222"/>
      <c r="DM155" s="222"/>
      <c r="DN155" s="174"/>
      <c r="DO155" s="174"/>
      <c r="DP155" s="174"/>
      <c r="DQ155" s="174"/>
      <c r="DR155" s="174"/>
      <c r="DS155" s="174"/>
      <c r="DT155" s="174"/>
      <c r="DU155" s="174"/>
      <c r="DV155" s="174"/>
      <c r="DW155" s="174"/>
      <c r="DX155" s="174"/>
      <c r="DY155" s="174"/>
      <c r="DZ155" s="174"/>
      <c r="EA155" s="174"/>
      <c r="EB155" s="174"/>
      <c r="EC155" s="174"/>
      <c r="ED155" s="174"/>
      <c r="EE155" s="174"/>
      <c r="EF155" s="174"/>
      <c r="EG155" s="174"/>
      <c r="EH155" s="174"/>
      <c r="EI155" s="174"/>
      <c r="EJ155" s="174"/>
      <c r="EK155" s="174"/>
      <c r="EL155" s="174"/>
      <c r="EM155" s="174"/>
      <c r="EN155" s="174"/>
      <c r="EO155" s="174"/>
      <c r="EP155" s="174"/>
      <c r="EQ155" s="174"/>
      <c r="ER155" s="174"/>
      <c r="ES155" s="174"/>
      <c r="ET155" s="174"/>
      <c r="EU155" s="174"/>
      <c r="EV155" s="174"/>
      <c r="EW155" s="174"/>
      <c r="EX155" s="174"/>
      <c r="EY155" s="174"/>
      <c r="EZ155" s="174"/>
      <c r="FA155" s="174"/>
      <c r="FB155" s="174"/>
      <c r="FC155" s="174"/>
      <c r="FD155" s="174"/>
      <c r="FE155" s="174"/>
      <c r="FF155" s="174"/>
      <c r="FG155" s="174"/>
      <c r="FH155" s="174"/>
      <c r="FI155" s="174"/>
      <c r="FJ155" s="174"/>
      <c r="FK155" s="174"/>
      <c r="FL155" s="174"/>
      <c r="FM155" s="174"/>
      <c r="FN155" s="174"/>
      <c r="FO155" s="174"/>
      <c r="FP155" s="174"/>
      <c r="FQ155" s="174"/>
      <c r="FR155" s="174"/>
      <c r="FS155" s="174"/>
      <c r="FT155" s="174"/>
      <c r="FU155" s="174"/>
      <c r="FV155" s="174"/>
      <c r="FW155" s="174"/>
      <c r="FX155" s="174"/>
      <c r="FY155" s="174"/>
      <c r="FZ155" s="174"/>
      <c r="GA155" s="174"/>
      <c r="GB155" s="174"/>
      <c r="GC155" s="174"/>
      <c r="GD155" s="174"/>
      <c r="GE155" s="174"/>
      <c r="GF155" s="174"/>
      <c r="GG155" s="174"/>
      <c r="GH155" s="174"/>
      <c r="GI155" s="174"/>
      <c r="GJ155" s="174"/>
      <c r="GK155" s="174"/>
      <c r="GL155" s="174"/>
      <c r="GM155" s="174"/>
      <c r="GN155" s="174"/>
      <c r="GO155" s="174"/>
      <c r="GP155" s="174"/>
      <c r="GQ155" s="174"/>
      <c r="GR155" s="174"/>
      <c r="GS155" s="174"/>
      <c r="GT155" s="174"/>
      <c r="GU155" s="174"/>
      <c r="GV155" s="174"/>
      <c r="GW155" s="174"/>
      <c r="GX155" s="174"/>
      <c r="GY155" s="174"/>
      <c r="GZ155" s="174"/>
      <c r="HA155" s="174"/>
      <c r="HB155" s="174"/>
      <c r="HC155" s="174"/>
      <c r="HD155" s="174"/>
      <c r="HE155" s="174"/>
      <c r="HF155" s="174"/>
      <c r="HG155" s="174"/>
      <c r="HH155" s="174"/>
      <c r="HI155" s="174"/>
      <c r="HJ155" s="174"/>
      <c r="HK155" s="174"/>
      <c r="HL155" s="174"/>
      <c r="HM155" s="174"/>
      <c r="HN155" s="174"/>
      <c r="HO155" s="174"/>
      <c r="HP155" s="174"/>
      <c r="HQ155" s="174"/>
      <c r="HR155" s="174"/>
      <c r="HS155" s="174"/>
      <c r="HT155" s="174"/>
      <c r="HU155" s="174"/>
      <c r="HV155" s="174"/>
      <c r="HW155" s="174"/>
      <c r="HX155" s="174"/>
      <c r="HY155" s="174"/>
      <c r="HZ155" s="174"/>
      <c r="IA155" s="174"/>
      <c r="IB155" s="174"/>
      <c r="IC155" s="174"/>
      <c r="ID155" s="174"/>
      <c r="IE155" s="174"/>
      <c r="IF155" s="174"/>
      <c r="IG155" s="174"/>
      <c r="IH155" s="174"/>
      <c r="II155" s="174"/>
      <c r="IJ155" s="174"/>
      <c r="IK155" s="174"/>
      <c r="IL155" s="174"/>
      <c r="IM155" s="174"/>
      <c r="IN155" s="174"/>
      <c r="IO155" s="174"/>
      <c r="IP155" s="174"/>
      <c r="IQ155" s="174"/>
      <c r="IR155" s="174"/>
      <c r="IS155" s="174"/>
      <c r="IT155" s="174"/>
      <c r="IU155" s="174"/>
      <c r="IV155" s="174"/>
      <c r="IW155" s="174"/>
      <c r="IX155" s="174"/>
      <c r="IY155" s="174"/>
      <c r="IZ155" s="174"/>
      <c r="JA155" s="174"/>
      <c r="JB155" s="174"/>
      <c r="JC155" s="174"/>
      <c r="JD155" s="174"/>
      <c r="JE155" s="174"/>
      <c r="JF155" s="174"/>
      <c r="JG155" s="174"/>
      <c r="JH155" s="174"/>
      <c r="JI155" s="174"/>
      <c r="JJ155" s="174"/>
      <c r="JK155" s="174"/>
      <c r="JL155" s="174"/>
      <c r="JM155" s="174"/>
      <c r="JN155" s="174"/>
      <c r="JO155" s="174"/>
      <c r="JP155" s="174"/>
      <c r="JQ155" s="174"/>
      <c r="JR155" s="174"/>
      <c r="JS155" s="174"/>
      <c r="JT155" s="174"/>
      <c r="JU155" s="174"/>
      <c r="JV155" s="174"/>
    </row>
    <row r="156" spans="1:282" s="229" customFormat="1">
      <c r="A156" s="232"/>
      <c r="B156" s="173"/>
      <c r="C156" s="173"/>
      <c r="D156" s="233"/>
      <c r="E156" s="228"/>
      <c r="F156" s="234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  <c r="AU156" s="173"/>
      <c r="AV156" s="173"/>
      <c r="AW156" s="173"/>
      <c r="AX156" s="173"/>
      <c r="AY156" s="173"/>
      <c r="AZ156" s="173"/>
      <c r="BA156" s="277"/>
      <c r="BB156" s="173"/>
      <c r="BC156" s="173"/>
      <c r="BD156" s="173"/>
      <c r="BE156" s="173"/>
      <c r="BF156" s="173"/>
      <c r="BG156" s="173"/>
      <c r="BH156" s="173"/>
      <c r="BI156" s="173"/>
      <c r="BJ156" s="173"/>
      <c r="BK156" s="173"/>
      <c r="BL156" s="173"/>
      <c r="BM156" s="173"/>
      <c r="BN156" s="173"/>
      <c r="BO156" s="173"/>
      <c r="BP156" s="173"/>
      <c r="BQ156" s="173"/>
      <c r="BR156" s="173"/>
      <c r="BS156" s="173"/>
      <c r="BT156" s="173"/>
      <c r="BU156" s="173"/>
      <c r="BV156" s="173"/>
      <c r="BW156" s="173"/>
      <c r="BX156" s="173"/>
      <c r="BY156" s="173"/>
      <c r="BZ156" s="173"/>
      <c r="CA156" s="173"/>
      <c r="CB156" s="173"/>
      <c r="CC156" s="173"/>
      <c r="CD156" s="173"/>
      <c r="CE156" s="173"/>
      <c r="CF156" s="173"/>
      <c r="CG156" s="173"/>
      <c r="CH156" s="173"/>
      <c r="CI156" s="173"/>
      <c r="CJ156" s="173"/>
      <c r="CK156" s="173"/>
      <c r="CL156" s="173"/>
      <c r="CM156" s="173"/>
      <c r="CN156" s="173"/>
      <c r="CO156" s="173"/>
      <c r="CP156" s="173"/>
      <c r="CQ156" s="173"/>
      <c r="CR156" s="151"/>
      <c r="CS156" s="173"/>
      <c r="CT156" s="173"/>
      <c r="CU156" s="173"/>
      <c r="CV156" s="173"/>
      <c r="CW156" s="173"/>
      <c r="CX156" s="173"/>
      <c r="CY156" s="173"/>
      <c r="CZ156" s="173"/>
      <c r="DA156" s="150"/>
      <c r="DB156" s="150"/>
      <c r="DC156" s="150"/>
      <c r="DD156" s="150"/>
      <c r="DE156" s="150"/>
      <c r="DF156" s="150"/>
      <c r="DG156" s="150"/>
      <c r="DH156" s="150"/>
      <c r="DI156" s="150"/>
      <c r="DJ156" s="150"/>
      <c r="DK156" s="222"/>
      <c r="DL156" s="222"/>
      <c r="DM156" s="222"/>
      <c r="DN156" s="174"/>
      <c r="DO156" s="174"/>
      <c r="DP156" s="174"/>
      <c r="DQ156" s="174"/>
      <c r="DR156" s="174"/>
      <c r="DS156" s="174"/>
      <c r="DT156" s="174"/>
      <c r="DU156" s="174"/>
      <c r="DV156" s="174"/>
      <c r="DW156" s="174"/>
      <c r="DX156" s="174"/>
      <c r="DY156" s="174"/>
      <c r="DZ156" s="174"/>
      <c r="EA156" s="174"/>
      <c r="EB156" s="174"/>
      <c r="EC156" s="174"/>
      <c r="ED156" s="174"/>
      <c r="EE156" s="174"/>
      <c r="EF156" s="174"/>
      <c r="EG156" s="174"/>
      <c r="EH156" s="174"/>
      <c r="EI156" s="174"/>
      <c r="EJ156" s="174"/>
      <c r="EK156" s="174"/>
      <c r="EL156" s="174"/>
      <c r="EM156" s="174"/>
      <c r="EN156" s="174"/>
      <c r="EO156" s="174"/>
      <c r="EP156" s="174"/>
      <c r="EQ156" s="174"/>
      <c r="ER156" s="174"/>
      <c r="ES156" s="174"/>
      <c r="ET156" s="174"/>
      <c r="EU156" s="174"/>
      <c r="EV156" s="174"/>
      <c r="EW156" s="174"/>
      <c r="EX156" s="174"/>
      <c r="EY156" s="174"/>
      <c r="EZ156" s="174"/>
      <c r="FA156" s="174"/>
      <c r="FB156" s="174"/>
      <c r="FC156" s="174"/>
      <c r="FD156" s="174"/>
      <c r="FE156" s="174"/>
      <c r="FF156" s="174"/>
      <c r="FG156" s="174"/>
      <c r="FH156" s="174"/>
      <c r="FI156" s="174"/>
      <c r="FJ156" s="174"/>
      <c r="FK156" s="174"/>
      <c r="FL156" s="174"/>
      <c r="FM156" s="174"/>
      <c r="FN156" s="174"/>
      <c r="FO156" s="174"/>
      <c r="FP156" s="174"/>
      <c r="FQ156" s="174"/>
      <c r="FR156" s="174"/>
      <c r="FS156" s="174"/>
      <c r="FT156" s="174"/>
      <c r="FU156" s="174"/>
      <c r="FV156" s="174"/>
      <c r="FW156" s="174"/>
      <c r="FX156" s="174"/>
      <c r="FY156" s="174"/>
      <c r="FZ156" s="174"/>
      <c r="GA156" s="174"/>
      <c r="GB156" s="174"/>
      <c r="GC156" s="174"/>
      <c r="GD156" s="174"/>
      <c r="GE156" s="174"/>
      <c r="GF156" s="174"/>
      <c r="GG156" s="174"/>
      <c r="GH156" s="174"/>
      <c r="GI156" s="174"/>
      <c r="GJ156" s="174"/>
      <c r="GK156" s="174"/>
      <c r="GL156" s="174"/>
      <c r="GM156" s="174"/>
      <c r="GN156" s="174"/>
      <c r="GO156" s="174"/>
      <c r="GP156" s="174"/>
      <c r="GQ156" s="174"/>
      <c r="GR156" s="174"/>
      <c r="GS156" s="174"/>
      <c r="GT156" s="174"/>
      <c r="GU156" s="174"/>
      <c r="GV156" s="174"/>
      <c r="GW156" s="174"/>
      <c r="GX156" s="174"/>
      <c r="GY156" s="174"/>
      <c r="GZ156" s="174"/>
      <c r="HA156" s="174"/>
      <c r="HB156" s="174"/>
      <c r="HC156" s="174"/>
      <c r="HD156" s="174"/>
      <c r="HE156" s="174"/>
      <c r="HF156" s="174"/>
      <c r="HG156" s="174"/>
      <c r="HH156" s="174"/>
      <c r="HI156" s="174"/>
      <c r="HJ156" s="174"/>
      <c r="HK156" s="174"/>
      <c r="HL156" s="174"/>
      <c r="HM156" s="174"/>
      <c r="HN156" s="174"/>
      <c r="HO156" s="174"/>
      <c r="HP156" s="174"/>
      <c r="HQ156" s="174"/>
      <c r="HR156" s="174"/>
      <c r="HS156" s="174"/>
      <c r="HT156" s="174"/>
      <c r="HU156" s="174"/>
      <c r="HV156" s="174"/>
      <c r="HW156" s="174"/>
      <c r="HX156" s="174"/>
      <c r="HY156" s="174"/>
      <c r="HZ156" s="174"/>
      <c r="IA156" s="174"/>
      <c r="IB156" s="174"/>
      <c r="IC156" s="174"/>
      <c r="ID156" s="174"/>
      <c r="IE156" s="174"/>
      <c r="IF156" s="174"/>
      <c r="IG156" s="174"/>
      <c r="IH156" s="174"/>
      <c r="II156" s="174"/>
      <c r="IJ156" s="174"/>
      <c r="IK156" s="174"/>
      <c r="IL156" s="174"/>
      <c r="IM156" s="174"/>
      <c r="IN156" s="174"/>
      <c r="IO156" s="174"/>
      <c r="IP156" s="174"/>
      <c r="IQ156" s="174"/>
      <c r="IR156" s="174"/>
      <c r="IS156" s="174"/>
      <c r="IT156" s="174"/>
      <c r="IU156" s="174"/>
      <c r="IV156" s="174"/>
      <c r="IW156" s="174"/>
      <c r="IX156" s="174"/>
      <c r="IY156" s="174"/>
      <c r="IZ156" s="174"/>
      <c r="JA156" s="174"/>
      <c r="JB156" s="174"/>
      <c r="JC156" s="174"/>
      <c r="JD156" s="174"/>
      <c r="JE156" s="174"/>
      <c r="JF156" s="174"/>
      <c r="JG156" s="174"/>
      <c r="JH156" s="174"/>
      <c r="JI156" s="174"/>
      <c r="JJ156" s="174"/>
      <c r="JK156" s="174"/>
      <c r="JL156" s="174"/>
      <c r="JM156" s="174"/>
      <c r="JN156" s="174"/>
      <c r="JO156" s="174"/>
      <c r="JP156" s="174"/>
      <c r="JQ156" s="174"/>
      <c r="JR156" s="174"/>
      <c r="JS156" s="174"/>
      <c r="JT156" s="174"/>
      <c r="JU156" s="174"/>
      <c r="JV156" s="174"/>
    </row>
    <row r="157" spans="1:282" s="229" customFormat="1">
      <c r="A157" s="232"/>
      <c r="B157" s="173"/>
      <c r="C157" s="173"/>
      <c r="D157" s="233"/>
      <c r="E157" s="228"/>
      <c r="F157" s="234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277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173"/>
      <c r="BP157" s="173"/>
      <c r="BQ157" s="173"/>
      <c r="BR157" s="173"/>
      <c r="BS157" s="173"/>
      <c r="BT157" s="173"/>
      <c r="BU157" s="173"/>
      <c r="BV157" s="173"/>
      <c r="BW157" s="173"/>
      <c r="BX157" s="173"/>
      <c r="BY157" s="173"/>
      <c r="BZ157" s="173"/>
      <c r="CA157" s="173"/>
      <c r="CB157" s="173"/>
      <c r="CC157" s="173"/>
      <c r="CD157" s="173"/>
      <c r="CE157" s="173"/>
      <c r="CF157" s="173"/>
      <c r="CG157" s="173"/>
      <c r="CH157" s="173"/>
      <c r="CI157" s="173"/>
      <c r="CJ157" s="173"/>
      <c r="CK157" s="173"/>
      <c r="CL157" s="173"/>
      <c r="CM157" s="173"/>
      <c r="CN157" s="173"/>
      <c r="CO157" s="173"/>
      <c r="CP157" s="173"/>
      <c r="CQ157" s="173"/>
      <c r="CR157" s="151"/>
      <c r="CS157" s="173"/>
      <c r="CT157" s="173"/>
      <c r="CU157" s="173"/>
      <c r="CV157" s="173"/>
      <c r="CW157" s="173"/>
      <c r="CX157" s="173"/>
      <c r="CY157" s="173"/>
      <c r="CZ157" s="173"/>
      <c r="DA157" s="150"/>
      <c r="DB157" s="150"/>
      <c r="DC157" s="150"/>
      <c r="DD157" s="150"/>
      <c r="DE157" s="150"/>
      <c r="DF157" s="150"/>
      <c r="DG157" s="150"/>
      <c r="DH157" s="150"/>
      <c r="DI157" s="150"/>
      <c r="DJ157" s="150"/>
      <c r="DK157" s="222"/>
      <c r="DL157" s="222"/>
      <c r="DM157" s="222"/>
      <c r="DN157" s="174"/>
      <c r="DO157" s="174"/>
      <c r="DP157" s="174"/>
      <c r="DQ157" s="174"/>
      <c r="DR157" s="174"/>
      <c r="DS157" s="174"/>
      <c r="DT157" s="174"/>
      <c r="DU157" s="174"/>
      <c r="DV157" s="174"/>
      <c r="DW157" s="174"/>
      <c r="DX157" s="174"/>
      <c r="DY157" s="174"/>
      <c r="DZ157" s="174"/>
      <c r="EA157" s="174"/>
      <c r="EB157" s="174"/>
      <c r="EC157" s="174"/>
      <c r="ED157" s="174"/>
      <c r="EE157" s="174"/>
      <c r="EF157" s="174"/>
      <c r="EG157" s="174"/>
      <c r="EH157" s="174"/>
      <c r="EI157" s="174"/>
      <c r="EJ157" s="174"/>
      <c r="EK157" s="174"/>
      <c r="EL157" s="174"/>
      <c r="EM157" s="174"/>
      <c r="EN157" s="174"/>
      <c r="EO157" s="174"/>
      <c r="EP157" s="174"/>
      <c r="EQ157" s="174"/>
      <c r="ER157" s="174"/>
      <c r="ES157" s="174"/>
      <c r="ET157" s="174"/>
      <c r="EU157" s="174"/>
      <c r="EV157" s="174"/>
      <c r="EW157" s="174"/>
      <c r="EX157" s="174"/>
      <c r="EY157" s="174"/>
      <c r="EZ157" s="174"/>
      <c r="FA157" s="174"/>
      <c r="FB157" s="174"/>
      <c r="FC157" s="174"/>
      <c r="FD157" s="174"/>
      <c r="FE157" s="174"/>
      <c r="FF157" s="174"/>
      <c r="FG157" s="174"/>
      <c r="FH157" s="174"/>
      <c r="FI157" s="174"/>
      <c r="FJ157" s="174"/>
      <c r="FK157" s="174"/>
      <c r="FL157" s="174"/>
      <c r="FM157" s="174"/>
      <c r="FN157" s="174"/>
      <c r="FO157" s="174"/>
      <c r="FP157" s="174"/>
      <c r="FQ157" s="174"/>
      <c r="FR157" s="174"/>
      <c r="FS157" s="174"/>
      <c r="FT157" s="174"/>
      <c r="FU157" s="174"/>
      <c r="FV157" s="174"/>
      <c r="FW157" s="174"/>
      <c r="FX157" s="174"/>
      <c r="FY157" s="174"/>
      <c r="FZ157" s="174"/>
      <c r="GA157" s="174"/>
      <c r="GB157" s="174"/>
      <c r="GC157" s="174"/>
      <c r="GD157" s="174"/>
      <c r="GE157" s="174"/>
      <c r="GF157" s="174"/>
      <c r="GG157" s="174"/>
      <c r="GH157" s="174"/>
      <c r="GI157" s="174"/>
      <c r="GJ157" s="174"/>
      <c r="GK157" s="174"/>
      <c r="GL157" s="174"/>
      <c r="GM157" s="174"/>
      <c r="GN157" s="174"/>
      <c r="GO157" s="174"/>
      <c r="GP157" s="174"/>
      <c r="GQ157" s="174"/>
      <c r="GR157" s="174"/>
      <c r="GS157" s="174"/>
      <c r="GT157" s="174"/>
      <c r="GU157" s="174"/>
      <c r="GV157" s="174"/>
      <c r="GW157" s="174"/>
      <c r="GX157" s="174"/>
      <c r="GY157" s="174"/>
      <c r="GZ157" s="174"/>
      <c r="HA157" s="174"/>
      <c r="HB157" s="174"/>
      <c r="HC157" s="174"/>
      <c r="HD157" s="174"/>
      <c r="HE157" s="174"/>
      <c r="HF157" s="174"/>
      <c r="HG157" s="174"/>
      <c r="HH157" s="174"/>
      <c r="HI157" s="174"/>
      <c r="HJ157" s="174"/>
      <c r="HK157" s="174"/>
      <c r="HL157" s="174"/>
      <c r="HM157" s="174"/>
      <c r="HN157" s="174"/>
      <c r="HO157" s="174"/>
      <c r="HP157" s="174"/>
      <c r="HQ157" s="174"/>
      <c r="HR157" s="174"/>
      <c r="HS157" s="174"/>
      <c r="HT157" s="174"/>
      <c r="HU157" s="174"/>
      <c r="HV157" s="174"/>
      <c r="HW157" s="174"/>
      <c r="HX157" s="174"/>
      <c r="HY157" s="174"/>
      <c r="HZ157" s="174"/>
      <c r="IA157" s="174"/>
      <c r="IB157" s="174"/>
      <c r="IC157" s="174"/>
      <c r="ID157" s="174"/>
      <c r="IE157" s="174"/>
      <c r="IF157" s="174"/>
      <c r="IG157" s="174"/>
      <c r="IH157" s="174"/>
      <c r="II157" s="174"/>
      <c r="IJ157" s="174"/>
      <c r="IK157" s="174"/>
      <c r="IL157" s="174"/>
      <c r="IM157" s="174"/>
      <c r="IN157" s="174"/>
      <c r="IO157" s="174"/>
      <c r="IP157" s="174"/>
      <c r="IQ157" s="174"/>
      <c r="IR157" s="174"/>
      <c r="IS157" s="174"/>
      <c r="IT157" s="174"/>
      <c r="IU157" s="174"/>
      <c r="IV157" s="174"/>
      <c r="IW157" s="174"/>
      <c r="IX157" s="174"/>
      <c r="IY157" s="174"/>
      <c r="IZ157" s="174"/>
      <c r="JA157" s="174"/>
      <c r="JB157" s="174"/>
      <c r="JC157" s="174"/>
      <c r="JD157" s="174"/>
      <c r="JE157" s="174"/>
      <c r="JF157" s="174"/>
      <c r="JG157" s="174"/>
      <c r="JH157" s="174"/>
      <c r="JI157" s="174"/>
      <c r="JJ157" s="174"/>
      <c r="JK157" s="174"/>
      <c r="JL157" s="174"/>
      <c r="JM157" s="174"/>
      <c r="JN157" s="174"/>
      <c r="JO157" s="174"/>
      <c r="JP157" s="174"/>
      <c r="JQ157" s="174"/>
      <c r="JR157" s="174"/>
      <c r="JS157" s="174"/>
      <c r="JT157" s="174"/>
      <c r="JU157" s="174"/>
      <c r="JV157" s="174"/>
    </row>
    <row r="158" spans="1:282" s="150" customFormat="1">
      <c r="A158" s="232"/>
      <c r="B158" s="173"/>
      <c r="C158" s="173"/>
      <c r="D158" s="233"/>
      <c r="E158" s="228"/>
      <c r="F158" s="234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3"/>
      <c r="AT158" s="173"/>
      <c r="AU158" s="173"/>
      <c r="AV158" s="173"/>
      <c r="AW158" s="173"/>
      <c r="AX158" s="173"/>
      <c r="AY158" s="173"/>
      <c r="AZ158" s="173"/>
      <c r="BA158" s="277"/>
      <c r="BB158" s="173"/>
      <c r="BC158" s="173"/>
      <c r="BD158" s="173"/>
      <c r="BE158" s="173"/>
      <c r="BF158" s="173"/>
      <c r="BG158" s="173"/>
      <c r="BH158" s="173"/>
      <c r="BI158" s="173"/>
      <c r="BJ158" s="173"/>
      <c r="BK158" s="173"/>
      <c r="BL158" s="173"/>
      <c r="BM158" s="173"/>
      <c r="BN158" s="173"/>
      <c r="BO158" s="173"/>
      <c r="BP158" s="173"/>
      <c r="BQ158" s="173"/>
      <c r="BR158" s="173"/>
      <c r="BS158" s="173"/>
      <c r="BT158" s="173"/>
      <c r="BU158" s="173"/>
      <c r="BV158" s="173"/>
      <c r="BW158" s="173"/>
      <c r="BX158" s="173"/>
      <c r="BY158" s="173"/>
      <c r="BZ158" s="173"/>
      <c r="CA158" s="173"/>
      <c r="CB158" s="173"/>
      <c r="CC158" s="173"/>
      <c r="CD158" s="173"/>
      <c r="CE158" s="173"/>
      <c r="CF158" s="173"/>
      <c r="CG158" s="173"/>
      <c r="CH158" s="173"/>
      <c r="CI158" s="173"/>
      <c r="CJ158" s="173"/>
      <c r="CK158" s="173"/>
      <c r="CL158" s="173"/>
      <c r="CM158" s="173"/>
      <c r="CN158" s="173"/>
      <c r="CO158" s="173"/>
      <c r="CP158" s="173"/>
      <c r="CQ158" s="173"/>
      <c r="CR158" s="151"/>
      <c r="CS158" s="173"/>
      <c r="CT158" s="173"/>
      <c r="CU158" s="173"/>
      <c r="CV158" s="173"/>
      <c r="CW158" s="173"/>
      <c r="CX158" s="173"/>
      <c r="CY158" s="173"/>
      <c r="CZ158" s="173"/>
    </row>
    <row r="159" spans="1:282" s="150" customFormat="1">
      <c r="A159" s="232"/>
      <c r="B159" s="173"/>
      <c r="C159" s="173"/>
      <c r="D159" s="233"/>
      <c r="E159" s="228"/>
      <c r="F159" s="234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277"/>
      <c r="BB159" s="173"/>
      <c r="BC159" s="173"/>
      <c r="BD159" s="173"/>
      <c r="BE159" s="173"/>
      <c r="BF159" s="173"/>
      <c r="BG159" s="173"/>
      <c r="BH159" s="173"/>
      <c r="BI159" s="173"/>
      <c r="BJ159" s="173"/>
      <c r="BK159" s="173"/>
      <c r="BL159" s="173"/>
      <c r="BM159" s="173"/>
      <c r="BN159" s="173"/>
      <c r="BO159" s="173"/>
      <c r="BP159" s="173"/>
      <c r="BQ159" s="173"/>
      <c r="BR159" s="173"/>
      <c r="BS159" s="173"/>
      <c r="BT159" s="173"/>
      <c r="BU159" s="173"/>
      <c r="BV159" s="173"/>
      <c r="BW159" s="173"/>
      <c r="BX159" s="173"/>
      <c r="BY159" s="173"/>
      <c r="BZ159" s="173"/>
      <c r="CA159" s="173"/>
      <c r="CB159" s="173"/>
      <c r="CC159" s="173"/>
      <c r="CD159" s="173"/>
      <c r="CE159" s="173"/>
      <c r="CF159" s="173"/>
      <c r="CG159" s="173"/>
      <c r="CH159" s="173"/>
      <c r="CI159" s="173"/>
      <c r="CJ159" s="173"/>
      <c r="CK159" s="173"/>
      <c r="CL159" s="173"/>
      <c r="CM159" s="173"/>
      <c r="CN159" s="173"/>
      <c r="CO159" s="173"/>
      <c r="CP159" s="173"/>
      <c r="CQ159" s="173"/>
      <c r="CR159" s="151"/>
      <c r="CS159" s="173"/>
      <c r="CT159" s="173"/>
      <c r="CU159" s="173"/>
      <c r="CV159" s="173"/>
      <c r="CW159" s="173"/>
      <c r="CX159" s="173"/>
      <c r="CY159" s="173"/>
      <c r="CZ159" s="173"/>
    </row>
    <row r="160" spans="1:282" s="150" customFormat="1">
      <c r="A160" s="232"/>
      <c r="B160" s="173"/>
      <c r="C160" s="173"/>
      <c r="D160" s="233"/>
      <c r="E160" s="228"/>
      <c r="F160" s="234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  <c r="AU160" s="173"/>
      <c r="AV160" s="173"/>
      <c r="AW160" s="173"/>
      <c r="AX160" s="173"/>
      <c r="AY160" s="173"/>
      <c r="AZ160" s="173"/>
      <c r="BA160" s="277"/>
      <c r="BB160" s="173"/>
      <c r="BC160" s="173"/>
      <c r="BD160" s="173"/>
      <c r="BE160" s="173"/>
      <c r="BF160" s="173"/>
      <c r="BG160" s="173"/>
      <c r="BH160" s="173"/>
      <c r="BI160" s="173"/>
      <c r="BJ160" s="173"/>
      <c r="BK160" s="173"/>
      <c r="BL160" s="173"/>
      <c r="BM160" s="173"/>
      <c r="BN160" s="173"/>
      <c r="BO160" s="173"/>
      <c r="BP160" s="173"/>
      <c r="BQ160" s="173"/>
      <c r="BR160" s="173"/>
      <c r="BS160" s="173"/>
      <c r="BT160" s="173"/>
      <c r="BU160" s="173"/>
      <c r="BV160" s="173"/>
      <c r="BW160" s="173"/>
      <c r="BX160" s="173"/>
      <c r="BY160" s="173"/>
      <c r="BZ160" s="173"/>
      <c r="CA160" s="173"/>
      <c r="CB160" s="173"/>
      <c r="CC160" s="173"/>
      <c r="CD160" s="173"/>
      <c r="CE160" s="173"/>
      <c r="CF160" s="173"/>
      <c r="CG160" s="173"/>
      <c r="CH160" s="173"/>
      <c r="CI160" s="173"/>
      <c r="CJ160" s="173"/>
      <c r="CK160" s="173"/>
      <c r="CL160" s="173"/>
      <c r="CM160" s="173"/>
      <c r="CN160" s="173"/>
      <c r="CO160" s="173"/>
      <c r="CP160" s="173"/>
      <c r="CQ160" s="173"/>
      <c r="CR160" s="151"/>
      <c r="CS160" s="173"/>
      <c r="CT160" s="173"/>
      <c r="CU160" s="173"/>
      <c r="CV160" s="173"/>
      <c r="CW160" s="173"/>
      <c r="CX160" s="173"/>
      <c r="CY160" s="173"/>
      <c r="CZ160" s="173"/>
    </row>
    <row r="161" spans="1:104" s="150" customFormat="1">
      <c r="A161" s="232"/>
      <c r="B161" s="173"/>
      <c r="C161" s="173"/>
      <c r="D161" s="233"/>
      <c r="E161" s="228"/>
      <c r="F161" s="234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277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  <c r="BN161" s="173"/>
      <c r="BO161" s="173"/>
      <c r="BP161" s="173"/>
      <c r="BQ161" s="173"/>
      <c r="BR161" s="173"/>
      <c r="BS161" s="173"/>
      <c r="BT161" s="173"/>
      <c r="BU161" s="173"/>
      <c r="BV161" s="173"/>
      <c r="BW161" s="173"/>
      <c r="BX161" s="173"/>
      <c r="BY161" s="173"/>
      <c r="BZ161" s="173"/>
      <c r="CA161" s="173"/>
      <c r="CB161" s="173"/>
      <c r="CC161" s="173"/>
      <c r="CD161" s="173"/>
      <c r="CE161" s="173"/>
      <c r="CF161" s="173"/>
      <c r="CG161" s="173"/>
      <c r="CH161" s="173"/>
      <c r="CI161" s="173"/>
      <c r="CJ161" s="173"/>
      <c r="CK161" s="173"/>
      <c r="CL161" s="173"/>
      <c r="CM161" s="173"/>
      <c r="CN161" s="173"/>
      <c r="CO161" s="173"/>
      <c r="CP161" s="173"/>
      <c r="CQ161" s="173"/>
      <c r="CR161" s="151"/>
      <c r="CS161" s="173"/>
      <c r="CT161" s="173"/>
      <c r="CU161" s="173"/>
      <c r="CV161" s="173"/>
      <c r="CW161" s="173"/>
      <c r="CX161" s="173"/>
      <c r="CY161" s="173"/>
      <c r="CZ161" s="173"/>
    </row>
    <row r="162" spans="1:104" s="150" customFormat="1">
      <c r="A162" s="232"/>
      <c r="B162" s="173"/>
      <c r="C162" s="173"/>
      <c r="D162" s="233"/>
      <c r="E162" s="228"/>
      <c r="F162" s="234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277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  <c r="BN162" s="173"/>
      <c r="BO162" s="173"/>
      <c r="BP162" s="173"/>
      <c r="BQ162" s="173"/>
      <c r="BR162" s="173"/>
      <c r="BS162" s="173"/>
      <c r="BT162" s="173"/>
      <c r="BU162" s="173"/>
      <c r="BV162" s="173"/>
      <c r="BW162" s="173"/>
      <c r="BX162" s="173"/>
      <c r="BY162" s="173"/>
      <c r="BZ162" s="173"/>
      <c r="CA162" s="173"/>
      <c r="CB162" s="173"/>
      <c r="CC162" s="173"/>
      <c r="CD162" s="173"/>
      <c r="CE162" s="173"/>
      <c r="CF162" s="173"/>
      <c r="CG162" s="173"/>
      <c r="CH162" s="173"/>
      <c r="CI162" s="173"/>
      <c r="CJ162" s="173"/>
      <c r="CK162" s="173"/>
      <c r="CL162" s="173"/>
      <c r="CM162" s="173"/>
      <c r="CN162" s="173"/>
      <c r="CO162" s="173"/>
      <c r="CP162" s="173"/>
      <c r="CQ162" s="173"/>
      <c r="CR162" s="151"/>
      <c r="CS162" s="173"/>
      <c r="CT162" s="173"/>
      <c r="CU162" s="173"/>
      <c r="CV162" s="173"/>
      <c r="CW162" s="173"/>
      <c r="CX162" s="173"/>
      <c r="CY162" s="173"/>
      <c r="CZ162" s="173"/>
    </row>
    <row r="163" spans="1:104" s="150" customFormat="1">
      <c r="A163" s="232"/>
      <c r="B163" s="173"/>
      <c r="C163" s="173"/>
      <c r="D163" s="233"/>
      <c r="E163" s="228"/>
      <c r="F163" s="234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277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  <c r="BN163" s="173"/>
      <c r="BO163" s="173"/>
      <c r="BP163" s="173"/>
      <c r="BQ163" s="173"/>
      <c r="BR163" s="173"/>
      <c r="BS163" s="173"/>
      <c r="BT163" s="173"/>
      <c r="BU163" s="173"/>
      <c r="BV163" s="173"/>
      <c r="BW163" s="173"/>
      <c r="BX163" s="173"/>
      <c r="BY163" s="173"/>
      <c r="BZ163" s="173"/>
      <c r="CA163" s="173"/>
      <c r="CB163" s="173"/>
      <c r="CC163" s="173"/>
      <c r="CD163" s="173"/>
      <c r="CE163" s="173"/>
      <c r="CF163" s="173"/>
      <c r="CG163" s="173"/>
      <c r="CH163" s="173"/>
      <c r="CI163" s="173"/>
      <c r="CJ163" s="173"/>
      <c r="CK163" s="173"/>
      <c r="CL163" s="173"/>
      <c r="CM163" s="173"/>
      <c r="CN163" s="173"/>
      <c r="CO163" s="173"/>
      <c r="CP163" s="173"/>
      <c r="CQ163" s="173"/>
      <c r="CR163" s="151"/>
      <c r="CS163" s="173"/>
      <c r="CT163" s="173"/>
      <c r="CU163" s="173"/>
      <c r="CV163" s="173"/>
      <c r="CW163" s="173"/>
      <c r="CX163" s="173"/>
      <c r="CY163" s="173"/>
      <c r="CZ163" s="173"/>
    </row>
    <row r="164" spans="1:104" s="150" customFormat="1">
      <c r="A164" s="232">
        <v>161</v>
      </c>
      <c r="B164" s="173"/>
      <c r="C164" s="173"/>
      <c r="D164" s="233"/>
      <c r="E164" s="228"/>
      <c r="F164" s="234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277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  <c r="BN164" s="173"/>
      <c r="BO164" s="173"/>
      <c r="BP164" s="173"/>
      <c r="BQ164" s="173"/>
      <c r="BR164" s="173"/>
      <c r="BS164" s="173"/>
      <c r="BT164" s="173"/>
      <c r="BU164" s="173"/>
      <c r="BV164" s="173"/>
      <c r="BW164" s="173"/>
      <c r="BX164" s="173"/>
      <c r="BY164" s="173"/>
      <c r="BZ164" s="173"/>
      <c r="CA164" s="173"/>
      <c r="CB164" s="173"/>
      <c r="CC164" s="173"/>
      <c r="CD164" s="173"/>
      <c r="CE164" s="173"/>
      <c r="CF164" s="173"/>
      <c r="CG164" s="173"/>
      <c r="CH164" s="173"/>
      <c r="CI164" s="173"/>
      <c r="CJ164" s="173"/>
      <c r="CK164" s="173"/>
      <c r="CL164" s="173"/>
      <c r="CM164" s="173"/>
      <c r="CN164" s="173"/>
      <c r="CO164" s="173"/>
      <c r="CP164" s="173"/>
      <c r="CQ164" s="173"/>
      <c r="CR164" s="151"/>
      <c r="CS164" s="173"/>
      <c r="CT164" s="173"/>
      <c r="CU164" s="173"/>
      <c r="CV164" s="173"/>
      <c r="CW164" s="173"/>
      <c r="CX164" s="173"/>
      <c r="CY164" s="173"/>
      <c r="CZ164" s="173"/>
    </row>
    <row r="165" spans="1:104" s="150" customFormat="1">
      <c r="A165" s="232">
        <v>162</v>
      </c>
      <c r="B165" s="173"/>
      <c r="C165" s="173"/>
      <c r="D165" s="233"/>
      <c r="E165" s="228"/>
      <c r="F165" s="234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277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  <c r="BN165" s="173"/>
      <c r="BO165" s="173"/>
      <c r="BP165" s="173"/>
      <c r="BQ165" s="173"/>
      <c r="BR165" s="173"/>
      <c r="BS165" s="173"/>
      <c r="BT165" s="173"/>
      <c r="BU165" s="173"/>
      <c r="BV165" s="173"/>
      <c r="BW165" s="173"/>
      <c r="BX165" s="173"/>
      <c r="BY165" s="173"/>
      <c r="BZ165" s="173"/>
      <c r="CA165" s="173"/>
      <c r="CB165" s="173"/>
      <c r="CC165" s="173"/>
      <c r="CD165" s="173"/>
      <c r="CE165" s="173"/>
      <c r="CF165" s="173"/>
      <c r="CG165" s="173"/>
      <c r="CH165" s="173"/>
      <c r="CI165" s="173"/>
      <c r="CJ165" s="173"/>
      <c r="CK165" s="173"/>
      <c r="CL165" s="173"/>
      <c r="CM165" s="173"/>
      <c r="CN165" s="173"/>
      <c r="CO165" s="173"/>
      <c r="CP165" s="173"/>
      <c r="CQ165" s="173"/>
      <c r="CR165" s="151"/>
      <c r="CS165" s="173"/>
      <c r="CT165" s="173"/>
      <c r="CU165" s="173"/>
      <c r="CV165" s="173"/>
      <c r="CW165" s="173"/>
      <c r="CX165" s="173"/>
      <c r="CY165" s="173"/>
      <c r="CZ165" s="173"/>
    </row>
    <row r="166" spans="1:104" s="150" customFormat="1">
      <c r="A166" s="232">
        <v>163</v>
      </c>
      <c r="B166" s="173"/>
      <c r="C166" s="173"/>
      <c r="D166" s="233"/>
      <c r="E166" s="228"/>
      <c r="F166" s="234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277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  <c r="BN166" s="173"/>
      <c r="BO166" s="173"/>
      <c r="BP166" s="173"/>
      <c r="BQ166" s="173"/>
      <c r="BR166" s="173"/>
      <c r="BS166" s="173"/>
      <c r="BT166" s="173"/>
      <c r="BU166" s="173"/>
      <c r="BV166" s="173"/>
      <c r="BW166" s="173"/>
      <c r="BX166" s="173"/>
      <c r="BY166" s="173"/>
      <c r="BZ166" s="173"/>
      <c r="CA166" s="173"/>
      <c r="CB166" s="173"/>
      <c r="CC166" s="173"/>
      <c r="CD166" s="173"/>
      <c r="CE166" s="173"/>
      <c r="CF166" s="173"/>
      <c r="CG166" s="173"/>
      <c r="CH166" s="173"/>
      <c r="CI166" s="173"/>
      <c r="CJ166" s="173"/>
      <c r="CK166" s="173"/>
      <c r="CL166" s="173"/>
      <c r="CM166" s="173"/>
      <c r="CN166" s="173"/>
      <c r="CO166" s="173"/>
      <c r="CP166" s="173"/>
      <c r="CQ166" s="173"/>
      <c r="CR166" s="151"/>
      <c r="CS166" s="173"/>
      <c r="CT166" s="173"/>
      <c r="CU166" s="173"/>
      <c r="CV166" s="173"/>
      <c r="CW166" s="173"/>
      <c r="CX166" s="173"/>
      <c r="CY166" s="173"/>
      <c r="CZ166" s="173"/>
    </row>
    <row r="167" spans="1:104" s="150" customFormat="1">
      <c r="A167" s="232">
        <v>164</v>
      </c>
      <c r="B167" s="173"/>
      <c r="C167" s="173"/>
      <c r="D167" s="233"/>
      <c r="E167" s="228"/>
      <c r="F167" s="234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277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  <c r="BN167" s="173"/>
      <c r="BO167" s="173"/>
      <c r="BP167" s="173"/>
      <c r="BQ167" s="173"/>
      <c r="BR167" s="173"/>
      <c r="BS167" s="173"/>
      <c r="BT167" s="173"/>
      <c r="BU167" s="173"/>
      <c r="BV167" s="173"/>
      <c r="BW167" s="173"/>
      <c r="BX167" s="173"/>
      <c r="BY167" s="173"/>
      <c r="BZ167" s="173"/>
      <c r="CA167" s="173"/>
      <c r="CB167" s="173"/>
      <c r="CC167" s="173"/>
      <c r="CD167" s="173"/>
      <c r="CE167" s="173"/>
      <c r="CF167" s="173"/>
      <c r="CG167" s="173"/>
      <c r="CH167" s="173"/>
      <c r="CI167" s="173"/>
      <c r="CJ167" s="173"/>
      <c r="CK167" s="173"/>
      <c r="CL167" s="173"/>
      <c r="CM167" s="173"/>
      <c r="CN167" s="173"/>
      <c r="CO167" s="173"/>
      <c r="CP167" s="173"/>
      <c r="CQ167" s="173"/>
      <c r="CR167" s="151"/>
      <c r="CS167" s="173"/>
      <c r="CT167" s="173"/>
      <c r="CU167" s="173"/>
      <c r="CV167" s="173"/>
      <c r="CW167" s="173"/>
      <c r="CX167" s="173"/>
      <c r="CY167" s="173"/>
      <c r="CZ167" s="173"/>
    </row>
    <row r="168" spans="1:104" s="150" customFormat="1">
      <c r="A168" s="232">
        <v>165</v>
      </c>
      <c r="B168" s="173"/>
      <c r="C168" s="173"/>
      <c r="D168" s="233"/>
      <c r="E168" s="228"/>
      <c r="F168" s="234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  <c r="AY168" s="173"/>
      <c r="AZ168" s="173"/>
      <c r="BA168" s="277"/>
      <c r="BB168" s="173"/>
      <c r="BC168" s="173"/>
      <c r="BD168" s="173"/>
      <c r="BE168" s="173"/>
      <c r="BF168" s="173"/>
      <c r="BG168" s="173"/>
      <c r="BH168" s="173"/>
      <c r="BI168" s="173"/>
      <c r="BJ168" s="173"/>
      <c r="BK168" s="173"/>
      <c r="BL168" s="173"/>
      <c r="BM168" s="173"/>
      <c r="BN168" s="173"/>
      <c r="BO168" s="173"/>
      <c r="BP168" s="173"/>
      <c r="BQ168" s="173"/>
      <c r="BR168" s="173"/>
      <c r="BS168" s="173"/>
      <c r="BT168" s="173"/>
      <c r="BU168" s="173"/>
      <c r="BV168" s="173"/>
      <c r="BW168" s="173"/>
      <c r="BX168" s="173"/>
      <c r="BY168" s="173"/>
      <c r="BZ168" s="173"/>
      <c r="CA168" s="173"/>
      <c r="CB168" s="173"/>
      <c r="CC168" s="173"/>
      <c r="CD168" s="173"/>
      <c r="CE168" s="173"/>
      <c r="CF168" s="173"/>
      <c r="CG168" s="173"/>
      <c r="CH168" s="173"/>
      <c r="CI168" s="173"/>
      <c r="CJ168" s="173"/>
      <c r="CK168" s="173"/>
      <c r="CL168" s="173"/>
      <c r="CM168" s="173"/>
      <c r="CN168" s="173"/>
      <c r="CO168" s="173"/>
      <c r="CP168" s="173"/>
      <c r="CQ168" s="173"/>
      <c r="CR168" s="151"/>
      <c r="CS168" s="173"/>
      <c r="CT168" s="173"/>
      <c r="CU168" s="173"/>
      <c r="CV168" s="173"/>
      <c r="CW168" s="173"/>
      <c r="CX168" s="173"/>
      <c r="CY168" s="173"/>
      <c r="CZ168" s="173"/>
    </row>
    <row r="169" spans="1:104" s="150" customFormat="1">
      <c r="A169" s="232">
        <v>166</v>
      </c>
      <c r="B169" s="173"/>
      <c r="C169" s="173"/>
      <c r="D169" s="233"/>
      <c r="E169" s="228"/>
      <c r="F169" s="234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173"/>
      <c r="BA169" s="277"/>
      <c r="BB169" s="173"/>
      <c r="BC169" s="173"/>
      <c r="BD169" s="173"/>
      <c r="BE169" s="173"/>
      <c r="BF169" s="173"/>
      <c r="BG169" s="173"/>
      <c r="BH169" s="173"/>
      <c r="BI169" s="173"/>
      <c r="BJ169" s="173"/>
      <c r="BK169" s="173"/>
      <c r="BL169" s="173"/>
      <c r="BM169" s="173"/>
      <c r="BN169" s="173"/>
      <c r="BO169" s="173"/>
      <c r="BP169" s="173"/>
      <c r="BQ169" s="173"/>
      <c r="BR169" s="173"/>
      <c r="BS169" s="173"/>
      <c r="BT169" s="173"/>
      <c r="BU169" s="173"/>
      <c r="BV169" s="173"/>
      <c r="BW169" s="173"/>
      <c r="BX169" s="173"/>
      <c r="BY169" s="173"/>
      <c r="BZ169" s="173"/>
      <c r="CA169" s="173"/>
      <c r="CB169" s="173"/>
      <c r="CC169" s="173"/>
      <c r="CD169" s="173"/>
      <c r="CE169" s="173"/>
      <c r="CF169" s="173"/>
      <c r="CG169" s="173"/>
      <c r="CH169" s="173"/>
      <c r="CI169" s="173"/>
      <c r="CJ169" s="173"/>
      <c r="CK169" s="173"/>
      <c r="CL169" s="173"/>
      <c r="CM169" s="173"/>
      <c r="CN169" s="173"/>
      <c r="CO169" s="173"/>
      <c r="CP169" s="173"/>
      <c r="CQ169" s="173"/>
      <c r="CR169" s="151"/>
      <c r="CS169" s="173"/>
      <c r="CT169" s="173"/>
      <c r="CU169" s="173"/>
      <c r="CV169" s="173"/>
      <c r="CW169" s="173"/>
      <c r="CX169" s="173"/>
      <c r="CY169" s="173"/>
      <c r="CZ169" s="173"/>
    </row>
    <row r="170" spans="1:104" s="150" customFormat="1">
      <c r="A170" s="232">
        <v>167</v>
      </c>
      <c r="B170" s="173"/>
      <c r="C170" s="173"/>
      <c r="D170" s="233"/>
      <c r="E170" s="228"/>
      <c r="F170" s="234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  <c r="AY170" s="173"/>
      <c r="AZ170" s="173"/>
      <c r="BA170" s="277"/>
      <c r="BB170" s="173"/>
      <c r="BC170" s="173"/>
      <c r="BD170" s="173"/>
      <c r="BE170" s="173"/>
      <c r="BF170" s="173"/>
      <c r="BG170" s="173"/>
      <c r="BH170" s="173"/>
      <c r="BI170" s="173"/>
      <c r="BJ170" s="173"/>
      <c r="BK170" s="173"/>
      <c r="BL170" s="173"/>
      <c r="BM170" s="173"/>
      <c r="BN170" s="173"/>
      <c r="BO170" s="173"/>
      <c r="BP170" s="173"/>
      <c r="BQ170" s="173"/>
      <c r="BR170" s="173"/>
      <c r="BS170" s="173"/>
      <c r="BT170" s="173"/>
      <c r="BU170" s="173"/>
      <c r="BV170" s="173"/>
      <c r="BW170" s="173"/>
      <c r="BX170" s="173"/>
      <c r="BY170" s="173"/>
      <c r="BZ170" s="173"/>
      <c r="CA170" s="173"/>
      <c r="CB170" s="173"/>
      <c r="CC170" s="173"/>
      <c r="CD170" s="173"/>
      <c r="CE170" s="173"/>
      <c r="CF170" s="173"/>
      <c r="CG170" s="173"/>
      <c r="CH170" s="173"/>
      <c r="CI170" s="173"/>
      <c r="CJ170" s="173"/>
      <c r="CK170" s="173"/>
      <c r="CL170" s="173"/>
      <c r="CM170" s="173"/>
      <c r="CN170" s="173"/>
      <c r="CO170" s="173"/>
      <c r="CP170" s="173"/>
      <c r="CQ170" s="173"/>
      <c r="CR170" s="151"/>
      <c r="CS170" s="173"/>
      <c r="CT170" s="173"/>
      <c r="CU170" s="173"/>
      <c r="CV170" s="173"/>
      <c r="CW170" s="173"/>
      <c r="CX170" s="173"/>
      <c r="CY170" s="173"/>
      <c r="CZ170" s="173"/>
    </row>
    <row r="171" spans="1:104" s="150" customFormat="1">
      <c r="A171" s="232">
        <v>168</v>
      </c>
      <c r="B171" s="173"/>
      <c r="C171" s="173"/>
      <c r="D171" s="233"/>
      <c r="E171" s="228"/>
      <c r="F171" s="234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  <c r="AY171" s="173"/>
      <c r="AZ171" s="173"/>
      <c r="BA171" s="277"/>
      <c r="BB171" s="173"/>
      <c r="BC171" s="173"/>
      <c r="BD171" s="173"/>
      <c r="BE171" s="173"/>
      <c r="BF171" s="173"/>
      <c r="BG171" s="173"/>
      <c r="BH171" s="173"/>
      <c r="BI171" s="173"/>
      <c r="BJ171" s="173"/>
      <c r="BK171" s="173"/>
      <c r="BL171" s="173"/>
      <c r="BM171" s="173"/>
      <c r="BN171" s="173"/>
      <c r="BO171" s="173"/>
      <c r="BP171" s="173"/>
      <c r="BQ171" s="173"/>
      <c r="BR171" s="173"/>
      <c r="BS171" s="173"/>
      <c r="BT171" s="173"/>
      <c r="BU171" s="173"/>
      <c r="BV171" s="173"/>
      <c r="BW171" s="173"/>
      <c r="BX171" s="173"/>
      <c r="BY171" s="173"/>
      <c r="BZ171" s="173"/>
      <c r="CA171" s="173"/>
      <c r="CB171" s="173"/>
      <c r="CC171" s="173"/>
      <c r="CD171" s="173"/>
      <c r="CE171" s="173"/>
      <c r="CF171" s="173"/>
      <c r="CG171" s="173"/>
      <c r="CH171" s="173"/>
      <c r="CI171" s="173"/>
      <c r="CJ171" s="173"/>
      <c r="CK171" s="173"/>
      <c r="CL171" s="173"/>
      <c r="CM171" s="173"/>
      <c r="CN171" s="173"/>
      <c r="CO171" s="173"/>
      <c r="CP171" s="173"/>
      <c r="CQ171" s="173"/>
      <c r="CR171" s="151"/>
      <c r="CS171" s="173"/>
      <c r="CT171" s="173"/>
      <c r="CU171" s="173"/>
      <c r="CV171" s="173"/>
      <c r="CW171" s="173"/>
      <c r="CX171" s="173"/>
      <c r="CY171" s="173"/>
      <c r="CZ171" s="173"/>
    </row>
    <row r="172" spans="1:104" s="150" customFormat="1">
      <c r="A172" s="232">
        <v>169</v>
      </c>
      <c r="B172" s="173"/>
      <c r="C172" s="173"/>
      <c r="D172" s="233"/>
      <c r="E172" s="228"/>
      <c r="F172" s="234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  <c r="AY172" s="173"/>
      <c r="AZ172" s="173"/>
      <c r="BA172" s="277"/>
      <c r="BB172" s="173"/>
      <c r="BC172" s="173"/>
      <c r="BD172" s="173"/>
      <c r="BE172" s="173"/>
      <c r="BF172" s="173"/>
      <c r="BG172" s="173"/>
      <c r="BH172" s="173"/>
      <c r="BI172" s="173"/>
      <c r="BJ172" s="173"/>
      <c r="BK172" s="173"/>
      <c r="BL172" s="173"/>
      <c r="BM172" s="173"/>
      <c r="BN172" s="173"/>
      <c r="BO172" s="173"/>
      <c r="BP172" s="173"/>
      <c r="BQ172" s="173"/>
      <c r="BR172" s="173"/>
      <c r="BS172" s="173"/>
      <c r="BT172" s="173"/>
      <c r="BU172" s="173"/>
      <c r="BV172" s="173"/>
      <c r="BW172" s="173"/>
      <c r="BX172" s="173"/>
      <c r="BY172" s="173"/>
      <c r="BZ172" s="173"/>
      <c r="CA172" s="173"/>
      <c r="CB172" s="173"/>
      <c r="CC172" s="173"/>
      <c r="CD172" s="173"/>
      <c r="CE172" s="173"/>
      <c r="CF172" s="173"/>
      <c r="CG172" s="173"/>
      <c r="CH172" s="173"/>
      <c r="CI172" s="173"/>
      <c r="CJ172" s="173"/>
      <c r="CK172" s="173"/>
      <c r="CL172" s="173"/>
      <c r="CM172" s="173"/>
      <c r="CN172" s="173"/>
      <c r="CO172" s="173"/>
      <c r="CP172" s="173"/>
      <c r="CQ172" s="173"/>
      <c r="CR172" s="151"/>
      <c r="CS172" s="173"/>
      <c r="CT172" s="173"/>
      <c r="CU172" s="173"/>
      <c r="CV172" s="173"/>
      <c r="CW172" s="173"/>
      <c r="CX172" s="173"/>
      <c r="CY172" s="173"/>
      <c r="CZ172" s="173"/>
    </row>
    <row r="173" spans="1:104" s="150" customFormat="1">
      <c r="A173" s="232">
        <v>170</v>
      </c>
      <c r="B173" s="173"/>
      <c r="C173" s="173"/>
      <c r="D173" s="233"/>
      <c r="E173" s="228"/>
      <c r="F173" s="234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  <c r="AY173" s="173"/>
      <c r="AZ173" s="173"/>
      <c r="BA173" s="277"/>
      <c r="BB173" s="173"/>
      <c r="BC173" s="173"/>
      <c r="BD173" s="173"/>
      <c r="BE173" s="173"/>
      <c r="BF173" s="173"/>
      <c r="BG173" s="173"/>
      <c r="BH173" s="173"/>
      <c r="BI173" s="173"/>
      <c r="BJ173" s="173"/>
      <c r="BK173" s="173"/>
      <c r="BL173" s="173"/>
      <c r="BM173" s="173"/>
      <c r="BN173" s="173"/>
      <c r="BO173" s="173"/>
      <c r="BP173" s="173"/>
      <c r="BQ173" s="173"/>
      <c r="BR173" s="173"/>
      <c r="BS173" s="173"/>
      <c r="BT173" s="173"/>
      <c r="BU173" s="173"/>
      <c r="BV173" s="173"/>
      <c r="BW173" s="173"/>
      <c r="BX173" s="173"/>
      <c r="BY173" s="173"/>
      <c r="BZ173" s="173"/>
      <c r="CA173" s="173"/>
      <c r="CB173" s="173"/>
      <c r="CC173" s="173"/>
      <c r="CD173" s="173"/>
      <c r="CE173" s="173"/>
      <c r="CF173" s="173"/>
      <c r="CG173" s="173"/>
      <c r="CH173" s="173"/>
      <c r="CI173" s="173"/>
      <c r="CJ173" s="173"/>
      <c r="CK173" s="173"/>
      <c r="CL173" s="173"/>
      <c r="CM173" s="173"/>
      <c r="CN173" s="173"/>
      <c r="CO173" s="173"/>
      <c r="CP173" s="173"/>
      <c r="CQ173" s="173"/>
      <c r="CR173" s="151"/>
      <c r="CS173" s="173"/>
      <c r="CT173" s="173"/>
      <c r="CU173" s="173"/>
      <c r="CV173" s="173"/>
      <c r="CW173" s="173"/>
      <c r="CX173" s="173"/>
      <c r="CY173" s="173"/>
      <c r="CZ173" s="173"/>
    </row>
    <row r="174" spans="1:104" s="150" customFormat="1">
      <c r="A174" s="232">
        <v>171</v>
      </c>
      <c r="B174" s="173"/>
      <c r="C174" s="173"/>
      <c r="D174" s="233"/>
      <c r="E174" s="228"/>
      <c r="F174" s="234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  <c r="AY174" s="173"/>
      <c r="AZ174" s="173"/>
      <c r="BA174" s="277"/>
      <c r="BB174" s="173"/>
      <c r="BC174" s="173"/>
      <c r="BD174" s="173"/>
      <c r="BE174" s="173"/>
      <c r="BF174" s="173"/>
      <c r="BG174" s="173"/>
      <c r="BH174" s="173"/>
      <c r="BI174" s="173"/>
      <c r="BJ174" s="173"/>
      <c r="BK174" s="173"/>
      <c r="BL174" s="173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173"/>
      <c r="CC174" s="173"/>
      <c r="CD174" s="173"/>
      <c r="CE174" s="173"/>
      <c r="CF174" s="173"/>
      <c r="CG174" s="173"/>
      <c r="CH174" s="173"/>
      <c r="CI174" s="173"/>
      <c r="CJ174" s="173"/>
      <c r="CK174" s="173"/>
      <c r="CL174" s="173"/>
      <c r="CM174" s="173"/>
      <c r="CN174" s="173"/>
      <c r="CO174" s="173"/>
      <c r="CP174" s="173"/>
      <c r="CQ174" s="173"/>
      <c r="CR174" s="151"/>
      <c r="CS174" s="173"/>
      <c r="CT174" s="173"/>
      <c r="CU174" s="173"/>
      <c r="CV174" s="173"/>
      <c r="CW174" s="173"/>
      <c r="CX174" s="173"/>
      <c r="CY174" s="173"/>
      <c r="CZ174" s="173"/>
    </row>
    <row r="175" spans="1:104" s="150" customFormat="1">
      <c r="A175" s="232">
        <v>172</v>
      </c>
      <c r="B175" s="173"/>
      <c r="C175" s="173"/>
      <c r="D175" s="233"/>
      <c r="E175" s="228"/>
      <c r="F175" s="234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277"/>
      <c r="BB175" s="173"/>
      <c r="BC175" s="173"/>
      <c r="BD175" s="173"/>
      <c r="BE175" s="173"/>
      <c r="BF175" s="173"/>
      <c r="BG175" s="173"/>
      <c r="BH175" s="173"/>
      <c r="BI175" s="173"/>
      <c r="BJ175" s="173"/>
      <c r="BK175" s="173"/>
      <c r="BL175" s="173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B175" s="173"/>
      <c r="CC175" s="173"/>
      <c r="CD175" s="173"/>
      <c r="CE175" s="173"/>
      <c r="CF175" s="173"/>
      <c r="CG175" s="173"/>
      <c r="CH175" s="173"/>
      <c r="CI175" s="173"/>
      <c r="CJ175" s="173"/>
      <c r="CK175" s="173"/>
      <c r="CL175" s="173"/>
      <c r="CM175" s="173"/>
      <c r="CN175" s="173"/>
      <c r="CO175" s="173"/>
      <c r="CP175" s="173"/>
      <c r="CQ175" s="173"/>
      <c r="CR175" s="151"/>
      <c r="CS175" s="173"/>
      <c r="CT175" s="173"/>
      <c r="CU175" s="173"/>
      <c r="CV175" s="173"/>
      <c r="CW175" s="173"/>
      <c r="CX175" s="173"/>
      <c r="CY175" s="173"/>
      <c r="CZ175" s="173"/>
    </row>
    <row r="176" spans="1:104" s="150" customFormat="1">
      <c r="A176" s="232">
        <v>173</v>
      </c>
      <c r="B176" s="173"/>
      <c r="C176" s="173"/>
      <c r="D176" s="233"/>
      <c r="E176" s="228"/>
      <c r="F176" s="234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  <c r="AY176" s="173"/>
      <c r="AZ176" s="173"/>
      <c r="BA176" s="277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173"/>
      <c r="CC176" s="173"/>
      <c r="CD176" s="173"/>
      <c r="CE176" s="173"/>
      <c r="CF176" s="173"/>
      <c r="CG176" s="173"/>
      <c r="CH176" s="173"/>
      <c r="CI176" s="173"/>
      <c r="CJ176" s="173"/>
      <c r="CK176" s="173"/>
      <c r="CL176" s="173"/>
      <c r="CM176" s="173"/>
      <c r="CN176" s="173"/>
      <c r="CO176" s="173"/>
      <c r="CP176" s="173"/>
      <c r="CQ176" s="173"/>
      <c r="CR176" s="151"/>
      <c r="CS176" s="173"/>
      <c r="CT176" s="173"/>
      <c r="CU176" s="173"/>
      <c r="CV176" s="173"/>
      <c r="CW176" s="173"/>
      <c r="CX176" s="173"/>
      <c r="CY176" s="173"/>
      <c r="CZ176" s="173"/>
    </row>
    <row r="177" spans="1:104" s="150" customFormat="1">
      <c r="A177" s="232">
        <v>174</v>
      </c>
      <c r="B177" s="173"/>
      <c r="C177" s="173"/>
      <c r="D177" s="233"/>
      <c r="E177" s="228"/>
      <c r="F177" s="234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  <c r="AY177" s="173"/>
      <c r="AZ177" s="173"/>
      <c r="BA177" s="277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173"/>
      <c r="CC177" s="173"/>
      <c r="CD177" s="173"/>
      <c r="CE177" s="173"/>
      <c r="CF177" s="173"/>
      <c r="CG177" s="173"/>
      <c r="CH177" s="173"/>
      <c r="CI177" s="173"/>
      <c r="CJ177" s="173"/>
      <c r="CK177" s="173"/>
      <c r="CL177" s="173"/>
      <c r="CM177" s="173"/>
      <c r="CN177" s="173"/>
      <c r="CO177" s="173"/>
      <c r="CP177" s="173"/>
      <c r="CQ177" s="173"/>
      <c r="CR177" s="151"/>
      <c r="CS177" s="173"/>
      <c r="CT177" s="173"/>
      <c r="CU177" s="173"/>
      <c r="CV177" s="173"/>
      <c r="CW177" s="173"/>
      <c r="CX177" s="173"/>
      <c r="CY177" s="173"/>
      <c r="CZ177" s="173"/>
    </row>
    <row r="178" spans="1:104" s="150" customFormat="1">
      <c r="A178" s="232">
        <v>175</v>
      </c>
      <c r="B178" s="173"/>
      <c r="C178" s="173"/>
      <c r="D178" s="233"/>
      <c r="E178" s="228"/>
      <c r="F178" s="234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  <c r="AY178" s="173"/>
      <c r="AZ178" s="173"/>
      <c r="BA178" s="277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73"/>
      <c r="CC178" s="173"/>
      <c r="CD178" s="173"/>
      <c r="CE178" s="173"/>
      <c r="CF178" s="173"/>
      <c r="CG178" s="173"/>
      <c r="CH178" s="173"/>
      <c r="CI178" s="173"/>
      <c r="CJ178" s="173"/>
      <c r="CK178" s="173"/>
      <c r="CL178" s="173"/>
      <c r="CM178" s="173"/>
      <c r="CN178" s="173"/>
      <c r="CO178" s="173"/>
      <c r="CP178" s="173"/>
      <c r="CQ178" s="173"/>
      <c r="CR178" s="151"/>
      <c r="CS178" s="173"/>
      <c r="CT178" s="173"/>
      <c r="CU178" s="173"/>
      <c r="CV178" s="173"/>
      <c r="CW178" s="173"/>
      <c r="CX178" s="173"/>
      <c r="CY178" s="173"/>
      <c r="CZ178" s="173"/>
    </row>
    <row r="179" spans="1:104" s="150" customFormat="1">
      <c r="A179" s="232">
        <v>176</v>
      </c>
      <c r="B179" s="173"/>
      <c r="C179" s="173"/>
      <c r="D179" s="233"/>
      <c r="E179" s="228"/>
      <c r="F179" s="234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/>
      <c r="AU179" s="173"/>
      <c r="AV179" s="173"/>
      <c r="AW179" s="173"/>
      <c r="AX179" s="173"/>
      <c r="AY179" s="173"/>
      <c r="AZ179" s="173"/>
      <c r="BA179" s="277"/>
      <c r="BB179" s="173"/>
      <c r="BC179" s="173"/>
      <c r="BD179" s="173"/>
      <c r="BE179" s="173"/>
      <c r="BF179" s="173"/>
      <c r="BG179" s="173"/>
      <c r="BH179" s="173"/>
      <c r="BI179" s="173"/>
      <c r="BJ179" s="173"/>
      <c r="BK179" s="173"/>
      <c r="BL179" s="173"/>
      <c r="BM179" s="173"/>
      <c r="BN179" s="173"/>
      <c r="BO179" s="173"/>
      <c r="BP179" s="173"/>
      <c r="BQ179" s="173"/>
      <c r="BR179" s="173"/>
      <c r="BS179" s="173"/>
      <c r="BT179" s="173"/>
      <c r="BU179" s="173"/>
      <c r="BV179" s="173"/>
      <c r="BW179" s="173"/>
      <c r="BX179" s="173"/>
      <c r="BY179" s="173"/>
      <c r="BZ179" s="173"/>
      <c r="CA179" s="173"/>
      <c r="CB179" s="173"/>
      <c r="CC179" s="173"/>
      <c r="CD179" s="173"/>
      <c r="CE179" s="173"/>
      <c r="CF179" s="173"/>
      <c r="CG179" s="173"/>
      <c r="CH179" s="173"/>
      <c r="CI179" s="173"/>
      <c r="CJ179" s="173"/>
      <c r="CK179" s="173"/>
      <c r="CL179" s="173"/>
      <c r="CM179" s="173"/>
      <c r="CN179" s="173"/>
      <c r="CO179" s="173"/>
      <c r="CP179" s="173"/>
      <c r="CQ179" s="173"/>
      <c r="CR179" s="151"/>
      <c r="CS179" s="173"/>
      <c r="CT179" s="173"/>
      <c r="CU179" s="173"/>
      <c r="CV179" s="173"/>
      <c r="CW179" s="173"/>
      <c r="CX179" s="173"/>
      <c r="CY179" s="173"/>
      <c r="CZ179" s="173"/>
    </row>
    <row r="180" spans="1:104" s="150" customFormat="1">
      <c r="A180" s="232">
        <v>177</v>
      </c>
      <c r="B180" s="173"/>
      <c r="C180" s="173"/>
      <c r="D180" s="233"/>
      <c r="E180" s="228"/>
      <c r="F180" s="234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/>
      <c r="AU180" s="173"/>
      <c r="AV180" s="173"/>
      <c r="AW180" s="173"/>
      <c r="AX180" s="173"/>
      <c r="AY180" s="173"/>
      <c r="AZ180" s="173"/>
      <c r="BA180" s="277"/>
      <c r="BB180" s="173"/>
      <c r="BC180" s="173"/>
      <c r="BD180" s="173"/>
      <c r="BE180" s="173"/>
      <c r="BF180" s="173"/>
      <c r="BG180" s="173"/>
      <c r="BH180" s="173"/>
      <c r="BI180" s="173"/>
      <c r="BJ180" s="173"/>
      <c r="BK180" s="173"/>
      <c r="BL180" s="173"/>
      <c r="BM180" s="173"/>
      <c r="BN180" s="173"/>
      <c r="BO180" s="173"/>
      <c r="BP180" s="173"/>
      <c r="BQ180" s="173"/>
      <c r="BR180" s="173"/>
      <c r="BS180" s="173"/>
      <c r="BT180" s="173"/>
      <c r="BU180" s="173"/>
      <c r="BV180" s="173"/>
      <c r="BW180" s="173"/>
      <c r="BX180" s="173"/>
      <c r="BY180" s="173"/>
      <c r="BZ180" s="173"/>
      <c r="CA180" s="173"/>
      <c r="CB180" s="173"/>
      <c r="CC180" s="173"/>
      <c r="CD180" s="173"/>
      <c r="CE180" s="173"/>
      <c r="CF180" s="173"/>
      <c r="CG180" s="173"/>
      <c r="CH180" s="173"/>
      <c r="CI180" s="173"/>
      <c r="CJ180" s="173"/>
      <c r="CK180" s="173"/>
      <c r="CL180" s="173"/>
      <c r="CM180" s="173"/>
      <c r="CN180" s="173"/>
      <c r="CO180" s="173"/>
      <c r="CP180" s="173"/>
      <c r="CQ180" s="173"/>
      <c r="CR180" s="151"/>
      <c r="CS180" s="173"/>
      <c r="CT180" s="173"/>
      <c r="CU180" s="173"/>
      <c r="CV180" s="173"/>
      <c r="CW180" s="173"/>
      <c r="CX180" s="173"/>
      <c r="CY180" s="173"/>
      <c r="CZ180" s="173"/>
    </row>
    <row r="181" spans="1:104" s="150" customFormat="1">
      <c r="A181" s="232">
        <v>178</v>
      </c>
      <c r="B181" s="173"/>
      <c r="C181" s="173"/>
      <c r="D181" s="233"/>
      <c r="E181" s="228"/>
      <c r="F181" s="234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/>
      <c r="AU181" s="173"/>
      <c r="AV181" s="173"/>
      <c r="AW181" s="173"/>
      <c r="AX181" s="173"/>
      <c r="AY181" s="173"/>
      <c r="AZ181" s="173"/>
      <c r="BA181" s="277"/>
      <c r="BB181" s="173"/>
      <c r="BC181" s="173"/>
      <c r="BD181" s="173"/>
      <c r="BE181" s="173"/>
      <c r="BF181" s="173"/>
      <c r="BG181" s="173"/>
      <c r="BH181" s="173"/>
      <c r="BI181" s="173"/>
      <c r="BJ181" s="173"/>
      <c r="BK181" s="173"/>
      <c r="BL181" s="173"/>
      <c r="BM181" s="173"/>
      <c r="BN181" s="173"/>
      <c r="BO181" s="173"/>
      <c r="BP181" s="173"/>
      <c r="BQ181" s="173"/>
      <c r="BR181" s="173"/>
      <c r="BS181" s="173"/>
      <c r="BT181" s="173"/>
      <c r="BU181" s="173"/>
      <c r="BV181" s="173"/>
      <c r="BW181" s="173"/>
      <c r="BX181" s="173"/>
      <c r="BY181" s="173"/>
      <c r="BZ181" s="173"/>
      <c r="CA181" s="173"/>
      <c r="CB181" s="173"/>
      <c r="CC181" s="173"/>
      <c r="CD181" s="173"/>
      <c r="CE181" s="173"/>
      <c r="CF181" s="173"/>
      <c r="CG181" s="173"/>
      <c r="CH181" s="173"/>
      <c r="CI181" s="173"/>
      <c r="CJ181" s="173"/>
      <c r="CK181" s="173"/>
      <c r="CL181" s="173"/>
      <c r="CM181" s="173"/>
      <c r="CN181" s="173"/>
      <c r="CO181" s="173"/>
      <c r="CP181" s="173"/>
      <c r="CQ181" s="173"/>
      <c r="CR181" s="151"/>
      <c r="CS181" s="173"/>
      <c r="CT181" s="173"/>
      <c r="CU181" s="173"/>
      <c r="CV181" s="173"/>
      <c r="CW181" s="173"/>
      <c r="CX181" s="173"/>
      <c r="CY181" s="173"/>
      <c r="CZ181" s="173"/>
    </row>
    <row r="182" spans="1:104" s="150" customFormat="1">
      <c r="A182" s="232"/>
      <c r="B182" s="173"/>
      <c r="C182" s="173"/>
      <c r="D182" s="233"/>
      <c r="E182" s="228"/>
      <c r="F182" s="234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3"/>
      <c r="AT182" s="173"/>
      <c r="AU182" s="173"/>
      <c r="AV182" s="173"/>
      <c r="AW182" s="173"/>
      <c r="AX182" s="173"/>
      <c r="AY182" s="173"/>
      <c r="AZ182" s="173"/>
      <c r="BA182" s="277"/>
      <c r="BB182" s="173"/>
      <c r="BC182" s="173"/>
      <c r="BD182" s="173"/>
      <c r="BE182" s="173"/>
      <c r="BF182" s="173"/>
      <c r="BG182" s="173"/>
      <c r="BH182" s="173"/>
      <c r="BI182" s="173"/>
      <c r="BJ182" s="173"/>
      <c r="BK182" s="173"/>
      <c r="BL182" s="173"/>
      <c r="BM182" s="173"/>
      <c r="BN182" s="173"/>
      <c r="BO182" s="173"/>
      <c r="BP182" s="173"/>
      <c r="BQ182" s="173"/>
      <c r="BR182" s="173"/>
      <c r="BS182" s="173"/>
      <c r="BT182" s="173"/>
      <c r="BU182" s="173"/>
      <c r="BV182" s="173"/>
      <c r="BW182" s="173"/>
      <c r="BX182" s="173"/>
      <c r="BY182" s="173"/>
      <c r="BZ182" s="173"/>
      <c r="CA182" s="173"/>
      <c r="CB182" s="173"/>
      <c r="CC182" s="173"/>
      <c r="CD182" s="173"/>
      <c r="CE182" s="173"/>
      <c r="CF182" s="173"/>
      <c r="CG182" s="173"/>
      <c r="CH182" s="173"/>
      <c r="CI182" s="173"/>
      <c r="CJ182" s="173"/>
      <c r="CK182" s="173"/>
      <c r="CL182" s="173"/>
      <c r="CM182" s="173"/>
      <c r="CN182" s="173"/>
      <c r="CO182" s="173"/>
      <c r="CP182" s="173"/>
      <c r="CQ182" s="173"/>
      <c r="CR182" s="151"/>
      <c r="CS182" s="173"/>
      <c r="CT182" s="173"/>
      <c r="CU182" s="173"/>
      <c r="CV182" s="173"/>
      <c r="CW182" s="173"/>
      <c r="CX182" s="173"/>
      <c r="CY182" s="173"/>
      <c r="CZ182" s="173"/>
    </row>
    <row r="183" spans="1:104" s="150" customFormat="1">
      <c r="A183" s="232"/>
      <c r="B183" s="173"/>
      <c r="C183" s="173"/>
      <c r="D183" s="233"/>
      <c r="E183" s="228"/>
      <c r="F183" s="234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3"/>
      <c r="AT183" s="173"/>
      <c r="AU183" s="173"/>
      <c r="AV183" s="173"/>
      <c r="AW183" s="173"/>
      <c r="AX183" s="173"/>
      <c r="AY183" s="173"/>
      <c r="AZ183" s="173"/>
      <c r="BA183" s="277"/>
      <c r="BB183" s="173"/>
      <c r="BC183" s="173"/>
      <c r="BD183" s="173"/>
      <c r="BE183" s="173"/>
      <c r="BF183" s="173"/>
      <c r="BG183" s="173"/>
      <c r="BH183" s="173"/>
      <c r="BI183" s="173"/>
      <c r="BJ183" s="173"/>
      <c r="BK183" s="173"/>
      <c r="BL183" s="173"/>
      <c r="BM183" s="173"/>
      <c r="BN183" s="173"/>
      <c r="BO183" s="173"/>
      <c r="BP183" s="173"/>
      <c r="BQ183" s="173"/>
      <c r="BR183" s="173"/>
      <c r="BS183" s="173"/>
      <c r="BT183" s="173"/>
      <c r="BU183" s="173"/>
      <c r="BV183" s="173"/>
      <c r="BW183" s="173"/>
      <c r="BX183" s="173"/>
      <c r="BY183" s="173"/>
      <c r="BZ183" s="173"/>
      <c r="CA183" s="173"/>
      <c r="CB183" s="173"/>
      <c r="CC183" s="173"/>
      <c r="CD183" s="173"/>
      <c r="CE183" s="173"/>
      <c r="CF183" s="173"/>
      <c r="CG183" s="173"/>
      <c r="CH183" s="173"/>
      <c r="CI183" s="173"/>
      <c r="CJ183" s="173"/>
      <c r="CK183" s="173"/>
      <c r="CL183" s="173"/>
      <c r="CM183" s="173"/>
      <c r="CN183" s="173"/>
      <c r="CO183" s="173"/>
      <c r="CP183" s="173"/>
      <c r="CQ183" s="173"/>
      <c r="CR183" s="151"/>
      <c r="CS183" s="173"/>
      <c r="CT183" s="173"/>
      <c r="CU183" s="173"/>
      <c r="CV183" s="173"/>
      <c r="CW183" s="173"/>
      <c r="CX183" s="173"/>
      <c r="CY183" s="173"/>
      <c r="CZ183" s="173"/>
    </row>
    <row r="184" spans="1:104" s="150" customFormat="1">
      <c r="A184" s="232"/>
      <c r="B184" s="173"/>
      <c r="C184" s="173"/>
      <c r="D184" s="233"/>
      <c r="E184" s="228"/>
      <c r="F184" s="234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3"/>
      <c r="AT184" s="173"/>
      <c r="AU184" s="173"/>
      <c r="AV184" s="173"/>
      <c r="AW184" s="173"/>
      <c r="AX184" s="173"/>
      <c r="AY184" s="173"/>
      <c r="AZ184" s="173"/>
      <c r="BA184" s="277"/>
      <c r="BB184" s="173"/>
      <c r="BC184" s="173"/>
      <c r="BD184" s="173"/>
      <c r="BE184" s="173"/>
      <c r="BF184" s="173"/>
      <c r="BG184" s="173"/>
      <c r="BH184" s="173"/>
      <c r="BI184" s="173"/>
      <c r="BJ184" s="173"/>
      <c r="BK184" s="173"/>
      <c r="BL184" s="173"/>
      <c r="BM184" s="173"/>
      <c r="BN184" s="173"/>
      <c r="BO184" s="173"/>
      <c r="BP184" s="173"/>
      <c r="BQ184" s="173"/>
      <c r="BR184" s="173"/>
      <c r="BS184" s="173"/>
      <c r="BT184" s="173"/>
      <c r="BU184" s="173"/>
      <c r="BV184" s="173"/>
      <c r="BW184" s="173"/>
      <c r="BX184" s="173"/>
      <c r="BY184" s="173"/>
      <c r="BZ184" s="173"/>
      <c r="CA184" s="173"/>
      <c r="CB184" s="173"/>
      <c r="CC184" s="173"/>
      <c r="CD184" s="173"/>
      <c r="CE184" s="173"/>
      <c r="CF184" s="173"/>
      <c r="CG184" s="173"/>
      <c r="CH184" s="173"/>
      <c r="CI184" s="173"/>
      <c r="CJ184" s="173"/>
      <c r="CK184" s="173"/>
      <c r="CL184" s="173"/>
      <c r="CM184" s="173"/>
      <c r="CN184" s="173"/>
      <c r="CO184" s="173"/>
      <c r="CP184" s="173"/>
      <c r="CQ184" s="173"/>
      <c r="CR184" s="151"/>
      <c r="CS184" s="173"/>
      <c r="CT184" s="173"/>
      <c r="CU184" s="173"/>
      <c r="CV184" s="173"/>
      <c r="CW184" s="173"/>
      <c r="CX184" s="173"/>
      <c r="CY184" s="173"/>
      <c r="CZ184" s="173"/>
    </row>
    <row r="185" spans="1:104" s="150" customFormat="1">
      <c r="A185" s="232"/>
      <c r="B185" s="173"/>
      <c r="C185" s="173"/>
      <c r="D185" s="233"/>
      <c r="E185" s="228"/>
      <c r="F185" s="234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3"/>
      <c r="AT185" s="173"/>
      <c r="AU185" s="173"/>
      <c r="AV185" s="173"/>
      <c r="AW185" s="173"/>
      <c r="AX185" s="173"/>
      <c r="AY185" s="173"/>
      <c r="AZ185" s="173"/>
      <c r="BA185" s="277"/>
      <c r="BB185" s="173"/>
      <c r="BC185" s="173"/>
      <c r="BD185" s="173"/>
      <c r="BE185" s="173"/>
      <c r="BF185" s="173"/>
      <c r="BG185" s="173"/>
      <c r="BH185" s="173"/>
      <c r="BI185" s="173"/>
      <c r="BJ185" s="173"/>
      <c r="BK185" s="173"/>
      <c r="BL185" s="173"/>
      <c r="BM185" s="173"/>
      <c r="BN185" s="173"/>
      <c r="BO185" s="173"/>
      <c r="BP185" s="173"/>
      <c r="BQ185" s="173"/>
      <c r="BR185" s="173"/>
      <c r="BS185" s="173"/>
      <c r="BT185" s="173"/>
      <c r="BU185" s="173"/>
      <c r="BV185" s="173"/>
      <c r="BW185" s="173"/>
      <c r="BX185" s="173"/>
      <c r="BY185" s="173"/>
      <c r="BZ185" s="173"/>
      <c r="CA185" s="173"/>
      <c r="CB185" s="173"/>
      <c r="CC185" s="173"/>
      <c r="CD185" s="173"/>
      <c r="CE185" s="173"/>
      <c r="CF185" s="173"/>
      <c r="CG185" s="173"/>
      <c r="CH185" s="173"/>
      <c r="CI185" s="173"/>
      <c r="CJ185" s="173"/>
      <c r="CK185" s="173"/>
      <c r="CL185" s="173"/>
      <c r="CM185" s="173"/>
      <c r="CN185" s="173"/>
      <c r="CO185" s="173"/>
      <c r="CP185" s="173"/>
      <c r="CQ185" s="173"/>
      <c r="CR185" s="151"/>
      <c r="CS185" s="173"/>
      <c r="CT185" s="173"/>
      <c r="CU185" s="173"/>
      <c r="CV185" s="173"/>
      <c r="CW185" s="173"/>
      <c r="CX185" s="173"/>
      <c r="CY185" s="173"/>
      <c r="CZ185" s="173"/>
    </row>
    <row r="186" spans="1:104" s="150" customFormat="1">
      <c r="A186" s="232"/>
      <c r="B186" s="173"/>
      <c r="C186" s="173"/>
      <c r="D186" s="233"/>
      <c r="E186" s="228"/>
      <c r="F186" s="234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3"/>
      <c r="AT186" s="173"/>
      <c r="AU186" s="173"/>
      <c r="AV186" s="173"/>
      <c r="AW186" s="173"/>
      <c r="AX186" s="173"/>
      <c r="AY186" s="173"/>
      <c r="AZ186" s="173"/>
      <c r="BA186" s="277"/>
      <c r="BB186" s="173"/>
      <c r="BC186" s="173"/>
      <c r="BD186" s="173"/>
      <c r="BE186" s="173"/>
      <c r="BF186" s="173"/>
      <c r="BG186" s="173"/>
      <c r="BH186" s="173"/>
      <c r="BI186" s="173"/>
      <c r="BJ186" s="173"/>
      <c r="BK186" s="173"/>
      <c r="BL186" s="173"/>
      <c r="BM186" s="173"/>
      <c r="BN186" s="173"/>
      <c r="BO186" s="173"/>
      <c r="BP186" s="173"/>
      <c r="BQ186" s="173"/>
      <c r="BR186" s="173"/>
      <c r="BS186" s="173"/>
      <c r="BT186" s="173"/>
      <c r="BU186" s="173"/>
      <c r="BV186" s="173"/>
      <c r="BW186" s="173"/>
      <c r="BX186" s="173"/>
      <c r="BY186" s="173"/>
      <c r="BZ186" s="173"/>
      <c r="CA186" s="173"/>
      <c r="CB186" s="173"/>
      <c r="CC186" s="173"/>
      <c r="CD186" s="173"/>
      <c r="CE186" s="173"/>
      <c r="CF186" s="173"/>
      <c r="CG186" s="173"/>
      <c r="CH186" s="173"/>
      <c r="CI186" s="173"/>
      <c r="CJ186" s="173"/>
      <c r="CK186" s="173"/>
      <c r="CL186" s="173"/>
      <c r="CM186" s="173"/>
      <c r="CN186" s="173"/>
      <c r="CO186" s="173"/>
      <c r="CP186" s="173"/>
      <c r="CQ186" s="173"/>
      <c r="CR186" s="151"/>
      <c r="CS186" s="173"/>
      <c r="CT186" s="173"/>
      <c r="CU186" s="173"/>
      <c r="CV186" s="173"/>
      <c r="CW186" s="173"/>
      <c r="CX186" s="173"/>
      <c r="CY186" s="173"/>
      <c r="CZ186" s="173"/>
    </row>
    <row r="187" spans="1:104" s="150" customFormat="1">
      <c r="A187" s="232"/>
      <c r="B187" s="173"/>
      <c r="C187" s="173"/>
      <c r="D187" s="233"/>
      <c r="E187" s="228"/>
      <c r="F187" s="234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3"/>
      <c r="AW187" s="173"/>
      <c r="AX187" s="173"/>
      <c r="AY187" s="173"/>
      <c r="AZ187" s="173"/>
      <c r="BA187" s="277"/>
      <c r="BB187" s="173"/>
      <c r="BC187" s="173"/>
      <c r="BD187" s="173"/>
      <c r="BE187" s="173"/>
      <c r="BF187" s="173"/>
      <c r="BG187" s="173"/>
      <c r="BH187" s="173"/>
      <c r="BI187" s="173"/>
      <c r="BJ187" s="173"/>
      <c r="BK187" s="173"/>
      <c r="BL187" s="173"/>
      <c r="BM187" s="173"/>
      <c r="BN187" s="173"/>
      <c r="BO187" s="173"/>
      <c r="BP187" s="173"/>
      <c r="BQ187" s="173"/>
      <c r="BR187" s="173"/>
      <c r="BS187" s="173"/>
      <c r="BT187" s="173"/>
      <c r="BU187" s="173"/>
      <c r="BV187" s="173"/>
      <c r="BW187" s="173"/>
      <c r="BX187" s="173"/>
      <c r="BY187" s="173"/>
      <c r="BZ187" s="173"/>
      <c r="CA187" s="173"/>
      <c r="CB187" s="173"/>
      <c r="CC187" s="173"/>
      <c r="CD187" s="173"/>
      <c r="CE187" s="173"/>
      <c r="CF187" s="173"/>
      <c r="CG187" s="173"/>
      <c r="CH187" s="173"/>
      <c r="CI187" s="173"/>
      <c r="CJ187" s="173"/>
      <c r="CK187" s="173"/>
      <c r="CL187" s="173"/>
      <c r="CM187" s="173"/>
      <c r="CN187" s="173"/>
      <c r="CO187" s="173"/>
      <c r="CP187" s="173"/>
      <c r="CQ187" s="173"/>
      <c r="CR187" s="151"/>
      <c r="CS187" s="173"/>
      <c r="CT187" s="173"/>
      <c r="CU187" s="173"/>
      <c r="CV187" s="173"/>
      <c r="CW187" s="173"/>
      <c r="CX187" s="173"/>
      <c r="CY187" s="173"/>
      <c r="CZ187" s="173"/>
    </row>
    <row r="188" spans="1:104" s="150" customFormat="1">
      <c r="A188" s="232"/>
      <c r="B188" s="173"/>
      <c r="C188" s="173"/>
      <c r="D188" s="233"/>
      <c r="E188" s="228"/>
      <c r="F188" s="234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3"/>
      <c r="AT188" s="173"/>
      <c r="AU188" s="173"/>
      <c r="AV188" s="173"/>
      <c r="AW188" s="173"/>
      <c r="AX188" s="173"/>
      <c r="AY188" s="173"/>
      <c r="AZ188" s="173"/>
      <c r="BA188" s="277"/>
      <c r="BB188" s="173"/>
      <c r="BC188" s="173"/>
      <c r="BD188" s="173"/>
      <c r="BE188" s="173"/>
      <c r="BF188" s="173"/>
      <c r="BG188" s="173"/>
      <c r="BH188" s="173"/>
      <c r="BI188" s="173"/>
      <c r="BJ188" s="173"/>
      <c r="BK188" s="173"/>
      <c r="BL188" s="173"/>
      <c r="BM188" s="173"/>
      <c r="BN188" s="173"/>
      <c r="BO188" s="173"/>
      <c r="BP188" s="173"/>
      <c r="BQ188" s="173"/>
      <c r="BR188" s="173"/>
      <c r="BS188" s="173"/>
      <c r="BT188" s="173"/>
      <c r="BU188" s="173"/>
      <c r="BV188" s="173"/>
      <c r="BW188" s="173"/>
      <c r="BX188" s="173"/>
      <c r="BY188" s="173"/>
      <c r="BZ188" s="173"/>
      <c r="CA188" s="173"/>
      <c r="CB188" s="173"/>
      <c r="CC188" s="173"/>
      <c r="CD188" s="173"/>
      <c r="CE188" s="173"/>
      <c r="CF188" s="173"/>
      <c r="CG188" s="173"/>
      <c r="CH188" s="173"/>
      <c r="CI188" s="173"/>
      <c r="CJ188" s="173"/>
      <c r="CK188" s="173"/>
      <c r="CL188" s="173"/>
      <c r="CM188" s="173"/>
      <c r="CN188" s="173"/>
      <c r="CO188" s="173"/>
      <c r="CP188" s="173"/>
      <c r="CQ188" s="173"/>
      <c r="CR188" s="151"/>
      <c r="CS188" s="173"/>
      <c r="CT188" s="173"/>
      <c r="CU188" s="173"/>
      <c r="CV188" s="173"/>
      <c r="CW188" s="173"/>
      <c r="CX188" s="173"/>
      <c r="CY188" s="173"/>
      <c r="CZ188" s="173"/>
    </row>
    <row r="189" spans="1:104" s="150" customFormat="1">
      <c r="A189" s="232"/>
      <c r="B189" s="173"/>
      <c r="C189" s="173"/>
      <c r="D189" s="233"/>
      <c r="E189" s="228"/>
      <c r="F189" s="234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3"/>
      <c r="AT189" s="173"/>
      <c r="AU189" s="173"/>
      <c r="AV189" s="173"/>
      <c r="AW189" s="173"/>
      <c r="AX189" s="173"/>
      <c r="AY189" s="173"/>
      <c r="AZ189" s="173"/>
      <c r="BA189" s="277"/>
      <c r="BB189" s="173"/>
      <c r="BC189" s="173"/>
      <c r="BD189" s="173"/>
      <c r="BE189" s="173"/>
      <c r="BF189" s="173"/>
      <c r="BG189" s="173"/>
      <c r="BH189" s="173"/>
      <c r="BI189" s="173"/>
      <c r="BJ189" s="173"/>
      <c r="BK189" s="173"/>
      <c r="BL189" s="173"/>
      <c r="BM189" s="173"/>
      <c r="BN189" s="173"/>
      <c r="BO189" s="173"/>
      <c r="BP189" s="173"/>
      <c r="BQ189" s="173"/>
      <c r="BR189" s="173"/>
      <c r="BS189" s="173"/>
      <c r="BT189" s="173"/>
      <c r="BU189" s="173"/>
      <c r="BV189" s="173"/>
      <c r="BW189" s="173"/>
      <c r="BX189" s="173"/>
      <c r="BY189" s="173"/>
      <c r="BZ189" s="173"/>
      <c r="CA189" s="173"/>
      <c r="CB189" s="173"/>
      <c r="CC189" s="173"/>
      <c r="CD189" s="173"/>
      <c r="CE189" s="173"/>
      <c r="CF189" s="173"/>
      <c r="CG189" s="173"/>
      <c r="CH189" s="173"/>
      <c r="CI189" s="173"/>
      <c r="CJ189" s="173"/>
      <c r="CK189" s="173"/>
      <c r="CL189" s="173"/>
      <c r="CM189" s="173"/>
      <c r="CN189" s="173"/>
      <c r="CO189" s="173"/>
      <c r="CP189" s="173"/>
      <c r="CQ189" s="173"/>
      <c r="CR189" s="151"/>
      <c r="CS189" s="173"/>
      <c r="CT189" s="173"/>
      <c r="CU189" s="173"/>
      <c r="CV189" s="173"/>
      <c r="CW189" s="173"/>
      <c r="CX189" s="173"/>
      <c r="CY189" s="173"/>
      <c r="CZ189" s="173"/>
    </row>
    <row r="190" spans="1:104" s="150" customFormat="1">
      <c r="A190" s="232"/>
      <c r="B190" s="173"/>
      <c r="C190" s="173"/>
      <c r="D190" s="233"/>
      <c r="E190" s="228"/>
      <c r="F190" s="234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  <c r="AU190" s="173"/>
      <c r="AV190" s="173"/>
      <c r="AW190" s="173"/>
      <c r="AX190" s="173"/>
      <c r="AY190" s="173"/>
      <c r="AZ190" s="173"/>
      <c r="BA190" s="277"/>
      <c r="BB190" s="173"/>
      <c r="BC190" s="173"/>
      <c r="BD190" s="173"/>
      <c r="BE190" s="173"/>
      <c r="BF190" s="173"/>
      <c r="BG190" s="173"/>
      <c r="BH190" s="173"/>
      <c r="BI190" s="173"/>
      <c r="BJ190" s="173"/>
      <c r="BK190" s="173"/>
      <c r="BL190" s="173"/>
      <c r="BM190" s="173"/>
      <c r="BN190" s="173"/>
      <c r="BO190" s="173"/>
      <c r="BP190" s="173"/>
      <c r="BQ190" s="173"/>
      <c r="BR190" s="173"/>
      <c r="BS190" s="173"/>
      <c r="BT190" s="173"/>
      <c r="BU190" s="173"/>
      <c r="BV190" s="173"/>
      <c r="BW190" s="173"/>
      <c r="BX190" s="173"/>
      <c r="BY190" s="173"/>
      <c r="BZ190" s="173"/>
      <c r="CA190" s="173"/>
      <c r="CB190" s="173"/>
      <c r="CC190" s="173"/>
      <c r="CD190" s="173"/>
      <c r="CE190" s="173"/>
      <c r="CF190" s="173"/>
      <c r="CG190" s="173"/>
      <c r="CH190" s="173"/>
      <c r="CI190" s="173"/>
      <c r="CJ190" s="173"/>
      <c r="CK190" s="173"/>
      <c r="CL190" s="173"/>
      <c r="CM190" s="173"/>
      <c r="CN190" s="173"/>
      <c r="CO190" s="173"/>
      <c r="CP190" s="173"/>
      <c r="CQ190" s="173"/>
      <c r="CR190" s="151"/>
      <c r="CS190" s="173"/>
      <c r="CT190" s="173"/>
      <c r="CU190" s="173"/>
      <c r="CV190" s="173"/>
      <c r="CW190" s="173"/>
      <c r="CX190" s="173"/>
      <c r="CY190" s="173"/>
      <c r="CZ190" s="173"/>
    </row>
    <row r="191" spans="1:104" s="150" customFormat="1">
      <c r="A191" s="232"/>
      <c r="B191" s="173"/>
      <c r="C191" s="173"/>
      <c r="D191" s="233"/>
      <c r="E191" s="228"/>
      <c r="F191" s="234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  <c r="AU191" s="173"/>
      <c r="AV191" s="173"/>
      <c r="AW191" s="173"/>
      <c r="AX191" s="173"/>
      <c r="AY191" s="173"/>
      <c r="AZ191" s="173"/>
      <c r="BA191" s="277"/>
      <c r="BB191" s="173"/>
      <c r="BC191" s="173"/>
      <c r="BD191" s="173"/>
      <c r="BE191" s="173"/>
      <c r="BF191" s="173"/>
      <c r="BG191" s="173"/>
      <c r="BH191" s="173"/>
      <c r="BI191" s="173"/>
      <c r="BJ191" s="173"/>
      <c r="BK191" s="173"/>
      <c r="BL191" s="173"/>
      <c r="BM191" s="173"/>
      <c r="BN191" s="173"/>
      <c r="BO191" s="173"/>
      <c r="BP191" s="173"/>
      <c r="BQ191" s="173"/>
      <c r="BR191" s="173"/>
      <c r="BS191" s="173"/>
      <c r="BT191" s="173"/>
      <c r="BU191" s="173"/>
      <c r="BV191" s="173"/>
      <c r="BW191" s="173"/>
      <c r="BX191" s="173"/>
      <c r="BY191" s="173"/>
      <c r="BZ191" s="173"/>
      <c r="CA191" s="173"/>
      <c r="CB191" s="173"/>
      <c r="CC191" s="173"/>
      <c r="CD191" s="173"/>
      <c r="CE191" s="173"/>
      <c r="CF191" s="173"/>
      <c r="CG191" s="173"/>
      <c r="CH191" s="173"/>
      <c r="CI191" s="173"/>
      <c r="CJ191" s="173"/>
      <c r="CK191" s="173"/>
      <c r="CL191" s="173"/>
      <c r="CM191" s="173"/>
      <c r="CN191" s="173"/>
      <c r="CO191" s="173"/>
      <c r="CP191" s="173"/>
      <c r="CQ191" s="173"/>
      <c r="CR191" s="151"/>
      <c r="CS191" s="173"/>
      <c r="CT191" s="173"/>
      <c r="CU191" s="173"/>
      <c r="CV191" s="173"/>
      <c r="CW191" s="173"/>
      <c r="CX191" s="173"/>
      <c r="CY191" s="173"/>
      <c r="CZ191" s="173"/>
    </row>
    <row r="192" spans="1:104" s="150" customFormat="1">
      <c r="A192" s="232"/>
      <c r="B192" s="173"/>
      <c r="C192" s="173"/>
      <c r="D192" s="233"/>
      <c r="E192" s="228"/>
      <c r="F192" s="234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3"/>
      <c r="AT192" s="173"/>
      <c r="AU192" s="173"/>
      <c r="AV192" s="173"/>
      <c r="AW192" s="173"/>
      <c r="AX192" s="173"/>
      <c r="AY192" s="173"/>
      <c r="AZ192" s="173"/>
      <c r="BA192" s="277"/>
      <c r="BB192" s="173"/>
      <c r="BC192" s="173"/>
      <c r="BD192" s="173"/>
      <c r="BE192" s="173"/>
      <c r="BF192" s="173"/>
      <c r="BG192" s="173"/>
      <c r="BH192" s="173"/>
      <c r="BI192" s="173"/>
      <c r="BJ192" s="173"/>
      <c r="BK192" s="173"/>
      <c r="BL192" s="173"/>
      <c r="BM192" s="173"/>
      <c r="BN192" s="173"/>
      <c r="BO192" s="173"/>
      <c r="BP192" s="173"/>
      <c r="BQ192" s="173"/>
      <c r="BR192" s="173"/>
      <c r="BS192" s="173"/>
      <c r="BT192" s="173"/>
      <c r="BU192" s="173"/>
      <c r="BV192" s="173"/>
      <c r="BW192" s="173"/>
      <c r="BX192" s="173"/>
      <c r="BY192" s="173"/>
      <c r="BZ192" s="173"/>
      <c r="CA192" s="173"/>
      <c r="CB192" s="173"/>
      <c r="CC192" s="173"/>
      <c r="CD192" s="173"/>
      <c r="CE192" s="173"/>
      <c r="CF192" s="173"/>
      <c r="CG192" s="173"/>
      <c r="CH192" s="173"/>
      <c r="CI192" s="173"/>
      <c r="CJ192" s="173"/>
      <c r="CK192" s="173"/>
      <c r="CL192" s="173"/>
      <c r="CM192" s="173"/>
      <c r="CN192" s="173"/>
      <c r="CO192" s="173"/>
      <c r="CP192" s="173"/>
      <c r="CQ192" s="173"/>
      <c r="CR192" s="151"/>
      <c r="CS192" s="173"/>
      <c r="CT192" s="173"/>
      <c r="CU192" s="173"/>
      <c r="CV192" s="173"/>
      <c r="CW192" s="173"/>
      <c r="CX192" s="173"/>
      <c r="CY192" s="173"/>
      <c r="CZ192" s="173"/>
    </row>
    <row r="193" spans="1:107" s="150" customFormat="1">
      <c r="A193" s="232"/>
      <c r="B193" s="173"/>
      <c r="C193" s="173"/>
      <c r="D193" s="233"/>
      <c r="E193" s="228"/>
      <c r="F193" s="234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3"/>
      <c r="AT193" s="173"/>
      <c r="AU193" s="173"/>
      <c r="AV193" s="173"/>
      <c r="AW193" s="173"/>
      <c r="AX193" s="173"/>
      <c r="AY193" s="173"/>
      <c r="AZ193" s="173"/>
      <c r="BA193" s="277"/>
      <c r="BB193" s="173"/>
      <c r="BC193" s="173"/>
      <c r="BD193" s="173"/>
      <c r="BE193" s="173"/>
      <c r="BF193" s="173"/>
      <c r="BG193" s="173"/>
      <c r="BH193" s="173"/>
      <c r="BI193" s="173"/>
      <c r="BJ193" s="173"/>
      <c r="BK193" s="173"/>
      <c r="BL193" s="173"/>
      <c r="BM193" s="173"/>
      <c r="BN193" s="173"/>
      <c r="BO193" s="173"/>
      <c r="BP193" s="173"/>
      <c r="BQ193" s="173"/>
      <c r="BR193" s="173"/>
      <c r="BS193" s="173"/>
      <c r="BT193" s="173"/>
      <c r="BU193" s="173"/>
      <c r="BV193" s="173"/>
      <c r="BW193" s="173"/>
      <c r="BX193" s="173"/>
      <c r="BY193" s="173"/>
      <c r="BZ193" s="173"/>
      <c r="CA193" s="173"/>
      <c r="CB193" s="173"/>
      <c r="CC193" s="173"/>
      <c r="CD193" s="173"/>
      <c r="CE193" s="173"/>
      <c r="CF193" s="173"/>
      <c r="CG193" s="173"/>
      <c r="CH193" s="173"/>
      <c r="CI193" s="173"/>
      <c r="CJ193" s="173"/>
      <c r="CK193" s="173"/>
      <c r="CL193" s="173"/>
      <c r="CM193" s="173"/>
      <c r="CN193" s="173"/>
      <c r="CO193" s="173"/>
      <c r="CP193" s="173"/>
      <c r="CQ193" s="173"/>
      <c r="CR193" s="151"/>
      <c r="CS193" s="173"/>
      <c r="CT193" s="173"/>
      <c r="CU193" s="173"/>
      <c r="CV193" s="173"/>
      <c r="CW193" s="173"/>
      <c r="CX193" s="173"/>
      <c r="CY193" s="173"/>
      <c r="CZ193" s="173"/>
    </row>
    <row r="194" spans="1:107" s="150" customFormat="1">
      <c r="A194" s="232"/>
      <c r="B194" s="173"/>
      <c r="C194" s="173"/>
      <c r="D194" s="233"/>
      <c r="E194" s="228"/>
      <c r="F194" s="234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277"/>
      <c r="BB194" s="173"/>
      <c r="BC194" s="173"/>
      <c r="BD194" s="173"/>
      <c r="BE194" s="173"/>
      <c r="BF194" s="173"/>
      <c r="BG194" s="173"/>
      <c r="BH194" s="173"/>
      <c r="BI194" s="173"/>
      <c r="BJ194" s="173"/>
      <c r="BK194" s="173"/>
      <c r="BL194" s="173"/>
      <c r="BM194" s="173"/>
      <c r="BN194" s="173"/>
      <c r="BO194" s="173"/>
      <c r="BP194" s="173"/>
      <c r="BQ194" s="173"/>
      <c r="BR194" s="173"/>
      <c r="BS194" s="173"/>
      <c r="BT194" s="173"/>
      <c r="BU194" s="173"/>
      <c r="BV194" s="173"/>
      <c r="BW194" s="173"/>
      <c r="BX194" s="173"/>
      <c r="BY194" s="173"/>
      <c r="BZ194" s="173"/>
      <c r="CA194" s="173"/>
      <c r="CB194" s="173"/>
      <c r="CC194" s="173"/>
      <c r="CD194" s="173"/>
      <c r="CE194" s="173"/>
      <c r="CF194" s="173"/>
      <c r="CG194" s="173"/>
      <c r="CH194" s="173"/>
      <c r="CI194" s="173"/>
      <c r="CJ194" s="173"/>
      <c r="CK194" s="173"/>
      <c r="CL194" s="173"/>
      <c r="CM194" s="173"/>
      <c r="CN194" s="173"/>
      <c r="CO194" s="173"/>
      <c r="CP194" s="173"/>
      <c r="CQ194" s="173"/>
      <c r="CR194" s="151"/>
      <c r="CS194" s="173"/>
      <c r="CT194" s="173"/>
      <c r="CU194" s="173"/>
      <c r="CV194" s="173"/>
      <c r="CW194" s="173"/>
      <c r="CX194" s="173"/>
      <c r="CY194" s="173"/>
      <c r="CZ194" s="173"/>
    </row>
    <row r="195" spans="1:107" s="150" customFormat="1">
      <c r="A195" s="232"/>
      <c r="B195" s="173"/>
      <c r="C195" s="173"/>
      <c r="D195" s="233"/>
      <c r="E195" s="228"/>
      <c r="F195" s="234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3"/>
      <c r="AT195" s="173"/>
      <c r="AU195" s="173"/>
      <c r="AV195" s="173"/>
      <c r="AW195" s="173"/>
      <c r="AX195" s="173"/>
      <c r="AY195" s="173"/>
      <c r="AZ195" s="173"/>
      <c r="BA195" s="277"/>
      <c r="BB195" s="173"/>
      <c r="BC195" s="173"/>
      <c r="BD195" s="173"/>
      <c r="BE195" s="173"/>
      <c r="BF195" s="173"/>
      <c r="BG195" s="173"/>
      <c r="BH195" s="173"/>
      <c r="BI195" s="173"/>
      <c r="BJ195" s="173"/>
      <c r="BK195" s="173"/>
      <c r="BL195" s="173"/>
      <c r="BM195" s="173"/>
      <c r="BN195" s="173"/>
      <c r="BO195" s="173"/>
      <c r="BP195" s="173"/>
      <c r="BQ195" s="173"/>
      <c r="BR195" s="173"/>
      <c r="BS195" s="173"/>
      <c r="BT195" s="173"/>
      <c r="BU195" s="173"/>
      <c r="BV195" s="173"/>
      <c r="BW195" s="173"/>
      <c r="BX195" s="173"/>
      <c r="BY195" s="173"/>
      <c r="BZ195" s="173"/>
      <c r="CA195" s="173"/>
      <c r="CB195" s="173"/>
      <c r="CC195" s="173"/>
      <c r="CD195" s="173"/>
      <c r="CE195" s="173"/>
      <c r="CF195" s="173"/>
      <c r="CG195" s="173"/>
      <c r="CH195" s="173"/>
      <c r="CI195" s="173"/>
      <c r="CJ195" s="173"/>
      <c r="CK195" s="173"/>
      <c r="CL195" s="173"/>
      <c r="CM195" s="173"/>
      <c r="CN195" s="173"/>
      <c r="CO195" s="173"/>
      <c r="CP195" s="173"/>
      <c r="CQ195" s="173"/>
      <c r="CR195" s="151"/>
      <c r="CS195" s="173"/>
      <c r="CT195" s="173"/>
      <c r="CU195" s="173"/>
      <c r="CV195" s="173"/>
      <c r="CW195" s="173"/>
      <c r="CX195" s="173"/>
      <c r="CY195" s="173"/>
      <c r="CZ195" s="173"/>
    </row>
    <row r="196" spans="1:107" s="150" customFormat="1">
      <c r="A196" s="232"/>
      <c r="B196" s="173"/>
      <c r="C196" s="173"/>
      <c r="D196" s="233"/>
      <c r="E196" s="228"/>
      <c r="F196" s="234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3"/>
      <c r="AT196" s="173"/>
      <c r="AU196" s="173"/>
      <c r="AV196" s="173"/>
      <c r="AW196" s="173"/>
      <c r="AX196" s="173"/>
      <c r="AY196" s="173"/>
      <c r="AZ196" s="173"/>
      <c r="BA196" s="277"/>
      <c r="BB196" s="173"/>
      <c r="BC196" s="173"/>
      <c r="BD196" s="173"/>
      <c r="BE196" s="173"/>
      <c r="BF196" s="173"/>
      <c r="BG196" s="173"/>
      <c r="BH196" s="173"/>
      <c r="BI196" s="173"/>
      <c r="BJ196" s="173"/>
      <c r="BK196" s="173"/>
      <c r="BL196" s="173"/>
      <c r="BM196" s="173"/>
      <c r="BN196" s="173"/>
      <c r="BO196" s="173"/>
      <c r="BP196" s="173"/>
      <c r="BQ196" s="173"/>
      <c r="BR196" s="173"/>
      <c r="BS196" s="173"/>
      <c r="BT196" s="173"/>
      <c r="BU196" s="173"/>
      <c r="BV196" s="173"/>
      <c r="BW196" s="173"/>
      <c r="BX196" s="173"/>
      <c r="BY196" s="173"/>
      <c r="BZ196" s="173"/>
      <c r="CA196" s="173"/>
      <c r="CB196" s="173"/>
      <c r="CC196" s="173"/>
      <c r="CD196" s="173"/>
      <c r="CE196" s="173"/>
      <c r="CF196" s="173"/>
      <c r="CG196" s="173"/>
      <c r="CH196" s="173"/>
      <c r="CI196" s="173"/>
      <c r="CJ196" s="173"/>
      <c r="CK196" s="173"/>
      <c r="CL196" s="173"/>
      <c r="CM196" s="173"/>
      <c r="CN196" s="173"/>
      <c r="CO196" s="173"/>
      <c r="CP196" s="173"/>
      <c r="CQ196" s="173"/>
      <c r="CR196" s="151"/>
      <c r="CS196" s="173"/>
      <c r="CT196" s="173"/>
      <c r="CU196" s="173"/>
      <c r="CV196" s="173"/>
      <c r="CW196" s="173"/>
      <c r="CX196" s="173"/>
      <c r="CY196" s="173"/>
      <c r="CZ196" s="173"/>
    </row>
    <row r="197" spans="1:107" s="150" customFormat="1">
      <c r="A197" s="232"/>
      <c r="B197" s="173"/>
      <c r="C197" s="173"/>
      <c r="D197" s="233"/>
      <c r="E197" s="228"/>
      <c r="F197" s="234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3"/>
      <c r="AT197" s="173"/>
      <c r="AU197" s="173"/>
      <c r="AV197" s="173"/>
      <c r="AW197" s="173"/>
      <c r="AX197" s="173"/>
      <c r="AY197" s="173"/>
      <c r="AZ197" s="173"/>
      <c r="BA197" s="277"/>
      <c r="BB197" s="173"/>
      <c r="BC197" s="173"/>
      <c r="BD197" s="173"/>
      <c r="BE197" s="173"/>
      <c r="BF197" s="173"/>
      <c r="BG197" s="173"/>
      <c r="BH197" s="173"/>
      <c r="BI197" s="173"/>
      <c r="BJ197" s="173"/>
      <c r="BK197" s="173"/>
      <c r="BL197" s="173"/>
      <c r="BM197" s="173"/>
      <c r="BN197" s="173"/>
      <c r="BO197" s="173"/>
      <c r="BP197" s="173"/>
      <c r="BQ197" s="173"/>
      <c r="BR197" s="173"/>
      <c r="BS197" s="173"/>
      <c r="BT197" s="173"/>
      <c r="BU197" s="173"/>
      <c r="BV197" s="173"/>
      <c r="BW197" s="173"/>
      <c r="BX197" s="173"/>
      <c r="BY197" s="173"/>
      <c r="BZ197" s="173"/>
      <c r="CA197" s="173"/>
      <c r="CB197" s="173"/>
      <c r="CC197" s="173"/>
      <c r="CD197" s="173"/>
      <c r="CE197" s="173"/>
      <c r="CF197" s="173"/>
      <c r="CG197" s="173"/>
      <c r="CH197" s="173"/>
      <c r="CI197" s="173"/>
      <c r="CJ197" s="173"/>
      <c r="CK197" s="173"/>
      <c r="CL197" s="173"/>
      <c r="CM197" s="173"/>
      <c r="CN197" s="173"/>
      <c r="CO197" s="173"/>
      <c r="CP197" s="173"/>
      <c r="CQ197" s="173"/>
      <c r="CR197" s="151"/>
      <c r="CS197" s="173"/>
      <c r="CT197" s="173"/>
      <c r="CU197" s="173"/>
      <c r="CV197" s="173"/>
      <c r="CW197" s="173"/>
      <c r="CX197" s="173"/>
      <c r="CY197" s="173"/>
      <c r="CZ197" s="173"/>
    </row>
    <row r="198" spans="1:107" s="150" customFormat="1">
      <c r="A198" s="232"/>
      <c r="B198" s="173"/>
      <c r="C198" s="173"/>
      <c r="D198" s="233"/>
      <c r="E198" s="228"/>
      <c r="F198" s="234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3"/>
      <c r="AT198" s="173"/>
      <c r="AU198" s="173"/>
      <c r="AV198" s="173"/>
      <c r="AW198" s="173"/>
      <c r="AX198" s="173"/>
      <c r="AY198" s="173"/>
      <c r="AZ198" s="173"/>
      <c r="BA198" s="277"/>
      <c r="BB198" s="173"/>
      <c r="BC198" s="173"/>
      <c r="BD198" s="173"/>
      <c r="BE198" s="173"/>
      <c r="BF198" s="173"/>
      <c r="BG198" s="173"/>
      <c r="BH198" s="173"/>
      <c r="BI198" s="173"/>
      <c r="BJ198" s="173"/>
      <c r="BK198" s="173"/>
      <c r="BL198" s="173"/>
      <c r="BM198" s="173"/>
      <c r="BN198" s="173"/>
      <c r="BO198" s="173"/>
      <c r="BP198" s="173"/>
      <c r="BQ198" s="173"/>
      <c r="BR198" s="173"/>
      <c r="BS198" s="173"/>
      <c r="BT198" s="173"/>
      <c r="BU198" s="173"/>
      <c r="BV198" s="173"/>
      <c r="BW198" s="173"/>
      <c r="BX198" s="173"/>
      <c r="BY198" s="173"/>
      <c r="BZ198" s="173"/>
      <c r="CA198" s="173"/>
      <c r="CB198" s="173"/>
      <c r="CC198" s="173"/>
      <c r="CD198" s="173"/>
      <c r="CE198" s="173"/>
      <c r="CF198" s="173"/>
      <c r="CG198" s="173"/>
      <c r="CH198" s="173"/>
      <c r="CI198" s="173"/>
      <c r="CJ198" s="173"/>
      <c r="CK198" s="173"/>
      <c r="CL198" s="173"/>
      <c r="CM198" s="173"/>
      <c r="CN198" s="173"/>
      <c r="CO198" s="173"/>
      <c r="CP198" s="173"/>
      <c r="CQ198" s="173"/>
      <c r="CR198" s="151"/>
      <c r="CS198" s="173"/>
      <c r="CT198" s="173"/>
      <c r="CU198" s="173"/>
      <c r="CV198" s="173"/>
      <c r="CW198" s="173"/>
      <c r="CX198" s="173"/>
      <c r="CY198" s="173"/>
      <c r="CZ198" s="173"/>
    </row>
    <row r="199" spans="1:107" s="150" customFormat="1">
      <c r="A199" s="232"/>
      <c r="B199" s="173"/>
      <c r="C199" s="173"/>
      <c r="D199" s="233"/>
      <c r="E199" s="228"/>
      <c r="F199" s="234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  <c r="AY199" s="173"/>
      <c r="AZ199" s="173"/>
      <c r="BA199" s="277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  <c r="BN199" s="173"/>
      <c r="BO199" s="173"/>
      <c r="BP199" s="173"/>
      <c r="BQ199" s="173"/>
      <c r="BR199" s="173"/>
      <c r="BS199" s="173"/>
      <c r="BT199" s="173"/>
      <c r="BU199" s="173"/>
      <c r="BV199" s="173"/>
      <c r="BW199" s="173"/>
      <c r="BX199" s="173"/>
      <c r="BY199" s="173"/>
      <c r="BZ199" s="173"/>
      <c r="CA199" s="173"/>
      <c r="CB199" s="173"/>
      <c r="CC199" s="173"/>
      <c r="CD199" s="173"/>
      <c r="CE199" s="173"/>
      <c r="CF199" s="173"/>
      <c r="CG199" s="173"/>
      <c r="CH199" s="173"/>
      <c r="CI199" s="173"/>
      <c r="CJ199" s="173"/>
      <c r="CK199" s="173"/>
      <c r="CL199" s="173"/>
      <c r="CM199" s="173"/>
      <c r="CN199" s="173"/>
      <c r="CO199" s="173"/>
      <c r="CP199" s="173"/>
      <c r="CQ199" s="173"/>
      <c r="CR199" s="151"/>
      <c r="CS199" s="173"/>
      <c r="CT199" s="173"/>
      <c r="CU199" s="173"/>
      <c r="CV199" s="173"/>
      <c r="CW199" s="173"/>
      <c r="CX199" s="173"/>
      <c r="CY199" s="173"/>
      <c r="CZ199" s="173"/>
    </row>
    <row r="200" spans="1:107" s="150" customFormat="1">
      <c r="A200" s="232"/>
      <c r="B200" s="173"/>
      <c r="C200" s="173"/>
      <c r="D200" s="233"/>
      <c r="E200" s="228"/>
      <c r="F200" s="234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3"/>
      <c r="AT200" s="173"/>
      <c r="AU200" s="173"/>
      <c r="AV200" s="173"/>
      <c r="AW200" s="173"/>
      <c r="AX200" s="173"/>
      <c r="AY200" s="173"/>
      <c r="AZ200" s="173"/>
      <c r="BA200" s="277"/>
      <c r="BB200" s="173"/>
      <c r="BC200" s="173"/>
      <c r="BD200" s="173"/>
      <c r="BE200" s="173"/>
      <c r="BF200" s="173"/>
      <c r="BG200" s="173"/>
      <c r="BH200" s="173"/>
      <c r="BI200" s="173"/>
      <c r="BJ200" s="173"/>
      <c r="BK200" s="173"/>
      <c r="BL200" s="173"/>
      <c r="BM200" s="173"/>
      <c r="BN200" s="173"/>
      <c r="BO200" s="173"/>
      <c r="BP200" s="173"/>
      <c r="BQ200" s="173"/>
      <c r="BR200" s="173"/>
      <c r="BS200" s="173"/>
      <c r="BT200" s="173"/>
      <c r="BU200" s="173"/>
      <c r="BV200" s="173"/>
      <c r="BW200" s="173"/>
      <c r="BX200" s="173"/>
      <c r="BY200" s="173"/>
      <c r="BZ200" s="173"/>
      <c r="CA200" s="173"/>
      <c r="CB200" s="173"/>
      <c r="CC200" s="173"/>
      <c r="CD200" s="173"/>
      <c r="CE200" s="173"/>
      <c r="CF200" s="173"/>
      <c r="CG200" s="173"/>
      <c r="CH200" s="173"/>
      <c r="CI200" s="173"/>
      <c r="CJ200" s="173"/>
      <c r="CK200" s="173"/>
      <c r="CL200" s="173"/>
      <c r="CM200" s="173"/>
      <c r="CN200" s="173"/>
      <c r="CO200" s="173"/>
      <c r="CP200" s="173"/>
      <c r="CQ200" s="173"/>
      <c r="CR200" s="151"/>
      <c r="CS200" s="173"/>
      <c r="CT200" s="173"/>
      <c r="CU200" s="173"/>
      <c r="CV200" s="173"/>
      <c r="CW200" s="173"/>
      <c r="CX200" s="173"/>
      <c r="CY200" s="173"/>
      <c r="CZ200" s="173"/>
    </row>
    <row r="201" spans="1:107" s="150" customFormat="1">
      <c r="A201" s="232"/>
      <c r="B201" s="173"/>
      <c r="C201" s="173"/>
      <c r="D201" s="233"/>
      <c r="E201" s="228"/>
      <c r="F201" s="234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3"/>
      <c r="AT201" s="173"/>
      <c r="AU201" s="173"/>
      <c r="AV201" s="173"/>
      <c r="AW201" s="173"/>
      <c r="AX201" s="173"/>
      <c r="AY201" s="173"/>
      <c r="AZ201" s="173"/>
      <c r="BA201" s="277"/>
      <c r="BB201" s="173"/>
      <c r="BC201" s="173"/>
      <c r="BD201" s="173"/>
      <c r="BE201" s="173"/>
      <c r="BF201" s="173"/>
      <c r="BG201" s="173"/>
      <c r="BH201" s="173"/>
      <c r="BI201" s="173"/>
      <c r="BJ201" s="173"/>
      <c r="BK201" s="173"/>
      <c r="BL201" s="173"/>
      <c r="BM201" s="173"/>
      <c r="BN201" s="173"/>
      <c r="BO201" s="173"/>
      <c r="BP201" s="173"/>
      <c r="BQ201" s="173"/>
      <c r="BR201" s="173"/>
      <c r="BS201" s="173"/>
      <c r="BT201" s="173"/>
      <c r="BU201" s="173"/>
      <c r="BV201" s="173"/>
      <c r="BW201" s="173"/>
      <c r="BX201" s="173"/>
      <c r="BY201" s="173"/>
      <c r="BZ201" s="173"/>
      <c r="CA201" s="173"/>
      <c r="CB201" s="173"/>
      <c r="CC201" s="173"/>
      <c r="CD201" s="173"/>
      <c r="CE201" s="173"/>
      <c r="CF201" s="173"/>
      <c r="CG201" s="173"/>
      <c r="CH201" s="173"/>
      <c r="CI201" s="173"/>
      <c r="CJ201" s="173"/>
      <c r="CK201" s="173"/>
      <c r="CL201" s="173"/>
      <c r="CM201" s="173"/>
      <c r="CN201" s="173"/>
      <c r="CO201" s="173"/>
      <c r="CP201" s="173"/>
      <c r="CQ201" s="173"/>
      <c r="CR201" s="151"/>
      <c r="CS201" s="173"/>
      <c r="CT201" s="173"/>
      <c r="CU201" s="173"/>
      <c r="CV201" s="173"/>
      <c r="CW201" s="173"/>
      <c r="CX201" s="173"/>
      <c r="CY201" s="173"/>
      <c r="CZ201" s="173"/>
    </row>
    <row r="202" spans="1:107" s="150" customFormat="1" ht="14.25">
      <c r="A202" s="230"/>
      <c r="F202" s="194"/>
      <c r="BA202" s="279"/>
    </row>
    <row r="203" spans="1:107" s="150" customFormat="1" ht="14.25">
      <c r="A203" s="230"/>
      <c r="F203" s="194"/>
      <c r="BA203" s="279"/>
    </row>
    <row r="204" spans="1:107" s="150" customFormat="1" ht="14.25">
      <c r="A204" s="230"/>
      <c r="F204" s="194"/>
      <c r="BA204" s="279"/>
    </row>
    <row r="205" spans="1:107" s="150" customFormat="1" ht="14.25">
      <c r="A205" s="230"/>
      <c r="F205" s="194"/>
      <c r="BA205" s="279"/>
    </row>
    <row r="206" spans="1:107" s="150" customFormat="1" ht="14.25">
      <c r="A206" s="230"/>
      <c r="F206" s="194"/>
      <c r="BA206" s="279"/>
    </row>
    <row r="207" spans="1:107" s="150" customFormat="1" ht="14.25">
      <c r="A207" s="230"/>
      <c r="C207" s="157"/>
      <c r="D207" s="231"/>
      <c r="E207" s="231"/>
      <c r="F207" s="218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31"/>
      <c r="AT207" s="231"/>
      <c r="AU207" s="231"/>
      <c r="AV207" s="231"/>
      <c r="AW207" s="231"/>
      <c r="AX207" s="231"/>
      <c r="AY207" s="231"/>
      <c r="AZ207" s="231"/>
      <c r="BA207" s="280"/>
      <c r="BB207" s="231"/>
      <c r="BC207" s="231"/>
      <c r="BD207" s="231"/>
      <c r="BE207" s="231"/>
      <c r="BF207" s="231"/>
      <c r="BG207" s="231"/>
      <c r="BH207" s="231"/>
      <c r="BI207" s="231"/>
      <c r="BJ207" s="231"/>
      <c r="BK207" s="231"/>
      <c r="BL207" s="231"/>
      <c r="BM207" s="231"/>
      <c r="BN207" s="231"/>
      <c r="BO207" s="231"/>
      <c r="BP207" s="231"/>
      <c r="BQ207" s="231"/>
      <c r="BR207" s="231"/>
      <c r="BS207" s="231"/>
      <c r="BT207" s="231"/>
      <c r="BU207" s="231"/>
      <c r="BV207" s="231"/>
      <c r="BW207" s="231"/>
      <c r="BX207" s="231"/>
      <c r="BY207" s="231"/>
      <c r="BZ207" s="231"/>
      <c r="CA207" s="231"/>
      <c r="CB207" s="231"/>
      <c r="CC207" s="231"/>
      <c r="CD207" s="231"/>
      <c r="CE207" s="231"/>
      <c r="CF207" s="231"/>
      <c r="CG207" s="231"/>
      <c r="CH207" s="231"/>
      <c r="CI207" s="231"/>
      <c r="CJ207" s="231"/>
      <c r="CK207" s="231"/>
      <c r="CL207" s="231"/>
      <c r="CM207" s="231"/>
      <c r="CN207" s="231"/>
      <c r="CO207" s="231"/>
      <c r="CP207" s="231"/>
      <c r="CQ207" s="231"/>
      <c r="CR207" s="231"/>
      <c r="CS207" s="231"/>
      <c r="CT207" s="231"/>
      <c r="CU207" s="231"/>
      <c r="CV207" s="231"/>
      <c r="CW207" s="231"/>
      <c r="CX207" s="231"/>
      <c r="CY207" s="231"/>
      <c r="CZ207" s="231"/>
      <c r="DA207" s="231"/>
      <c r="DB207" s="231"/>
      <c r="DC207" s="231"/>
    </row>
    <row r="208" spans="1:107" s="150" customFormat="1" ht="14.25">
      <c r="A208" s="230"/>
      <c r="C208" s="157"/>
      <c r="D208" s="231"/>
      <c r="E208" s="231"/>
      <c r="F208" s="218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80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N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231"/>
      <c r="CR208" s="231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</row>
    <row r="209" spans="1:107" s="150" customFormat="1" ht="14.25">
      <c r="A209" s="230"/>
      <c r="C209" s="157"/>
      <c r="D209" s="231"/>
      <c r="E209" s="231"/>
      <c r="F209" s="218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31"/>
      <c r="AT209" s="231"/>
      <c r="AU209" s="231"/>
      <c r="AV209" s="231"/>
      <c r="AW209" s="231"/>
      <c r="AX209" s="231"/>
      <c r="AY209" s="231"/>
      <c r="AZ209" s="231"/>
      <c r="BA209" s="280"/>
      <c r="BB209" s="231"/>
      <c r="BC209" s="231"/>
      <c r="BD209" s="231"/>
      <c r="BE209" s="231"/>
      <c r="BF209" s="231"/>
      <c r="BG209" s="231"/>
      <c r="BH209" s="231"/>
      <c r="BI209" s="231"/>
      <c r="BJ209" s="231"/>
      <c r="BK209" s="231"/>
      <c r="BL209" s="231"/>
      <c r="BM209" s="231"/>
      <c r="BN209" s="231"/>
      <c r="BO209" s="231"/>
      <c r="BP209" s="231"/>
      <c r="BQ209" s="231"/>
      <c r="BR209" s="231"/>
      <c r="BS209" s="231"/>
      <c r="BT209" s="231"/>
      <c r="BU209" s="231"/>
      <c r="BV209" s="231"/>
      <c r="BW209" s="231"/>
      <c r="BX209" s="231"/>
      <c r="BY209" s="231"/>
      <c r="BZ209" s="231"/>
      <c r="CA209" s="231"/>
      <c r="CB209" s="231"/>
      <c r="CC209" s="231"/>
      <c r="CD209" s="231"/>
      <c r="CE209" s="231"/>
      <c r="CF209" s="231"/>
      <c r="CG209" s="231"/>
      <c r="CH209" s="231"/>
      <c r="CI209" s="231"/>
      <c r="CJ209" s="231"/>
      <c r="CK209" s="231"/>
      <c r="CL209" s="231"/>
      <c r="CM209" s="231"/>
      <c r="CN209" s="231"/>
      <c r="CO209" s="231"/>
      <c r="CP209" s="231"/>
      <c r="CQ209" s="231"/>
      <c r="CR209" s="231"/>
      <c r="CS209" s="231"/>
      <c r="CT209" s="231"/>
      <c r="CU209" s="231"/>
      <c r="CV209" s="231"/>
      <c r="CW209" s="231"/>
      <c r="CX209" s="231"/>
      <c r="CY209" s="231"/>
      <c r="CZ209" s="231"/>
      <c r="DA209" s="231"/>
      <c r="DB209" s="231"/>
      <c r="DC209" s="231"/>
    </row>
    <row r="210" spans="1:107" s="150" customFormat="1" ht="14.25">
      <c r="A210" s="230"/>
      <c r="C210" s="157"/>
      <c r="D210" s="231"/>
      <c r="E210" s="231"/>
      <c r="F210" s="218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31"/>
      <c r="AT210" s="231"/>
      <c r="AU210" s="231"/>
      <c r="AV210" s="231"/>
      <c r="AW210" s="231"/>
      <c r="AX210" s="231"/>
      <c r="AY210" s="231"/>
      <c r="AZ210" s="231"/>
      <c r="BA210" s="280"/>
      <c r="BB210" s="231"/>
      <c r="BC210" s="231"/>
      <c r="BD210" s="231"/>
      <c r="BE210" s="231"/>
      <c r="BF210" s="231"/>
      <c r="BG210" s="231"/>
      <c r="BH210" s="231"/>
      <c r="BI210" s="231"/>
      <c r="BJ210" s="231"/>
      <c r="BK210" s="231"/>
      <c r="BL210" s="231"/>
      <c r="BM210" s="231"/>
      <c r="BN210" s="231"/>
      <c r="BO210" s="231"/>
      <c r="BP210" s="231"/>
      <c r="BQ210" s="231"/>
      <c r="BR210" s="231"/>
      <c r="BS210" s="231"/>
      <c r="BT210" s="231"/>
      <c r="BU210" s="231"/>
      <c r="BV210" s="231"/>
      <c r="BW210" s="231"/>
      <c r="BX210" s="231"/>
      <c r="BY210" s="231"/>
      <c r="BZ210" s="231"/>
      <c r="CA210" s="231"/>
      <c r="CB210" s="231"/>
      <c r="CC210" s="231"/>
      <c r="CD210" s="231"/>
      <c r="CE210" s="231"/>
      <c r="CF210" s="231"/>
      <c r="CG210" s="231"/>
      <c r="CH210" s="231"/>
      <c r="CI210" s="231"/>
      <c r="CJ210" s="231"/>
      <c r="CK210" s="231"/>
      <c r="CL210" s="231"/>
      <c r="CM210" s="231"/>
      <c r="CN210" s="231"/>
      <c r="CO210" s="231"/>
      <c r="CP210" s="231"/>
      <c r="CQ210" s="231"/>
      <c r="CR210" s="231"/>
      <c r="CS210" s="231"/>
      <c r="CT210" s="231"/>
      <c r="CU210" s="231"/>
      <c r="CV210" s="231"/>
      <c r="CW210" s="231"/>
      <c r="CX210" s="231"/>
      <c r="CY210" s="231"/>
      <c r="CZ210" s="231"/>
      <c r="DA210" s="231"/>
      <c r="DB210" s="231"/>
      <c r="DC210" s="231"/>
    </row>
    <row r="211" spans="1:107" s="150" customFormat="1" ht="14.25">
      <c r="A211" s="230"/>
      <c r="C211" s="157"/>
      <c r="D211" s="231"/>
      <c r="E211" s="231"/>
      <c r="F211" s="218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31"/>
      <c r="AT211" s="231"/>
      <c r="AU211" s="231"/>
      <c r="AV211" s="231"/>
      <c r="AW211" s="231"/>
      <c r="AX211" s="231"/>
      <c r="AY211" s="231"/>
      <c r="AZ211" s="231"/>
      <c r="BA211" s="280"/>
      <c r="BB211" s="231"/>
      <c r="BC211" s="231"/>
      <c r="BD211" s="231"/>
      <c r="BE211" s="231"/>
      <c r="BF211" s="231"/>
      <c r="BG211" s="231"/>
      <c r="BH211" s="231"/>
      <c r="BI211" s="231"/>
      <c r="BJ211" s="231"/>
      <c r="BK211" s="231"/>
      <c r="BL211" s="231"/>
      <c r="BM211" s="231"/>
      <c r="BN211" s="231"/>
      <c r="BO211" s="231"/>
      <c r="BP211" s="231"/>
      <c r="BQ211" s="231"/>
      <c r="BR211" s="231"/>
      <c r="BS211" s="231"/>
      <c r="BT211" s="231"/>
      <c r="BU211" s="231"/>
      <c r="BV211" s="231"/>
      <c r="BW211" s="231"/>
      <c r="BX211" s="231"/>
      <c r="BY211" s="231"/>
      <c r="BZ211" s="231"/>
      <c r="CA211" s="231"/>
      <c r="CB211" s="231"/>
      <c r="CC211" s="231"/>
      <c r="CD211" s="231"/>
      <c r="CE211" s="231"/>
      <c r="CF211" s="231"/>
      <c r="CG211" s="231"/>
      <c r="CH211" s="231"/>
      <c r="CI211" s="231"/>
      <c r="CJ211" s="231"/>
      <c r="CK211" s="231"/>
      <c r="CL211" s="231"/>
      <c r="CM211" s="231"/>
      <c r="CN211" s="231"/>
      <c r="CO211" s="231"/>
      <c r="CP211" s="231"/>
      <c r="CQ211" s="231"/>
      <c r="CR211" s="231"/>
      <c r="CS211" s="231"/>
      <c r="CT211" s="231"/>
      <c r="CU211" s="231"/>
      <c r="CV211" s="231"/>
      <c r="CW211" s="231"/>
      <c r="CX211" s="231"/>
      <c r="CY211" s="231"/>
      <c r="CZ211" s="231"/>
      <c r="DA211" s="231"/>
      <c r="DB211" s="231"/>
      <c r="DC211" s="231"/>
    </row>
    <row r="212" spans="1:107" s="150" customFormat="1" ht="14.25">
      <c r="A212" s="230"/>
      <c r="C212" s="157"/>
      <c r="D212" s="231"/>
      <c r="E212" s="231"/>
      <c r="F212" s="218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80"/>
      <c r="BB212" s="231"/>
      <c r="BC212" s="231"/>
      <c r="BD212" s="231"/>
      <c r="BE212" s="231"/>
      <c r="BF212" s="231"/>
      <c r="BG212" s="231"/>
      <c r="BH212" s="231"/>
      <c r="BI212" s="231"/>
      <c r="BJ212" s="231"/>
      <c r="BK212" s="231"/>
      <c r="BL212" s="231"/>
      <c r="BM212" s="231"/>
      <c r="BN212" s="231"/>
      <c r="BO212" s="231"/>
      <c r="BP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231"/>
      <c r="CS212" s="231"/>
      <c r="CT212" s="231"/>
      <c r="CU212" s="231"/>
      <c r="CV212" s="231"/>
      <c r="CW212" s="231"/>
      <c r="CX212" s="231"/>
      <c r="CY212" s="231"/>
      <c r="CZ212" s="231"/>
    </row>
    <row r="213" spans="1:107" s="150" customFormat="1" ht="14.25">
      <c r="A213" s="230"/>
      <c r="C213" s="157"/>
      <c r="D213" s="231"/>
      <c r="E213" s="231"/>
      <c r="F213" s="218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31"/>
      <c r="AT213" s="231"/>
      <c r="AU213" s="231"/>
      <c r="AV213" s="231"/>
      <c r="AW213" s="231"/>
      <c r="AX213" s="231"/>
      <c r="AY213" s="231"/>
      <c r="AZ213" s="231"/>
      <c r="BA213" s="280"/>
      <c r="BB213" s="231"/>
      <c r="BC213" s="231"/>
      <c r="BD213" s="231"/>
      <c r="BE213" s="231"/>
      <c r="BF213" s="231"/>
      <c r="BG213" s="231"/>
      <c r="BH213" s="231"/>
      <c r="BI213" s="231"/>
      <c r="BJ213" s="231"/>
      <c r="BK213" s="231"/>
      <c r="BL213" s="231"/>
      <c r="BM213" s="231"/>
      <c r="BN213" s="231"/>
      <c r="BO213" s="231"/>
      <c r="BP213" s="231"/>
      <c r="BQ213" s="231"/>
      <c r="BR213" s="231"/>
      <c r="BS213" s="231"/>
      <c r="BT213" s="231"/>
      <c r="BU213" s="231"/>
      <c r="BV213" s="231"/>
      <c r="BW213" s="231"/>
      <c r="BX213" s="231"/>
      <c r="BY213" s="231"/>
      <c r="BZ213" s="231"/>
      <c r="CA213" s="231"/>
      <c r="CB213" s="231"/>
      <c r="CC213" s="231"/>
      <c r="CD213" s="231"/>
      <c r="CE213" s="231"/>
      <c r="CF213" s="231"/>
      <c r="CG213" s="231"/>
      <c r="CH213" s="231"/>
      <c r="CI213" s="231"/>
      <c r="CJ213" s="231"/>
      <c r="CK213" s="231"/>
      <c r="CL213" s="231"/>
      <c r="CM213" s="231"/>
      <c r="CN213" s="231"/>
      <c r="CO213" s="231"/>
      <c r="CP213" s="231"/>
      <c r="CQ213" s="231"/>
      <c r="CR213" s="231"/>
      <c r="CS213" s="231"/>
      <c r="CT213" s="231"/>
      <c r="CU213" s="231"/>
      <c r="CV213" s="231"/>
      <c r="CW213" s="231"/>
      <c r="CX213" s="231"/>
      <c r="CY213" s="231"/>
      <c r="CZ213" s="231"/>
    </row>
    <row r="214" spans="1:107" s="150" customFormat="1" ht="14.25">
      <c r="A214" s="230"/>
      <c r="C214" s="157"/>
      <c r="D214" s="231"/>
      <c r="E214" s="231"/>
      <c r="F214" s="218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31"/>
      <c r="AT214" s="231"/>
      <c r="AU214" s="231"/>
      <c r="AV214" s="231"/>
      <c r="AW214" s="231"/>
      <c r="AX214" s="231"/>
      <c r="AY214" s="231"/>
      <c r="AZ214" s="231"/>
      <c r="BA214" s="280"/>
      <c r="BB214" s="231"/>
      <c r="BC214" s="231"/>
      <c r="BD214" s="231"/>
      <c r="BE214" s="231"/>
      <c r="BF214" s="231"/>
      <c r="BG214" s="231"/>
      <c r="BH214" s="231"/>
      <c r="BI214" s="231"/>
      <c r="BJ214" s="231"/>
      <c r="BK214" s="231"/>
      <c r="BL214" s="231"/>
      <c r="BM214" s="231"/>
      <c r="BN214" s="231"/>
      <c r="BO214" s="231"/>
      <c r="BP214" s="231"/>
      <c r="BQ214" s="231"/>
      <c r="BR214" s="231"/>
      <c r="BS214" s="231"/>
      <c r="BT214" s="231"/>
      <c r="BU214" s="231"/>
      <c r="BV214" s="231"/>
      <c r="BW214" s="231"/>
      <c r="BX214" s="231"/>
      <c r="BY214" s="231"/>
      <c r="BZ214" s="231"/>
      <c r="CA214" s="231"/>
      <c r="CB214" s="231"/>
      <c r="CC214" s="231"/>
      <c r="CD214" s="231"/>
      <c r="CE214" s="231"/>
      <c r="CF214" s="231"/>
      <c r="CG214" s="231"/>
      <c r="CH214" s="231"/>
      <c r="CI214" s="231"/>
      <c r="CJ214" s="231"/>
      <c r="CK214" s="231"/>
      <c r="CL214" s="231"/>
      <c r="CM214" s="231"/>
      <c r="CN214" s="231"/>
      <c r="CO214" s="231"/>
      <c r="CP214" s="231"/>
      <c r="CQ214" s="231"/>
      <c r="CR214" s="231"/>
      <c r="CS214" s="231"/>
      <c r="CT214" s="231"/>
      <c r="CU214" s="231"/>
      <c r="CV214" s="231"/>
      <c r="CW214" s="231"/>
      <c r="CX214" s="231"/>
      <c r="CY214" s="231"/>
      <c r="CZ214" s="231"/>
    </row>
    <row r="215" spans="1:107" s="150" customFormat="1" ht="14.25">
      <c r="A215" s="230"/>
      <c r="C215" s="157"/>
      <c r="D215" s="231"/>
      <c r="E215" s="231"/>
      <c r="F215" s="218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31"/>
      <c r="AT215" s="231"/>
      <c r="AU215" s="231"/>
      <c r="AV215" s="231"/>
      <c r="AW215" s="231"/>
      <c r="AX215" s="231"/>
      <c r="AY215" s="231"/>
      <c r="AZ215" s="231"/>
      <c r="BA215" s="280"/>
      <c r="BB215" s="231"/>
      <c r="BC215" s="231"/>
      <c r="BD215" s="231"/>
      <c r="BE215" s="231"/>
      <c r="BF215" s="231"/>
      <c r="BG215" s="231"/>
      <c r="BH215" s="231"/>
      <c r="BI215" s="231"/>
      <c r="BJ215" s="231"/>
      <c r="BK215" s="231"/>
      <c r="BL215" s="231"/>
      <c r="BM215" s="231"/>
      <c r="BN215" s="231"/>
      <c r="BO215" s="231"/>
      <c r="BP215" s="231"/>
      <c r="BQ215" s="231"/>
      <c r="BR215" s="231"/>
      <c r="BS215" s="231"/>
      <c r="BT215" s="231"/>
      <c r="BU215" s="231"/>
      <c r="BV215" s="231"/>
      <c r="BW215" s="231"/>
      <c r="BX215" s="231"/>
      <c r="BY215" s="231"/>
      <c r="BZ215" s="231"/>
      <c r="CA215" s="231"/>
      <c r="CB215" s="231"/>
      <c r="CC215" s="231"/>
      <c r="CD215" s="231"/>
      <c r="CE215" s="231"/>
      <c r="CF215" s="231"/>
      <c r="CG215" s="231"/>
      <c r="CH215" s="231"/>
      <c r="CI215" s="231"/>
      <c r="CJ215" s="231"/>
      <c r="CK215" s="231"/>
      <c r="CL215" s="231"/>
      <c r="CM215" s="231"/>
      <c r="CN215" s="231"/>
      <c r="CO215" s="231"/>
      <c r="CP215" s="231"/>
      <c r="CQ215" s="231"/>
      <c r="CR215" s="231"/>
      <c r="CS215" s="231"/>
      <c r="CT215" s="231"/>
      <c r="CU215" s="231"/>
      <c r="CV215" s="231"/>
      <c r="CW215" s="231"/>
      <c r="CX215" s="231"/>
      <c r="CY215" s="231"/>
      <c r="CZ215" s="231"/>
    </row>
    <row r="216" spans="1:107" s="150" customFormat="1" ht="14.25">
      <c r="A216" s="230"/>
      <c r="C216" s="157"/>
      <c r="D216" s="231"/>
      <c r="E216" s="231"/>
      <c r="F216" s="218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31"/>
      <c r="AT216" s="231"/>
      <c r="AU216" s="231"/>
      <c r="AV216" s="231"/>
      <c r="AW216" s="231"/>
      <c r="AX216" s="231"/>
      <c r="AY216" s="231"/>
      <c r="AZ216" s="231"/>
      <c r="BA216" s="280"/>
      <c r="BB216" s="231"/>
      <c r="BC216" s="231"/>
      <c r="BD216" s="231"/>
      <c r="BE216" s="231"/>
      <c r="BF216" s="231"/>
      <c r="BG216" s="231"/>
      <c r="BH216" s="231"/>
      <c r="BI216" s="231"/>
      <c r="BJ216" s="231"/>
      <c r="BK216" s="231"/>
      <c r="BL216" s="231"/>
      <c r="BM216" s="231"/>
      <c r="BN216" s="231"/>
      <c r="BO216" s="231"/>
      <c r="BP216" s="231"/>
      <c r="BQ216" s="231"/>
      <c r="BR216" s="231"/>
      <c r="BS216" s="231"/>
      <c r="BT216" s="231"/>
      <c r="BU216" s="231"/>
      <c r="BV216" s="231"/>
      <c r="BW216" s="231"/>
      <c r="BX216" s="231"/>
      <c r="BY216" s="231"/>
      <c r="BZ216" s="231"/>
      <c r="CA216" s="231"/>
      <c r="CB216" s="231"/>
      <c r="CC216" s="231"/>
      <c r="CD216" s="231"/>
      <c r="CE216" s="231"/>
      <c r="CF216" s="231"/>
      <c r="CG216" s="231"/>
      <c r="CH216" s="231"/>
      <c r="CI216" s="231"/>
      <c r="CJ216" s="231"/>
      <c r="CK216" s="231"/>
      <c r="CL216" s="231"/>
      <c r="CM216" s="231"/>
      <c r="CN216" s="231"/>
      <c r="CO216" s="231"/>
      <c r="CP216" s="231"/>
      <c r="CQ216" s="231"/>
      <c r="CR216" s="231"/>
      <c r="CS216" s="231"/>
      <c r="CT216" s="231"/>
      <c r="CU216" s="231"/>
      <c r="CV216" s="231"/>
      <c r="CW216" s="231"/>
      <c r="CX216" s="231"/>
      <c r="CY216" s="231"/>
      <c r="CZ216" s="231"/>
    </row>
    <row r="217" spans="1:107" s="150" customFormat="1" ht="14.25">
      <c r="A217" s="230"/>
      <c r="C217" s="157"/>
      <c r="D217" s="231"/>
      <c r="F217" s="194"/>
      <c r="H217" s="231"/>
      <c r="AQ217" s="157"/>
      <c r="AW217" s="157"/>
      <c r="AX217" s="157"/>
      <c r="AY217" s="157"/>
      <c r="BA217" s="279"/>
      <c r="BB217" s="157"/>
      <c r="BX217" s="157"/>
      <c r="CH217" s="157"/>
      <c r="CQ217" s="223"/>
      <c r="CS217" s="222"/>
    </row>
    <row r="218" spans="1:107" s="150" customFormat="1" ht="14.25">
      <c r="A218" s="230"/>
      <c r="C218" s="157"/>
      <c r="D218" s="231"/>
      <c r="F218" s="194"/>
      <c r="H218" s="231"/>
      <c r="AQ218" s="157"/>
      <c r="AW218" s="157"/>
      <c r="AX218" s="157"/>
      <c r="AY218" s="157"/>
      <c r="BA218" s="279"/>
      <c r="BB218" s="157"/>
      <c r="BX218" s="157"/>
      <c r="CH218" s="157"/>
      <c r="CQ218" s="223"/>
      <c r="CS218" s="222"/>
    </row>
    <row r="219" spans="1:107" s="150" customFormat="1" ht="14.25">
      <c r="A219" s="230"/>
      <c r="C219" s="157"/>
      <c r="D219" s="231"/>
      <c r="F219" s="194"/>
      <c r="H219" s="231"/>
      <c r="AQ219" s="157"/>
      <c r="AW219" s="157"/>
      <c r="AX219" s="157"/>
      <c r="AY219" s="157"/>
      <c r="BA219" s="279"/>
      <c r="BB219" s="157"/>
      <c r="BX219" s="157"/>
      <c r="CH219" s="157"/>
      <c r="CQ219" s="223"/>
      <c r="CS219" s="222"/>
    </row>
    <row r="220" spans="1:107" s="150" customFormat="1" ht="14.25">
      <c r="A220" s="230"/>
      <c r="C220" s="157"/>
      <c r="D220" s="231"/>
      <c r="F220" s="194"/>
      <c r="H220" s="231"/>
      <c r="AQ220" s="157"/>
      <c r="AW220" s="157"/>
      <c r="AX220" s="157"/>
      <c r="AY220" s="157"/>
      <c r="BA220" s="279"/>
      <c r="BB220" s="157"/>
      <c r="BX220" s="157"/>
      <c r="CH220" s="157"/>
      <c r="CQ220" s="223"/>
      <c r="CS220" s="222"/>
    </row>
    <row r="221" spans="1:107" s="150" customFormat="1" ht="14.25">
      <c r="A221" s="230"/>
      <c r="C221" s="157"/>
      <c r="D221" s="231"/>
      <c r="F221" s="194"/>
      <c r="H221" s="231"/>
      <c r="AQ221" s="157"/>
      <c r="AW221" s="157"/>
      <c r="AX221" s="157"/>
      <c r="AY221" s="157"/>
      <c r="BA221" s="279"/>
      <c r="BB221" s="157"/>
      <c r="BX221" s="157"/>
      <c r="CH221" s="157"/>
      <c r="CQ221" s="223"/>
      <c r="CS221" s="222"/>
    </row>
    <row r="222" spans="1:107" s="150" customFormat="1" ht="14.25">
      <c r="A222" s="230"/>
      <c r="C222" s="157"/>
      <c r="D222" s="231"/>
      <c r="F222" s="194"/>
      <c r="H222" s="231"/>
      <c r="AQ222" s="157"/>
      <c r="AW222" s="157"/>
      <c r="AX222" s="157"/>
      <c r="AY222" s="157"/>
      <c r="BA222" s="279"/>
      <c r="BB222" s="157"/>
      <c r="BX222" s="157"/>
      <c r="CH222" s="157"/>
      <c r="CQ222" s="223"/>
      <c r="CS222" s="222"/>
    </row>
    <row r="223" spans="1:107" s="150" customFormat="1" ht="14.25">
      <c r="A223" s="230"/>
      <c r="C223" s="157"/>
      <c r="D223" s="231"/>
      <c r="F223" s="194"/>
      <c r="H223" s="231"/>
      <c r="AQ223" s="157"/>
      <c r="AW223" s="157"/>
      <c r="AX223" s="157"/>
      <c r="AY223" s="157"/>
      <c r="BA223" s="279"/>
      <c r="BB223" s="157"/>
      <c r="BX223" s="157"/>
      <c r="CH223" s="157"/>
      <c r="CQ223" s="223"/>
      <c r="CS223" s="222"/>
    </row>
    <row r="224" spans="1:107" s="150" customFormat="1" ht="14.25">
      <c r="A224" s="230"/>
      <c r="C224" s="157"/>
      <c r="D224" s="231"/>
      <c r="F224" s="194"/>
      <c r="H224" s="231"/>
      <c r="AQ224" s="157"/>
      <c r="AW224" s="157"/>
      <c r="AX224" s="157"/>
      <c r="AY224" s="157"/>
      <c r="BA224" s="279"/>
      <c r="BX224" s="157"/>
      <c r="CH224" s="157"/>
      <c r="CQ224" s="223"/>
      <c r="CS224" s="222"/>
    </row>
    <row r="225" spans="1:220" s="150" customFormat="1" ht="14.25">
      <c r="A225" s="230"/>
      <c r="C225" s="157"/>
      <c r="D225" s="231"/>
      <c r="F225" s="194"/>
      <c r="H225" s="231"/>
      <c r="AQ225" s="157"/>
      <c r="AW225" s="157"/>
      <c r="AX225" s="157"/>
      <c r="AY225" s="157"/>
      <c r="BA225" s="279"/>
      <c r="BX225" s="157"/>
      <c r="CH225" s="157"/>
      <c r="CQ225" s="223"/>
      <c r="CS225" s="222"/>
    </row>
    <row r="226" spans="1:220" s="150" customFormat="1" ht="14.25">
      <c r="A226" s="230"/>
      <c r="C226" s="157"/>
      <c r="D226" s="231"/>
      <c r="F226" s="194"/>
      <c r="H226" s="231"/>
      <c r="AQ226" s="157"/>
      <c r="AW226" s="157"/>
      <c r="AX226" s="157"/>
      <c r="AY226" s="157"/>
      <c r="BA226" s="279"/>
      <c r="BX226" s="157"/>
      <c r="CH226" s="157"/>
      <c r="CQ226" s="223"/>
      <c r="CS226" s="222"/>
    </row>
    <row r="227" spans="1:220" s="150" customFormat="1" ht="14.25">
      <c r="A227" s="230"/>
      <c r="C227" s="157"/>
      <c r="D227" s="231"/>
      <c r="F227" s="194"/>
      <c r="H227" s="231"/>
      <c r="AQ227" s="157"/>
      <c r="AW227" s="157"/>
      <c r="AX227" s="157"/>
      <c r="AY227" s="157"/>
      <c r="BA227" s="279"/>
      <c r="BX227" s="157"/>
      <c r="CH227" s="157"/>
      <c r="CQ227" s="223"/>
      <c r="CS227" s="222"/>
    </row>
    <row r="228" spans="1:220" s="150" customFormat="1" ht="14.25">
      <c r="A228" s="230"/>
      <c r="C228" s="157"/>
      <c r="D228" s="231"/>
      <c r="F228" s="194"/>
      <c r="H228" s="231"/>
      <c r="AQ228" s="157"/>
      <c r="AW228" s="157"/>
      <c r="AX228" s="157"/>
      <c r="AY228" s="157"/>
      <c r="BA228" s="279"/>
      <c r="BX228" s="157"/>
      <c r="CH228" s="157"/>
      <c r="CQ228" s="223"/>
      <c r="CS228" s="222"/>
    </row>
    <row r="229" spans="1:220" s="150" customFormat="1" ht="14.25">
      <c r="A229" s="230"/>
      <c r="C229" s="157"/>
      <c r="D229" s="231"/>
      <c r="F229" s="194"/>
      <c r="H229" s="231"/>
      <c r="AQ229" s="157"/>
      <c r="AW229" s="157"/>
      <c r="AX229" s="157"/>
      <c r="AY229" s="157"/>
      <c r="BA229" s="279"/>
      <c r="BX229" s="157"/>
      <c r="CH229" s="157"/>
      <c r="CQ229" s="223"/>
      <c r="CS229" s="222"/>
    </row>
    <row r="230" spans="1:220" s="150" customFormat="1">
      <c r="A230" s="230"/>
      <c r="C230" s="157"/>
      <c r="D230" s="231"/>
      <c r="F230" s="194"/>
      <c r="H230" s="237"/>
      <c r="AQ230" s="157"/>
      <c r="AW230" s="157"/>
      <c r="AX230" s="157"/>
      <c r="AY230" s="157"/>
      <c r="BA230" s="279"/>
      <c r="BX230" s="157"/>
      <c r="CH230" s="157"/>
      <c r="CQ230" s="223"/>
      <c r="CS230" s="222"/>
    </row>
    <row r="231" spans="1:220" s="150" customFormat="1" ht="14.25">
      <c r="A231" s="230"/>
      <c r="C231" s="157"/>
      <c r="D231" s="231"/>
      <c r="F231" s="194"/>
      <c r="H231" s="231"/>
      <c r="AQ231" s="157"/>
      <c r="AW231" s="157"/>
      <c r="AX231" s="157"/>
      <c r="AY231" s="157"/>
      <c r="BA231" s="279"/>
      <c r="BX231" s="157"/>
      <c r="CH231" s="157"/>
      <c r="CQ231" s="223"/>
      <c r="CS231" s="222"/>
    </row>
    <row r="232" spans="1:220" s="152" customFormat="1" ht="14.25">
      <c r="A232" s="153"/>
      <c r="C232" s="154"/>
      <c r="D232" s="155"/>
      <c r="F232" s="194"/>
      <c r="H232" s="155"/>
      <c r="AJ232" s="156"/>
      <c r="AK232" s="156"/>
      <c r="AQ232" s="154"/>
      <c r="AW232" s="157"/>
      <c r="AX232" s="154"/>
      <c r="AY232" s="158"/>
      <c r="BA232" s="279"/>
      <c r="BX232" s="154"/>
      <c r="CH232" s="154"/>
      <c r="CQ232" s="148"/>
      <c r="CS232" s="147"/>
      <c r="CV232" s="150"/>
      <c r="CW232" s="150"/>
      <c r="CX232" s="150"/>
      <c r="CY232" s="150"/>
      <c r="CZ232" s="150"/>
      <c r="DA232" s="150"/>
      <c r="DB232" s="150"/>
      <c r="DC232" s="150"/>
      <c r="DD232" s="150"/>
      <c r="DE232" s="150"/>
      <c r="DF232" s="150"/>
      <c r="DG232" s="150"/>
      <c r="DH232" s="150"/>
      <c r="DI232" s="150"/>
      <c r="DJ232" s="150"/>
      <c r="DK232" s="150"/>
      <c r="DL232" s="150"/>
      <c r="DM232" s="150"/>
      <c r="DN232" s="150"/>
      <c r="DO232" s="150"/>
      <c r="DP232" s="150"/>
      <c r="DQ232" s="150"/>
      <c r="DR232" s="150"/>
      <c r="DS232" s="150"/>
      <c r="DT232" s="150"/>
      <c r="DU232" s="150"/>
      <c r="DV232" s="150"/>
      <c r="DW232" s="150"/>
      <c r="DX232" s="150"/>
      <c r="DY232" s="150"/>
      <c r="DZ232" s="150"/>
      <c r="EA232" s="150"/>
      <c r="EB232" s="150"/>
      <c r="EC232" s="150"/>
      <c r="ED232" s="150"/>
      <c r="EE232" s="150"/>
      <c r="EF232" s="150"/>
      <c r="EG232" s="150"/>
      <c r="EH232" s="150"/>
      <c r="EI232" s="150"/>
      <c r="EJ232" s="150"/>
      <c r="EK232" s="150"/>
      <c r="EL232" s="150"/>
      <c r="EM232" s="150"/>
      <c r="EN232" s="150"/>
      <c r="EO232" s="150"/>
      <c r="EP232" s="150"/>
      <c r="EQ232" s="150"/>
      <c r="ER232" s="150"/>
      <c r="ES232" s="150"/>
      <c r="ET232" s="150"/>
      <c r="EU232" s="150"/>
      <c r="EV232" s="150"/>
      <c r="EW232" s="150"/>
      <c r="EX232" s="150"/>
      <c r="EY232" s="150"/>
      <c r="EZ232" s="150"/>
      <c r="FA232" s="150"/>
      <c r="FB232" s="150"/>
      <c r="FC232" s="150"/>
      <c r="FD232" s="150"/>
      <c r="FE232" s="150"/>
      <c r="FF232" s="150"/>
      <c r="FG232" s="150"/>
      <c r="FH232" s="150"/>
      <c r="FI232" s="150"/>
      <c r="FJ232" s="150"/>
      <c r="FK232" s="150"/>
      <c r="FL232" s="150"/>
      <c r="FM232" s="150"/>
      <c r="FN232" s="150"/>
      <c r="FO232" s="150"/>
      <c r="FP232" s="150"/>
      <c r="FQ232" s="150"/>
      <c r="FR232" s="150"/>
      <c r="FS232" s="150"/>
      <c r="FT232" s="150"/>
      <c r="FU232" s="150"/>
      <c r="FV232" s="150"/>
      <c r="FW232" s="150"/>
      <c r="FX232" s="150"/>
      <c r="FY232" s="150"/>
      <c r="FZ232" s="150"/>
      <c r="GA232" s="150"/>
      <c r="GB232" s="150"/>
      <c r="GC232" s="150"/>
      <c r="GD232" s="150"/>
      <c r="GE232" s="150"/>
      <c r="GF232" s="150"/>
      <c r="GG232" s="150"/>
      <c r="GH232" s="150"/>
      <c r="GI232" s="150"/>
      <c r="GJ232" s="150"/>
      <c r="GK232" s="150"/>
      <c r="GL232" s="150"/>
      <c r="GM232" s="150"/>
      <c r="GN232" s="150"/>
      <c r="GO232" s="150"/>
      <c r="GP232" s="150"/>
      <c r="GQ232" s="150"/>
      <c r="GR232" s="150"/>
      <c r="GS232" s="150"/>
      <c r="GT232" s="150"/>
      <c r="GU232" s="150"/>
      <c r="GV232" s="150"/>
      <c r="GW232" s="150"/>
      <c r="GX232" s="150"/>
      <c r="GY232" s="150"/>
      <c r="GZ232" s="150"/>
      <c r="HA232" s="150"/>
      <c r="HB232" s="150"/>
      <c r="HC232" s="150"/>
      <c r="HD232" s="150"/>
      <c r="HE232" s="150"/>
      <c r="HF232" s="150"/>
      <c r="HG232" s="150"/>
      <c r="HH232" s="150"/>
      <c r="HI232" s="150"/>
      <c r="HJ232" s="150"/>
      <c r="HK232" s="150"/>
      <c r="HL232" s="150"/>
    </row>
    <row r="233" spans="1:220" s="152" customFormat="1" ht="14.25">
      <c r="A233" s="153"/>
      <c r="C233" s="154"/>
      <c r="D233" s="155"/>
      <c r="F233" s="194"/>
      <c r="H233" s="155"/>
      <c r="AJ233" s="156"/>
      <c r="AK233" s="156"/>
      <c r="AQ233" s="154"/>
      <c r="AW233" s="157"/>
      <c r="AX233" s="154"/>
      <c r="AY233" s="158"/>
      <c r="BA233" s="279"/>
      <c r="BX233" s="154"/>
      <c r="CH233" s="154"/>
      <c r="CQ233" s="148"/>
      <c r="CS233" s="147"/>
      <c r="CV233" s="150"/>
      <c r="CW233" s="150"/>
      <c r="CX233" s="150"/>
      <c r="CY233" s="150"/>
      <c r="CZ233" s="150"/>
      <c r="DA233" s="150"/>
      <c r="DB233" s="150"/>
      <c r="DC233" s="150"/>
      <c r="DD233" s="150"/>
      <c r="DE233" s="150"/>
      <c r="DF233" s="150"/>
      <c r="DG233" s="150"/>
      <c r="DH233" s="150"/>
      <c r="DI233" s="150"/>
      <c r="DJ233" s="150"/>
      <c r="DK233" s="150"/>
      <c r="DL233" s="150"/>
      <c r="DM233" s="150"/>
      <c r="DN233" s="150"/>
      <c r="DO233" s="150"/>
      <c r="DP233" s="150"/>
      <c r="DQ233" s="150"/>
      <c r="DR233" s="150"/>
      <c r="DS233" s="150"/>
      <c r="DT233" s="150"/>
      <c r="DU233" s="150"/>
      <c r="DV233" s="150"/>
      <c r="DW233" s="150"/>
      <c r="DX233" s="150"/>
      <c r="DY233" s="150"/>
      <c r="DZ233" s="150"/>
      <c r="EA233" s="150"/>
      <c r="EB233" s="150"/>
      <c r="EC233" s="150"/>
      <c r="ED233" s="150"/>
      <c r="EE233" s="150"/>
      <c r="EF233" s="150"/>
      <c r="EG233" s="150"/>
      <c r="EH233" s="150"/>
      <c r="EI233" s="150"/>
      <c r="EJ233" s="150"/>
      <c r="EK233" s="150"/>
      <c r="EL233" s="150"/>
      <c r="EM233" s="150"/>
      <c r="EN233" s="150"/>
      <c r="EO233" s="150"/>
      <c r="EP233" s="150"/>
      <c r="EQ233" s="150"/>
      <c r="ER233" s="150"/>
      <c r="ES233" s="150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0"/>
      <c r="FQ233" s="150"/>
      <c r="FR233" s="150"/>
      <c r="FS233" s="150"/>
      <c r="FT233" s="150"/>
      <c r="FU233" s="150"/>
      <c r="FV233" s="150"/>
      <c r="FW233" s="150"/>
      <c r="FX233" s="150"/>
      <c r="FY233" s="150"/>
      <c r="FZ233" s="150"/>
      <c r="GA233" s="150"/>
      <c r="GB233" s="150"/>
      <c r="GC233" s="150"/>
      <c r="GD233" s="150"/>
      <c r="GE233" s="150"/>
      <c r="GF233" s="150"/>
      <c r="GG233" s="150"/>
      <c r="GH233" s="150"/>
      <c r="GI233" s="150"/>
      <c r="GJ233" s="150"/>
      <c r="GK233" s="150"/>
      <c r="GL233" s="150"/>
      <c r="GM233" s="150"/>
      <c r="GN233" s="150"/>
      <c r="GO233" s="150"/>
      <c r="GP233" s="150"/>
      <c r="GQ233" s="150"/>
      <c r="GR233" s="150"/>
      <c r="GS233" s="150"/>
      <c r="GT233" s="150"/>
      <c r="GU233" s="150"/>
      <c r="GV233" s="150"/>
      <c r="GW233" s="150"/>
      <c r="GX233" s="150"/>
      <c r="GY233" s="150"/>
      <c r="GZ233" s="150"/>
      <c r="HA233" s="150"/>
      <c r="HB233" s="150"/>
      <c r="HC233" s="150"/>
      <c r="HD233" s="150"/>
      <c r="HE233" s="150"/>
      <c r="HF233" s="150"/>
      <c r="HG233" s="150"/>
      <c r="HH233" s="150"/>
      <c r="HI233" s="150"/>
      <c r="HJ233" s="150"/>
      <c r="HK233" s="150"/>
      <c r="HL233" s="150"/>
    </row>
    <row r="234" spans="1:220" s="152" customFormat="1" ht="14.25">
      <c r="A234" s="153"/>
      <c r="C234" s="154"/>
      <c r="D234" s="155"/>
      <c r="F234" s="194"/>
      <c r="H234" s="155"/>
      <c r="AJ234" s="156"/>
      <c r="AK234" s="156"/>
      <c r="AQ234" s="154"/>
      <c r="AW234" s="157"/>
      <c r="AX234" s="154"/>
      <c r="AY234" s="158"/>
      <c r="BA234" s="279"/>
      <c r="BX234" s="154"/>
      <c r="CH234" s="154"/>
      <c r="CQ234" s="148"/>
      <c r="CS234" s="147"/>
      <c r="CV234" s="150"/>
      <c r="CW234" s="150"/>
      <c r="CX234" s="150"/>
      <c r="CY234" s="150"/>
      <c r="CZ234" s="150"/>
      <c r="DA234" s="150"/>
      <c r="DB234" s="150"/>
      <c r="DC234" s="150"/>
      <c r="DD234" s="150"/>
      <c r="DE234" s="150"/>
      <c r="DF234" s="150"/>
      <c r="DG234" s="150"/>
      <c r="DH234" s="150"/>
      <c r="DI234" s="150"/>
      <c r="DJ234" s="150"/>
      <c r="DK234" s="150"/>
      <c r="DL234" s="150"/>
      <c r="DM234" s="150"/>
      <c r="DN234" s="150"/>
      <c r="DO234" s="150"/>
      <c r="DP234" s="150"/>
      <c r="DQ234" s="150"/>
      <c r="DR234" s="150"/>
      <c r="DS234" s="150"/>
      <c r="DT234" s="150"/>
      <c r="DU234" s="150"/>
      <c r="DV234" s="150"/>
      <c r="DW234" s="150"/>
      <c r="DX234" s="150"/>
      <c r="DY234" s="150"/>
      <c r="DZ234" s="150"/>
      <c r="EA234" s="150"/>
      <c r="EB234" s="150"/>
      <c r="EC234" s="150"/>
      <c r="ED234" s="150"/>
      <c r="EE234" s="150"/>
      <c r="EF234" s="150"/>
      <c r="EG234" s="150"/>
      <c r="EH234" s="150"/>
      <c r="EI234" s="150"/>
      <c r="EJ234" s="150"/>
      <c r="EK234" s="150"/>
      <c r="EL234" s="150"/>
      <c r="EM234" s="150"/>
      <c r="EN234" s="150"/>
      <c r="EO234" s="150"/>
      <c r="EP234" s="150"/>
      <c r="EQ234" s="150"/>
      <c r="ER234" s="150"/>
      <c r="ES234" s="150"/>
      <c r="ET234" s="150"/>
      <c r="EU234" s="150"/>
      <c r="EV234" s="150"/>
      <c r="EW234" s="150"/>
      <c r="EX234" s="150"/>
      <c r="EY234" s="150"/>
      <c r="EZ234" s="150"/>
      <c r="FA234" s="150"/>
      <c r="FB234" s="150"/>
      <c r="FC234" s="150"/>
      <c r="FD234" s="150"/>
      <c r="FE234" s="150"/>
      <c r="FF234" s="150"/>
      <c r="FG234" s="150"/>
      <c r="FH234" s="150"/>
      <c r="FI234" s="150"/>
      <c r="FJ234" s="150"/>
      <c r="FK234" s="150"/>
      <c r="FL234" s="150"/>
      <c r="FM234" s="150"/>
      <c r="FN234" s="150"/>
      <c r="FO234" s="150"/>
      <c r="FP234" s="150"/>
      <c r="FQ234" s="150"/>
      <c r="FR234" s="150"/>
      <c r="FS234" s="150"/>
      <c r="FT234" s="150"/>
      <c r="FU234" s="150"/>
      <c r="FV234" s="150"/>
      <c r="FW234" s="150"/>
      <c r="FX234" s="150"/>
      <c r="FY234" s="150"/>
      <c r="FZ234" s="150"/>
      <c r="GA234" s="150"/>
      <c r="GB234" s="150"/>
      <c r="GC234" s="150"/>
      <c r="GD234" s="150"/>
      <c r="GE234" s="150"/>
      <c r="GF234" s="150"/>
      <c r="GG234" s="150"/>
      <c r="GH234" s="150"/>
      <c r="GI234" s="150"/>
      <c r="GJ234" s="150"/>
      <c r="GK234" s="150"/>
      <c r="GL234" s="150"/>
      <c r="GM234" s="150"/>
      <c r="GN234" s="150"/>
      <c r="GO234" s="150"/>
      <c r="GP234" s="150"/>
      <c r="GQ234" s="150"/>
      <c r="GR234" s="150"/>
      <c r="GS234" s="150"/>
      <c r="GT234" s="150"/>
      <c r="GU234" s="150"/>
      <c r="GV234" s="150"/>
      <c r="GW234" s="150"/>
      <c r="GX234" s="150"/>
      <c r="GY234" s="150"/>
      <c r="GZ234" s="150"/>
      <c r="HA234" s="150"/>
      <c r="HB234" s="150"/>
      <c r="HC234" s="150"/>
      <c r="HD234" s="150"/>
      <c r="HE234" s="150"/>
      <c r="HF234" s="150"/>
      <c r="HG234" s="150"/>
      <c r="HH234" s="150"/>
      <c r="HI234" s="150"/>
      <c r="HJ234" s="150"/>
      <c r="HK234" s="150"/>
      <c r="HL234" s="150"/>
    </row>
    <row r="235" spans="1:220" s="152" customFormat="1" ht="14.25">
      <c r="A235" s="153"/>
      <c r="C235" s="154"/>
      <c r="D235" s="155"/>
      <c r="F235" s="194"/>
      <c r="H235" s="155"/>
      <c r="AJ235" s="156"/>
      <c r="AK235" s="156"/>
      <c r="AQ235" s="154"/>
      <c r="AW235" s="157"/>
      <c r="AX235" s="154"/>
      <c r="AY235" s="158"/>
      <c r="BA235" s="279"/>
      <c r="BX235" s="154"/>
      <c r="CH235" s="154"/>
      <c r="CQ235" s="148"/>
      <c r="CS235" s="147"/>
      <c r="CV235" s="150"/>
      <c r="CW235" s="150"/>
      <c r="CX235" s="150"/>
      <c r="CY235" s="150"/>
      <c r="CZ235" s="150"/>
      <c r="DA235" s="150"/>
      <c r="DB235" s="150"/>
      <c r="DC235" s="150"/>
      <c r="DD235" s="150"/>
      <c r="DE235" s="150"/>
      <c r="DF235" s="150"/>
      <c r="DG235" s="150"/>
      <c r="DH235" s="150"/>
      <c r="DI235" s="150"/>
      <c r="DJ235" s="150"/>
      <c r="DK235" s="150"/>
      <c r="DL235" s="150"/>
      <c r="DM235" s="150"/>
      <c r="DN235" s="150"/>
      <c r="DO235" s="150"/>
      <c r="DP235" s="150"/>
      <c r="DQ235" s="150"/>
      <c r="DR235" s="150"/>
      <c r="DS235" s="150"/>
      <c r="DT235" s="150"/>
      <c r="DU235" s="150"/>
      <c r="DV235" s="150"/>
      <c r="DW235" s="150"/>
      <c r="DX235" s="150"/>
      <c r="DY235" s="150"/>
      <c r="DZ235" s="150"/>
      <c r="EA235" s="150"/>
      <c r="EB235" s="150"/>
      <c r="EC235" s="150"/>
      <c r="ED235" s="150"/>
      <c r="EE235" s="150"/>
      <c r="EF235" s="150"/>
      <c r="EG235" s="150"/>
      <c r="EH235" s="150"/>
      <c r="EI235" s="150"/>
      <c r="EJ235" s="150"/>
      <c r="EK235" s="150"/>
      <c r="EL235" s="150"/>
      <c r="EM235" s="150"/>
      <c r="EN235" s="150"/>
      <c r="EO235" s="150"/>
      <c r="EP235" s="150"/>
      <c r="EQ235" s="150"/>
      <c r="ER235" s="150"/>
      <c r="ES235" s="150"/>
      <c r="ET235" s="150"/>
      <c r="EU235" s="150"/>
      <c r="EV235" s="150"/>
      <c r="EW235" s="150"/>
      <c r="EX235" s="150"/>
      <c r="EY235" s="150"/>
      <c r="EZ235" s="150"/>
      <c r="FA235" s="150"/>
      <c r="FB235" s="150"/>
      <c r="FC235" s="150"/>
      <c r="FD235" s="150"/>
      <c r="FE235" s="150"/>
      <c r="FF235" s="150"/>
      <c r="FG235" s="150"/>
      <c r="FH235" s="150"/>
      <c r="FI235" s="150"/>
      <c r="FJ235" s="150"/>
      <c r="FK235" s="150"/>
      <c r="FL235" s="150"/>
      <c r="FM235" s="150"/>
      <c r="FN235" s="150"/>
      <c r="FO235" s="150"/>
      <c r="FP235" s="150"/>
      <c r="FQ235" s="150"/>
      <c r="FR235" s="150"/>
      <c r="FS235" s="150"/>
      <c r="FT235" s="150"/>
      <c r="FU235" s="150"/>
      <c r="FV235" s="150"/>
      <c r="FW235" s="150"/>
      <c r="FX235" s="150"/>
      <c r="FY235" s="150"/>
      <c r="FZ235" s="150"/>
      <c r="GA235" s="150"/>
      <c r="GB235" s="150"/>
      <c r="GC235" s="150"/>
      <c r="GD235" s="150"/>
      <c r="GE235" s="150"/>
      <c r="GF235" s="150"/>
      <c r="GG235" s="150"/>
      <c r="GH235" s="150"/>
      <c r="GI235" s="150"/>
      <c r="GJ235" s="150"/>
      <c r="GK235" s="150"/>
      <c r="GL235" s="150"/>
      <c r="GM235" s="150"/>
      <c r="GN235" s="150"/>
      <c r="GO235" s="150"/>
      <c r="GP235" s="150"/>
      <c r="GQ235" s="150"/>
      <c r="GR235" s="150"/>
      <c r="GS235" s="150"/>
      <c r="GT235" s="150"/>
      <c r="GU235" s="150"/>
      <c r="GV235" s="150"/>
      <c r="GW235" s="150"/>
      <c r="GX235" s="150"/>
      <c r="GY235" s="150"/>
      <c r="GZ235" s="150"/>
      <c r="HA235" s="150"/>
      <c r="HB235" s="150"/>
      <c r="HC235" s="150"/>
      <c r="HD235" s="150"/>
      <c r="HE235" s="150"/>
      <c r="HF235" s="150"/>
      <c r="HG235" s="150"/>
      <c r="HH235" s="150"/>
      <c r="HI235" s="150"/>
      <c r="HJ235" s="150"/>
      <c r="HK235" s="150"/>
      <c r="HL235" s="150"/>
    </row>
    <row r="236" spans="1:220" s="152" customFormat="1" ht="14.25">
      <c r="A236" s="153"/>
      <c r="C236" s="154"/>
      <c r="D236" s="155"/>
      <c r="F236" s="194"/>
      <c r="H236" s="155"/>
      <c r="AJ236" s="156"/>
      <c r="AK236" s="156"/>
      <c r="AQ236" s="154"/>
      <c r="AW236" s="157"/>
      <c r="AX236" s="154"/>
      <c r="AY236" s="158"/>
      <c r="BA236" s="279"/>
      <c r="BX236" s="154"/>
      <c r="CH236" s="154"/>
      <c r="CQ236" s="148"/>
      <c r="CS236" s="147"/>
      <c r="CV236" s="150"/>
      <c r="CW236" s="150"/>
      <c r="CX236" s="150"/>
      <c r="CY236" s="150"/>
      <c r="CZ236" s="150"/>
      <c r="DA236" s="150"/>
      <c r="DB236" s="150"/>
      <c r="DC236" s="150"/>
      <c r="DD236" s="150"/>
      <c r="DE236" s="150"/>
      <c r="DF236" s="150"/>
      <c r="DG236" s="150"/>
      <c r="DH236" s="150"/>
      <c r="DI236" s="150"/>
      <c r="DJ236" s="150"/>
      <c r="DK236" s="150"/>
      <c r="DL236" s="150"/>
      <c r="DM236" s="150"/>
      <c r="DN236" s="150"/>
      <c r="DO236" s="150"/>
      <c r="DP236" s="150"/>
      <c r="DQ236" s="150"/>
      <c r="DR236" s="150"/>
      <c r="DS236" s="150"/>
      <c r="DT236" s="150"/>
      <c r="DU236" s="150"/>
      <c r="DV236" s="150"/>
      <c r="DW236" s="150"/>
      <c r="DX236" s="150"/>
      <c r="DY236" s="150"/>
      <c r="DZ236" s="150"/>
      <c r="EA236" s="150"/>
      <c r="EB236" s="150"/>
      <c r="EC236" s="150"/>
      <c r="ED236" s="150"/>
      <c r="EE236" s="150"/>
      <c r="EF236" s="150"/>
      <c r="EG236" s="150"/>
      <c r="EH236" s="150"/>
      <c r="EI236" s="150"/>
      <c r="EJ236" s="150"/>
      <c r="EK236" s="150"/>
      <c r="EL236" s="150"/>
      <c r="EM236" s="150"/>
      <c r="EN236" s="150"/>
      <c r="EO236" s="150"/>
      <c r="EP236" s="150"/>
      <c r="EQ236" s="150"/>
      <c r="ER236" s="150"/>
      <c r="ES236" s="150"/>
      <c r="ET236" s="150"/>
      <c r="EU236" s="150"/>
      <c r="EV236" s="150"/>
      <c r="EW236" s="150"/>
      <c r="EX236" s="150"/>
      <c r="EY236" s="150"/>
      <c r="EZ236" s="150"/>
      <c r="FA236" s="150"/>
      <c r="FB236" s="150"/>
      <c r="FC236" s="150"/>
      <c r="FD236" s="150"/>
      <c r="FE236" s="150"/>
      <c r="FF236" s="150"/>
      <c r="FG236" s="150"/>
      <c r="FH236" s="150"/>
      <c r="FI236" s="150"/>
      <c r="FJ236" s="150"/>
      <c r="FK236" s="150"/>
      <c r="FL236" s="150"/>
      <c r="FM236" s="150"/>
      <c r="FN236" s="150"/>
      <c r="FO236" s="150"/>
      <c r="FP236" s="150"/>
      <c r="FQ236" s="150"/>
      <c r="FR236" s="150"/>
      <c r="FS236" s="150"/>
      <c r="FT236" s="150"/>
      <c r="FU236" s="150"/>
      <c r="FV236" s="150"/>
      <c r="FW236" s="150"/>
      <c r="FX236" s="150"/>
      <c r="FY236" s="150"/>
      <c r="FZ236" s="150"/>
      <c r="GA236" s="150"/>
      <c r="GB236" s="150"/>
      <c r="GC236" s="150"/>
      <c r="GD236" s="150"/>
      <c r="GE236" s="150"/>
      <c r="GF236" s="150"/>
      <c r="GG236" s="150"/>
      <c r="GH236" s="150"/>
      <c r="GI236" s="150"/>
      <c r="GJ236" s="150"/>
      <c r="GK236" s="150"/>
      <c r="GL236" s="150"/>
      <c r="GM236" s="150"/>
      <c r="GN236" s="150"/>
      <c r="GO236" s="150"/>
      <c r="GP236" s="150"/>
      <c r="GQ236" s="150"/>
      <c r="GR236" s="150"/>
      <c r="GS236" s="150"/>
      <c r="GT236" s="150"/>
      <c r="GU236" s="150"/>
      <c r="GV236" s="150"/>
      <c r="GW236" s="150"/>
      <c r="GX236" s="150"/>
      <c r="GY236" s="150"/>
      <c r="GZ236" s="150"/>
      <c r="HA236" s="150"/>
      <c r="HB236" s="150"/>
      <c r="HC236" s="150"/>
      <c r="HD236" s="150"/>
      <c r="HE236" s="150"/>
      <c r="HF236" s="150"/>
      <c r="HG236" s="150"/>
      <c r="HH236" s="150"/>
      <c r="HI236" s="150"/>
      <c r="HJ236" s="150"/>
      <c r="HK236" s="150"/>
      <c r="HL236" s="150"/>
    </row>
    <row r="237" spans="1:220" s="152" customFormat="1" ht="14.25">
      <c r="A237" s="153"/>
      <c r="C237" s="154"/>
      <c r="D237" s="155"/>
      <c r="F237" s="194"/>
      <c r="H237" s="155"/>
      <c r="AJ237" s="156"/>
      <c r="AK237" s="156"/>
      <c r="AQ237" s="154"/>
      <c r="AW237" s="157"/>
      <c r="AX237" s="154"/>
      <c r="AY237" s="158"/>
      <c r="BA237" s="279"/>
      <c r="BX237" s="154"/>
      <c r="CH237" s="154"/>
      <c r="CQ237" s="148"/>
      <c r="CS237" s="147"/>
      <c r="CV237" s="150"/>
      <c r="CW237" s="150"/>
      <c r="CX237" s="150"/>
      <c r="CY237" s="150"/>
      <c r="CZ237" s="150"/>
      <c r="DA237" s="150"/>
      <c r="DB237" s="150"/>
      <c r="DC237" s="150"/>
      <c r="DD237" s="150"/>
      <c r="DE237" s="150"/>
      <c r="DF237" s="150"/>
      <c r="DG237" s="150"/>
      <c r="DH237" s="150"/>
      <c r="DI237" s="150"/>
      <c r="DJ237" s="150"/>
      <c r="DK237" s="150"/>
      <c r="DL237" s="150"/>
      <c r="DM237" s="150"/>
      <c r="DN237" s="150"/>
      <c r="DO237" s="150"/>
      <c r="DP237" s="150"/>
      <c r="DQ237" s="150"/>
      <c r="DR237" s="150"/>
      <c r="DS237" s="150"/>
      <c r="DT237" s="150"/>
      <c r="DU237" s="150"/>
      <c r="DV237" s="150"/>
      <c r="DW237" s="150"/>
      <c r="DX237" s="150"/>
      <c r="DY237" s="150"/>
      <c r="DZ237" s="150"/>
      <c r="EA237" s="150"/>
      <c r="EB237" s="150"/>
      <c r="EC237" s="150"/>
      <c r="ED237" s="150"/>
      <c r="EE237" s="150"/>
      <c r="EF237" s="150"/>
      <c r="EG237" s="150"/>
      <c r="EH237" s="150"/>
      <c r="EI237" s="150"/>
      <c r="EJ237" s="150"/>
      <c r="EK237" s="150"/>
      <c r="EL237" s="150"/>
      <c r="EM237" s="150"/>
      <c r="EN237" s="150"/>
      <c r="EO237" s="150"/>
      <c r="EP237" s="150"/>
      <c r="EQ237" s="150"/>
      <c r="ER237" s="150"/>
      <c r="ES237" s="150"/>
      <c r="ET237" s="150"/>
      <c r="EU237" s="150"/>
      <c r="EV237" s="150"/>
      <c r="EW237" s="150"/>
      <c r="EX237" s="150"/>
      <c r="EY237" s="150"/>
      <c r="EZ237" s="150"/>
      <c r="FA237" s="150"/>
      <c r="FB237" s="150"/>
      <c r="FC237" s="150"/>
      <c r="FD237" s="150"/>
      <c r="FE237" s="150"/>
      <c r="FF237" s="150"/>
      <c r="FG237" s="150"/>
      <c r="FH237" s="150"/>
      <c r="FI237" s="150"/>
      <c r="FJ237" s="150"/>
      <c r="FK237" s="150"/>
      <c r="FL237" s="150"/>
      <c r="FM237" s="150"/>
      <c r="FN237" s="150"/>
      <c r="FO237" s="150"/>
      <c r="FP237" s="150"/>
      <c r="FQ237" s="150"/>
      <c r="FR237" s="150"/>
      <c r="FS237" s="150"/>
      <c r="FT237" s="150"/>
      <c r="FU237" s="150"/>
      <c r="FV237" s="150"/>
      <c r="FW237" s="150"/>
      <c r="FX237" s="150"/>
      <c r="FY237" s="150"/>
      <c r="FZ237" s="150"/>
      <c r="GA237" s="150"/>
      <c r="GB237" s="150"/>
      <c r="GC237" s="150"/>
      <c r="GD237" s="150"/>
      <c r="GE237" s="150"/>
      <c r="GF237" s="150"/>
      <c r="GG237" s="150"/>
      <c r="GH237" s="150"/>
      <c r="GI237" s="150"/>
      <c r="GJ237" s="150"/>
      <c r="GK237" s="150"/>
      <c r="GL237" s="150"/>
      <c r="GM237" s="150"/>
      <c r="GN237" s="150"/>
      <c r="GO237" s="150"/>
      <c r="GP237" s="150"/>
      <c r="GQ237" s="150"/>
      <c r="GR237" s="150"/>
      <c r="GS237" s="150"/>
      <c r="GT237" s="150"/>
      <c r="GU237" s="150"/>
      <c r="GV237" s="150"/>
      <c r="GW237" s="150"/>
      <c r="GX237" s="150"/>
      <c r="GY237" s="150"/>
      <c r="GZ237" s="150"/>
      <c r="HA237" s="150"/>
      <c r="HB237" s="150"/>
      <c r="HC237" s="150"/>
      <c r="HD237" s="150"/>
      <c r="HE237" s="150"/>
      <c r="HF237" s="150"/>
      <c r="HG237" s="150"/>
      <c r="HH237" s="150"/>
      <c r="HI237" s="150"/>
      <c r="HJ237" s="150"/>
      <c r="HK237" s="150"/>
      <c r="HL237" s="150"/>
    </row>
    <row r="238" spans="1:220" s="152" customFormat="1" ht="14.25">
      <c r="A238" s="153"/>
      <c r="C238" s="154"/>
      <c r="D238" s="155"/>
      <c r="F238" s="194"/>
      <c r="H238" s="155"/>
      <c r="AJ238" s="156"/>
      <c r="AK238" s="156"/>
      <c r="AQ238" s="154"/>
      <c r="AW238" s="157"/>
      <c r="AX238" s="154"/>
      <c r="AY238" s="158"/>
      <c r="BA238" s="279"/>
      <c r="BX238" s="154"/>
      <c r="CH238" s="154"/>
      <c r="CQ238" s="148"/>
      <c r="CS238" s="147"/>
      <c r="CV238" s="150"/>
      <c r="CW238" s="150"/>
      <c r="CX238" s="150"/>
      <c r="CY238" s="150"/>
      <c r="CZ238" s="150"/>
      <c r="DA238" s="150"/>
      <c r="DB238" s="150"/>
      <c r="DC238" s="150"/>
      <c r="DD238" s="150"/>
      <c r="DE238" s="150"/>
      <c r="DF238" s="150"/>
      <c r="DG238" s="150"/>
      <c r="DH238" s="150"/>
      <c r="DI238" s="150"/>
      <c r="DJ238" s="150"/>
      <c r="DK238" s="150"/>
      <c r="DL238" s="150"/>
      <c r="DM238" s="150"/>
      <c r="DN238" s="150"/>
      <c r="DO238" s="150"/>
      <c r="DP238" s="150"/>
      <c r="DQ238" s="150"/>
      <c r="DR238" s="150"/>
      <c r="DS238" s="150"/>
      <c r="DT238" s="150"/>
      <c r="DU238" s="150"/>
      <c r="DV238" s="150"/>
      <c r="DW238" s="150"/>
      <c r="DX238" s="150"/>
      <c r="DY238" s="150"/>
      <c r="DZ238" s="150"/>
      <c r="EA238" s="150"/>
      <c r="EB238" s="150"/>
      <c r="EC238" s="150"/>
      <c r="ED238" s="150"/>
      <c r="EE238" s="150"/>
      <c r="EF238" s="150"/>
      <c r="EG238" s="150"/>
      <c r="EH238" s="150"/>
      <c r="EI238" s="150"/>
      <c r="EJ238" s="150"/>
      <c r="EK238" s="150"/>
      <c r="EL238" s="150"/>
      <c r="EM238" s="150"/>
      <c r="EN238" s="150"/>
      <c r="EO238" s="150"/>
      <c r="EP238" s="150"/>
      <c r="EQ238" s="150"/>
      <c r="ER238" s="150"/>
      <c r="ES238" s="150"/>
      <c r="ET238" s="150"/>
      <c r="EU238" s="150"/>
      <c r="EV238" s="150"/>
      <c r="EW238" s="150"/>
      <c r="EX238" s="150"/>
      <c r="EY238" s="150"/>
      <c r="EZ238" s="150"/>
      <c r="FA238" s="150"/>
      <c r="FB238" s="150"/>
      <c r="FC238" s="150"/>
      <c r="FD238" s="150"/>
      <c r="FE238" s="150"/>
      <c r="FF238" s="150"/>
      <c r="FG238" s="150"/>
      <c r="FH238" s="150"/>
      <c r="FI238" s="150"/>
      <c r="FJ238" s="150"/>
      <c r="FK238" s="150"/>
      <c r="FL238" s="150"/>
      <c r="FM238" s="150"/>
      <c r="FN238" s="150"/>
      <c r="FO238" s="150"/>
      <c r="FP238" s="150"/>
      <c r="FQ238" s="150"/>
      <c r="FR238" s="150"/>
      <c r="FS238" s="150"/>
      <c r="FT238" s="150"/>
      <c r="FU238" s="150"/>
      <c r="FV238" s="150"/>
      <c r="FW238" s="150"/>
      <c r="FX238" s="150"/>
      <c r="FY238" s="150"/>
      <c r="FZ238" s="150"/>
      <c r="GA238" s="150"/>
      <c r="GB238" s="150"/>
      <c r="GC238" s="150"/>
      <c r="GD238" s="150"/>
      <c r="GE238" s="150"/>
      <c r="GF238" s="150"/>
      <c r="GG238" s="150"/>
      <c r="GH238" s="150"/>
      <c r="GI238" s="150"/>
      <c r="GJ238" s="150"/>
      <c r="GK238" s="150"/>
      <c r="GL238" s="150"/>
      <c r="GM238" s="150"/>
      <c r="GN238" s="150"/>
      <c r="GO238" s="150"/>
      <c r="GP238" s="150"/>
      <c r="GQ238" s="150"/>
      <c r="GR238" s="150"/>
      <c r="GS238" s="150"/>
      <c r="GT238" s="150"/>
      <c r="GU238" s="150"/>
      <c r="GV238" s="150"/>
      <c r="GW238" s="150"/>
      <c r="GX238" s="150"/>
      <c r="GY238" s="150"/>
      <c r="GZ238" s="150"/>
      <c r="HA238" s="150"/>
      <c r="HB238" s="150"/>
      <c r="HC238" s="150"/>
      <c r="HD238" s="150"/>
      <c r="HE238" s="150"/>
      <c r="HF238" s="150"/>
      <c r="HG238" s="150"/>
      <c r="HH238" s="150"/>
      <c r="HI238" s="150"/>
      <c r="HJ238" s="150"/>
      <c r="HK238" s="150"/>
      <c r="HL238" s="150"/>
    </row>
    <row r="239" spans="1:220" s="152" customFormat="1" ht="14.25">
      <c r="A239" s="153"/>
      <c r="C239" s="154"/>
      <c r="D239" s="155"/>
      <c r="F239" s="194"/>
      <c r="H239" s="155"/>
      <c r="AJ239" s="156"/>
      <c r="AK239" s="156"/>
      <c r="AQ239" s="154"/>
      <c r="AW239" s="157"/>
      <c r="AX239" s="154"/>
      <c r="AY239" s="158"/>
      <c r="BA239" s="279"/>
      <c r="BX239" s="154"/>
      <c r="CH239" s="154"/>
      <c r="CQ239" s="148"/>
      <c r="CS239" s="147"/>
      <c r="CV239" s="150"/>
      <c r="CW239" s="150"/>
      <c r="CX239" s="150"/>
      <c r="CY239" s="150"/>
      <c r="CZ239" s="150"/>
      <c r="DA239" s="150"/>
      <c r="DB239" s="150"/>
      <c r="DC239" s="150"/>
      <c r="DD239" s="150"/>
      <c r="DE239" s="150"/>
      <c r="DF239" s="150"/>
      <c r="DG239" s="150"/>
      <c r="DH239" s="150"/>
      <c r="DI239" s="150"/>
      <c r="DJ239" s="150"/>
      <c r="DK239" s="150"/>
      <c r="DL239" s="150"/>
      <c r="DM239" s="150"/>
      <c r="DN239" s="150"/>
      <c r="DO239" s="150"/>
      <c r="DP239" s="150"/>
      <c r="DQ239" s="150"/>
      <c r="DR239" s="150"/>
      <c r="DS239" s="150"/>
      <c r="DT239" s="150"/>
      <c r="DU239" s="150"/>
      <c r="DV239" s="150"/>
      <c r="DW239" s="150"/>
      <c r="DX239" s="150"/>
      <c r="DY239" s="150"/>
      <c r="DZ239" s="150"/>
      <c r="EA239" s="150"/>
      <c r="EB239" s="150"/>
      <c r="EC239" s="150"/>
      <c r="ED239" s="150"/>
      <c r="EE239" s="150"/>
      <c r="EF239" s="150"/>
      <c r="EG239" s="150"/>
      <c r="EH239" s="150"/>
      <c r="EI239" s="150"/>
      <c r="EJ239" s="150"/>
      <c r="EK239" s="150"/>
      <c r="EL239" s="150"/>
      <c r="EM239" s="150"/>
      <c r="EN239" s="150"/>
      <c r="EO239" s="150"/>
      <c r="EP239" s="150"/>
      <c r="EQ239" s="150"/>
      <c r="ER239" s="150"/>
      <c r="ES239" s="150"/>
      <c r="ET239" s="150"/>
      <c r="EU239" s="150"/>
      <c r="EV239" s="150"/>
      <c r="EW239" s="150"/>
      <c r="EX239" s="150"/>
      <c r="EY239" s="150"/>
      <c r="EZ239" s="150"/>
      <c r="FA239" s="150"/>
      <c r="FB239" s="150"/>
      <c r="FC239" s="150"/>
      <c r="FD239" s="150"/>
      <c r="FE239" s="150"/>
      <c r="FF239" s="150"/>
      <c r="FG239" s="150"/>
      <c r="FH239" s="150"/>
      <c r="FI239" s="150"/>
      <c r="FJ239" s="150"/>
      <c r="FK239" s="150"/>
      <c r="FL239" s="150"/>
      <c r="FM239" s="150"/>
      <c r="FN239" s="150"/>
      <c r="FO239" s="150"/>
      <c r="FP239" s="150"/>
      <c r="FQ239" s="150"/>
      <c r="FR239" s="150"/>
      <c r="FS239" s="150"/>
      <c r="FT239" s="150"/>
      <c r="FU239" s="150"/>
      <c r="FV239" s="150"/>
      <c r="FW239" s="150"/>
      <c r="FX239" s="150"/>
      <c r="FY239" s="150"/>
      <c r="FZ239" s="150"/>
      <c r="GA239" s="150"/>
      <c r="GB239" s="150"/>
      <c r="GC239" s="150"/>
      <c r="GD239" s="150"/>
      <c r="GE239" s="150"/>
      <c r="GF239" s="150"/>
      <c r="GG239" s="150"/>
      <c r="GH239" s="150"/>
      <c r="GI239" s="150"/>
      <c r="GJ239" s="150"/>
      <c r="GK239" s="150"/>
      <c r="GL239" s="150"/>
      <c r="GM239" s="150"/>
      <c r="GN239" s="150"/>
      <c r="GO239" s="150"/>
      <c r="GP239" s="150"/>
      <c r="GQ239" s="150"/>
      <c r="GR239" s="150"/>
      <c r="GS239" s="150"/>
      <c r="GT239" s="150"/>
      <c r="GU239" s="150"/>
      <c r="GV239" s="150"/>
      <c r="GW239" s="150"/>
      <c r="GX239" s="150"/>
      <c r="GY239" s="150"/>
      <c r="GZ239" s="150"/>
      <c r="HA239" s="150"/>
      <c r="HB239" s="150"/>
      <c r="HC239" s="150"/>
      <c r="HD239" s="150"/>
      <c r="HE239" s="150"/>
      <c r="HF239" s="150"/>
      <c r="HG239" s="150"/>
      <c r="HH239" s="150"/>
      <c r="HI239" s="150"/>
      <c r="HJ239" s="150"/>
      <c r="HK239" s="150"/>
      <c r="HL239" s="150"/>
    </row>
    <row r="240" spans="1:220" s="152" customFormat="1" ht="14.25">
      <c r="A240" s="153"/>
      <c r="C240" s="154"/>
      <c r="D240" s="155"/>
      <c r="F240" s="194"/>
      <c r="H240" s="155"/>
      <c r="AJ240" s="156"/>
      <c r="AK240" s="156"/>
      <c r="AQ240" s="154"/>
      <c r="AW240" s="157"/>
      <c r="AX240" s="154"/>
      <c r="AY240" s="158"/>
      <c r="BA240" s="279"/>
      <c r="BX240" s="154"/>
      <c r="CH240" s="154"/>
      <c r="CQ240" s="148"/>
      <c r="CS240" s="147"/>
      <c r="CV240" s="150"/>
      <c r="CW240" s="150"/>
      <c r="CX240" s="150"/>
      <c r="CY240" s="150"/>
      <c r="CZ240" s="150"/>
      <c r="DA240" s="150"/>
      <c r="DB240" s="150"/>
      <c r="DC240" s="150"/>
      <c r="DD240" s="150"/>
      <c r="DE240" s="150"/>
      <c r="DF240" s="150"/>
      <c r="DG240" s="150"/>
      <c r="DH240" s="150"/>
      <c r="DI240" s="150"/>
      <c r="DJ240" s="150"/>
      <c r="DK240" s="150"/>
      <c r="DL240" s="150"/>
      <c r="DM240" s="150"/>
      <c r="DN240" s="150"/>
      <c r="DO240" s="150"/>
      <c r="DP240" s="150"/>
      <c r="DQ240" s="150"/>
      <c r="DR240" s="150"/>
      <c r="DS240" s="150"/>
      <c r="DT240" s="150"/>
      <c r="DU240" s="150"/>
      <c r="DV240" s="150"/>
      <c r="DW240" s="150"/>
      <c r="DX240" s="150"/>
      <c r="DY240" s="150"/>
      <c r="DZ240" s="150"/>
      <c r="EA240" s="150"/>
      <c r="EB240" s="150"/>
      <c r="EC240" s="150"/>
      <c r="ED240" s="150"/>
      <c r="EE240" s="150"/>
      <c r="EF240" s="150"/>
      <c r="EG240" s="150"/>
      <c r="EH240" s="150"/>
      <c r="EI240" s="150"/>
      <c r="EJ240" s="150"/>
      <c r="EK240" s="150"/>
      <c r="EL240" s="150"/>
      <c r="EM240" s="150"/>
      <c r="EN240" s="150"/>
      <c r="EO240" s="150"/>
      <c r="EP240" s="150"/>
      <c r="EQ240" s="150"/>
      <c r="ER240" s="150"/>
      <c r="ES240" s="150"/>
      <c r="ET240" s="150"/>
      <c r="EU240" s="150"/>
      <c r="EV240" s="150"/>
      <c r="EW240" s="150"/>
      <c r="EX240" s="150"/>
      <c r="EY240" s="150"/>
      <c r="EZ240" s="150"/>
      <c r="FA240" s="150"/>
      <c r="FB240" s="150"/>
      <c r="FC240" s="150"/>
      <c r="FD240" s="150"/>
      <c r="FE240" s="150"/>
      <c r="FF240" s="150"/>
      <c r="FG240" s="150"/>
      <c r="FH240" s="150"/>
      <c r="FI240" s="150"/>
      <c r="FJ240" s="150"/>
      <c r="FK240" s="150"/>
      <c r="FL240" s="150"/>
      <c r="FM240" s="150"/>
      <c r="FN240" s="150"/>
      <c r="FO240" s="150"/>
      <c r="FP240" s="150"/>
      <c r="FQ240" s="150"/>
      <c r="FR240" s="150"/>
      <c r="FS240" s="150"/>
      <c r="FT240" s="150"/>
      <c r="FU240" s="150"/>
      <c r="FV240" s="150"/>
      <c r="FW240" s="150"/>
      <c r="FX240" s="150"/>
      <c r="FY240" s="150"/>
      <c r="FZ240" s="150"/>
      <c r="GA240" s="150"/>
      <c r="GB240" s="150"/>
      <c r="GC240" s="150"/>
      <c r="GD240" s="150"/>
      <c r="GE240" s="150"/>
      <c r="GF240" s="150"/>
      <c r="GG240" s="150"/>
      <c r="GH240" s="150"/>
      <c r="GI240" s="150"/>
      <c r="GJ240" s="150"/>
      <c r="GK240" s="150"/>
      <c r="GL240" s="150"/>
      <c r="GM240" s="150"/>
      <c r="GN240" s="150"/>
      <c r="GO240" s="150"/>
      <c r="GP240" s="150"/>
      <c r="GQ240" s="150"/>
      <c r="GR240" s="150"/>
      <c r="GS240" s="150"/>
      <c r="GT240" s="150"/>
      <c r="GU240" s="150"/>
      <c r="GV240" s="150"/>
      <c r="GW240" s="150"/>
      <c r="GX240" s="150"/>
      <c r="GY240" s="150"/>
      <c r="GZ240" s="150"/>
      <c r="HA240" s="150"/>
      <c r="HB240" s="150"/>
      <c r="HC240" s="150"/>
      <c r="HD240" s="150"/>
      <c r="HE240" s="150"/>
      <c r="HF240" s="150"/>
      <c r="HG240" s="150"/>
      <c r="HH240" s="150"/>
      <c r="HI240" s="150"/>
      <c r="HJ240" s="150"/>
      <c r="HK240" s="150"/>
      <c r="HL240" s="150"/>
    </row>
    <row r="241" spans="1:220" s="152" customFormat="1" ht="14.25">
      <c r="A241" s="153"/>
      <c r="C241" s="154"/>
      <c r="D241" s="155"/>
      <c r="F241" s="194"/>
      <c r="H241" s="155"/>
      <c r="AJ241" s="156"/>
      <c r="AK241" s="156"/>
      <c r="AQ241" s="154"/>
      <c r="AW241" s="157"/>
      <c r="AX241" s="154"/>
      <c r="AY241" s="158"/>
      <c r="BA241" s="279"/>
      <c r="BX241" s="154"/>
      <c r="CH241" s="154"/>
      <c r="CQ241" s="148"/>
      <c r="CS241" s="147"/>
      <c r="CV241" s="150"/>
      <c r="CW241" s="150"/>
      <c r="CX241" s="150"/>
      <c r="CY241" s="150"/>
      <c r="CZ241" s="150"/>
      <c r="DA241" s="150"/>
      <c r="DB241" s="150"/>
      <c r="DC241" s="150"/>
      <c r="DD241" s="150"/>
      <c r="DE241" s="150"/>
      <c r="DF241" s="150"/>
      <c r="DG241" s="150"/>
      <c r="DH241" s="150"/>
      <c r="DI241" s="150"/>
      <c r="DJ241" s="150"/>
      <c r="DK241" s="150"/>
      <c r="DL241" s="150"/>
      <c r="DM241" s="150"/>
      <c r="DN241" s="150"/>
      <c r="DO241" s="150"/>
      <c r="DP241" s="150"/>
      <c r="DQ241" s="150"/>
      <c r="DR241" s="150"/>
      <c r="DS241" s="150"/>
      <c r="DT241" s="150"/>
      <c r="DU241" s="150"/>
      <c r="DV241" s="150"/>
      <c r="DW241" s="150"/>
      <c r="DX241" s="150"/>
      <c r="DY241" s="150"/>
      <c r="DZ241" s="150"/>
      <c r="EA241" s="150"/>
      <c r="EB241" s="150"/>
      <c r="EC241" s="150"/>
      <c r="ED241" s="150"/>
      <c r="EE241" s="150"/>
      <c r="EF241" s="150"/>
      <c r="EG241" s="150"/>
      <c r="EH241" s="150"/>
      <c r="EI241" s="150"/>
      <c r="EJ241" s="150"/>
      <c r="EK241" s="150"/>
      <c r="EL241" s="150"/>
      <c r="EM241" s="150"/>
      <c r="EN241" s="150"/>
      <c r="EO241" s="150"/>
      <c r="EP241" s="150"/>
      <c r="EQ241" s="150"/>
      <c r="ER241" s="150"/>
      <c r="ES241" s="150"/>
      <c r="ET241" s="150"/>
      <c r="EU241" s="150"/>
      <c r="EV241" s="150"/>
      <c r="EW241" s="150"/>
      <c r="EX241" s="150"/>
      <c r="EY241" s="150"/>
      <c r="EZ241" s="150"/>
      <c r="FA241" s="150"/>
      <c r="FB241" s="150"/>
      <c r="FC241" s="150"/>
      <c r="FD241" s="150"/>
      <c r="FE241" s="150"/>
      <c r="FF241" s="150"/>
      <c r="FG241" s="150"/>
      <c r="FH241" s="150"/>
      <c r="FI241" s="150"/>
      <c r="FJ241" s="150"/>
      <c r="FK241" s="150"/>
      <c r="FL241" s="150"/>
      <c r="FM241" s="150"/>
      <c r="FN241" s="150"/>
      <c r="FO241" s="150"/>
      <c r="FP241" s="150"/>
      <c r="FQ241" s="150"/>
      <c r="FR241" s="150"/>
      <c r="FS241" s="150"/>
      <c r="FT241" s="150"/>
      <c r="FU241" s="150"/>
      <c r="FV241" s="150"/>
      <c r="FW241" s="150"/>
      <c r="FX241" s="150"/>
      <c r="FY241" s="150"/>
      <c r="FZ241" s="150"/>
      <c r="GA241" s="150"/>
      <c r="GB241" s="150"/>
      <c r="GC241" s="150"/>
      <c r="GD241" s="150"/>
      <c r="GE241" s="150"/>
      <c r="GF241" s="150"/>
      <c r="GG241" s="150"/>
      <c r="GH241" s="150"/>
      <c r="GI241" s="150"/>
      <c r="GJ241" s="150"/>
      <c r="GK241" s="150"/>
      <c r="GL241" s="150"/>
      <c r="GM241" s="150"/>
      <c r="GN241" s="150"/>
      <c r="GO241" s="150"/>
      <c r="GP241" s="150"/>
      <c r="GQ241" s="150"/>
      <c r="GR241" s="150"/>
      <c r="GS241" s="150"/>
      <c r="GT241" s="150"/>
      <c r="GU241" s="150"/>
      <c r="GV241" s="150"/>
      <c r="GW241" s="150"/>
      <c r="GX241" s="150"/>
      <c r="GY241" s="150"/>
      <c r="GZ241" s="150"/>
      <c r="HA241" s="150"/>
      <c r="HB241" s="150"/>
      <c r="HC241" s="150"/>
      <c r="HD241" s="150"/>
      <c r="HE241" s="150"/>
      <c r="HF241" s="150"/>
      <c r="HG241" s="150"/>
      <c r="HH241" s="150"/>
      <c r="HI241" s="150"/>
      <c r="HJ241" s="150"/>
      <c r="HK241" s="150"/>
      <c r="HL241" s="150"/>
    </row>
    <row r="242" spans="1:220" s="152" customFormat="1" ht="14.25">
      <c r="A242" s="153"/>
      <c r="C242" s="154"/>
      <c r="D242" s="155"/>
      <c r="F242" s="194"/>
      <c r="H242" s="155"/>
      <c r="AJ242" s="156"/>
      <c r="AK242" s="156"/>
      <c r="AQ242" s="154"/>
      <c r="AW242" s="157"/>
      <c r="AX242" s="154"/>
      <c r="AY242" s="158"/>
      <c r="BA242" s="279"/>
      <c r="BX242" s="154"/>
      <c r="CH242" s="154"/>
      <c r="CQ242" s="148"/>
      <c r="CS242" s="147"/>
      <c r="CV242" s="150"/>
      <c r="CW242" s="150"/>
      <c r="CX242" s="150"/>
      <c r="CY242" s="150"/>
      <c r="CZ242" s="150"/>
      <c r="DA242" s="150"/>
      <c r="DB242" s="150"/>
      <c r="DC242" s="150"/>
      <c r="DD242" s="150"/>
      <c r="DE242" s="150"/>
      <c r="DF242" s="150"/>
      <c r="DG242" s="150"/>
      <c r="DH242" s="150"/>
      <c r="DI242" s="150"/>
      <c r="DJ242" s="150"/>
      <c r="DK242" s="150"/>
      <c r="DL242" s="150"/>
      <c r="DM242" s="150"/>
      <c r="DN242" s="150"/>
      <c r="DO242" s="150"/>
      <c r="DP242" s="150"/>
      <c r="DQ242" s="150"/>
      <c r="DR242" s="150"/>
      <c r="DS242" s="150"/>
      <c r="DT242" s="150"/>
      <c r="DU242" s="150"/>
      <c r="DV242" s="150"/>
      <c r="DW242" s="150"/>
      <c r="DX242" s="150"/>
      <c r="DY242" s="150"/>
      <c r="DZ242" s="150"/>
      <c r="EA242" s="150"/>
      <c r="EB242" s="150"/>
      <c r="EC242" s="150"/>
      <c r="ED242" s="150"/>
      <c r="EE242" s="150"/>
      <c r="EF242" s="150"/>
      <c r="EG242" s="150"/>
      <c r="EH242" s="150"/>
      <c r="EI242" s="150"/>
      <c r="EJ242" s="150"/>
      <c r="EK242" s="150"/>
      <c r="EL242" s="150"/>
      <c r="EM242" s="150"/>
      <c r="EN242" s="150"/>
      <c r="EO242" s="150"/>
      <c r="EP242" s="150"/>
      <c r="EQ242" s="150"/>
      <c r="ER242" s="150"/>
      <c r="ES242" s="150"/>
      <c r="ET242" s="150"/>
      <c r="EU242" s="150"/>
      <c r="EV242" s="150"/>
      <c r="EW242" s="150"/>
      <c r="EX242" s="150"/>
      <c r="EY242" s="150"/>
      <c r="EZ242" s="150"/>
      <c r="FA242" s="150"/>
      <c r="FB242" s="150"/>
      <c r="FC242" s="150"/>
      <c r="FD242" s="150"/>
      <c r="FE242" s="150"/>
      <c r="FF242" s="150"/>
      <c r="FG242" s="150"/>
      <c r="FH242" s="150"/>
      <c r="FI242" s="150"/>
      <c r="FJ242" s="150"/>
      <c r="FK242" s="150"/>
      <c r="FL242" s="150"/>
      <c r="FM242" s="150"/>
      <c r="FN242" s="150"/>
      <c r="FO242" s="150"/>
      <c r="FP242" s="150"/>
      <c r="FQ242" s="150"/>
      <c r="FR242" s="150"/>
      <c r="FS242" s="150"/>
      <c r="FT242" s="150"/>
      <c r="FU242" s="150"/>
      <c r="FV242" s="150"/>
      <c r="FW242" s="150"/>
      <c r="FX242" s="150"/>
      <c r="FY242" s="150"/>
      <c r="FZ242" s="150"/>
      <c r="GA242" s="150"/>
      <c r="GB242" s="150"/>
      <c r="GC242" s="150"/>
      <c r="GD242" s="150"/>
      <c r="GE242" s="150"/>
      <c r="GF242" s="150"/>
      <c r="GG242" s="150"/>
      <c r="GH242" s="150"/>
      <c r="GI242" s="150"/>
      <c r="GJ242" s="150"/>
      <c r="GK242" s="150"/>
      <c r="GL242" s="150"/>
      <c r="GM242" s="150"/>
      <c r="GN242" s="150"/>
      <c r="GO242" s="150"/>
      <c r="GP242" s="150"/>
      <c r="GQ242" s="150"/>
      <c r="GR242" s="150"/>
      <c r="GS242" s="150"/>
      <c r="GT242" s="150"/>
      <c r="GU242" s="150"/>
      <c r="GV242" s="150"/>
      <c r="GW242" s="150"/>
      <c r="GX242" s="150"/>
      <c r="GY242" s="150"/>
      <c r="GZ242" s="150"/>
      <c r="HA242" s="150"/>
      <c r="HB242" s="150"/>
      <c r="HC242" s="150"/>
      <c r="HD242" s="150"/>
      <c r="HE242" s="150"/>
      <c r="HF242" s="150"/>
      <c r="HG242" s="150"/>
      <c r="HH242" s="150"/>
      <c r="HI242" s="150"/>
      <c r="HJ242" s="150"/>
      <c r="HK242" s="150"/>
      <c r="HL242" s="150"/>
    </row>
    <row r="243" spans="1:220" s="152" customFormat="1" ht="14.25">
      <c r="A243" s="153"/>
      <c r="C243" s="154"/>
      <c r="D243" s="155"/>
      <c r="F243" s="194"/>
      <c r="H243" s="155"/>
      <c r="AJ243" s="156"/>
      <c r="AK243" s="156"/>
      <c r="AQ243" s="154"/>
      <c r="AW243" s="157"/>
      <c r="AX243" s="154"/>
      <c r="AY243" s="158"/>
      <c r="BA243" s="279"/>
      <c r="BX243" s="154"/>
      <c r="CH243" s="154"/>
      <c r="CQ243" s="148"/>
      <c r="CS243" s="147"/>
      <c r="CV243" s="150"/>
      <c r="CW243" s="150"/>
      <c r="CX243" s="150"/>
      <c r="CY243" s="150"/>
      <c r="CZ243" s="150"/>
      <c r="DA243" s="150"/>
      <c r="DB243" s="150"/>
      <c r="DC243" s="150"/>
      <c r="DD243" s="150"/>
      <c r="DE243" s="150"/>
      <c r="DF243" s="150"/>
      <c r="DG243" s="150"/>
      <c r="DH243" s="150"/>
      <c r="DI243" s="150"/>
      <c r="DJ243" s="150"/>
      <c r="DK243" s="150"/>
      <c r="DL243" s="150"/>
      <c r="DM243" s="150"/>
      <c r="DN243" s="150"/>
      <c r="DO243" s="150"/>
      <c r="DP243" s="150"/>
      <c r="DQ243" s="150"/>
      <c r="DR243" s="150"/>
      <c r="DS243" s="150"/>
      <c r="DT243" s="150"/>
      <c r="DU243" s="150"/>
      <c r="DV243" s="150"/>
      <c r="DW243" s="150"/>
      <c r="DX243" s="150"/>
      <c r="DY243" s="150"/>
      <c r="DZ243" s="150"/>
      <c r="EA243" s="150"/>
      <c r="EB243" s="150"/>
      <c r="EC243" s="150"/>
      <c r="ED243" s="150"/>
      <c r="EE243" s="150"/>
      <c r="EF243" s="150"/>
      <c r="EG243" s="150"/>
      <c r="EH243" s="150"/>
      <c r="EI243" s="150"/>
      <c r="EJ243" s="150"/>
      <c r="EK243" s="150"/>
      <c r="EL243" s="150"/>
      <c r="EM243" s="150"/>
      <c r="EN243" s="150"/>
      <c r="EO243" s="150"/>
      <c r="EP243" s="150"/>
      <c r="EQ243" s="150"/>
      <c r="ER243" s="150"/>
      <c r="ES243" s="150"/>
      <c r="ET243" s="150"/>
      <c r="EU243" s="150"/>
      <c r="EV243" s="150"/>
      <c r="EW243" s="150"/>
      <c r="EX243" s="150"/>
      <c r="EY243" s="150"/>
      <c r="EZ243" s="150"/>
      <c r="FA243" s="150"/>
      <c r="FB243" s="150"/>
      <c r="FC243" s="150"/>
      <c r="FD243" s="150"/>
      <c r="FE243" s="150"/>
      <c r="FF243" s="150"/>
      <c r="FG243" s="150"/>
      <c r="FH243" s="150"/>
      <c r="FI243" s="150"/>
      <c r="FJ243" s="150"/>
      <c r="FK243" s="150"/>
      <c r="FL243" s="150"/>
      <c r="FM243" s="150"/>
      <c r="FN243" s="150"/>
      <c r="FO243" s="150"/>
      <c r="FP243" s="150"/>
      <c r="FQ243" s="150"/>
      <c r="FR243" s="150"/>
      <c r="FS243" s="150"/>
      <c r="FT243" s="150"/>
      <c r="FU243" s="150"/>
      <c r="FV243" s="150"/>
      <c r="FW243" s="150"/>
      <c r="FX243" s="150"/>
      <c r="FY243" s="150"/>
      <c r="FZ243" s="150"/>
      <c r="GA243" s="150"/>
      <c r="GB243" s="150"/>
      <c r="GC243" s="150"/>
      <c r="GD243" s="150"/>
      <c r="GE243" s="150"/>
      <c r="GF243" s="150"/>
      <c r="GG243" s="150"/>
      <c r="GH243" s="150"/>
      <c r="GI243" s="150"/>
      <c r="GJ243" s="150"/>
      <c r="GK243" s="150"/>
      <c r="GL243" s="150"/>
      <c r="GM243" s="150"/>
      <c r="GN243" s="150"/>
      <c r="GO243" s="150"/>
      <c r="GP243" s="150"/>
      <c r="GQ243" s="150"/>
      <c r="GR243" s="150"/>
      <c r="GS243" s="150"/>
      <c r="GT243" s="150"/>
      <c r="GU243" s="150"/>
      <c r="GV243" s="150"/>
      <c r="GW243" s="150"/>
      <c r="GX243" s="150"/>
      <c r="GY243" s="150"/>
      <c r="GZ243" s="150"/>
      <c r="HA243" s="150"/>
      <c r="HB243" s="150"/>
      <c r="HC243" s="150"/>
      <c r="HD243" s="150"/>
      <c r="HE243" s="150"/>
      <c r="HF243" s="150"/>
      <c r="HG243" s="150"/>
      <c r="HH243" s="150"/>
      <c r="HI243" s="150"/>
      <c r="HJ243" s="150"/>
      <c r="HK243" s="150"/>
      <c r="HL243" s="150"/>
    </row>
    <row r="244" spans="1:220" s="152" customFormat="1" ht="14.25">
      <c r="A244" s="153"/>
      <c r="C244" s="154"/>
      <c r="D244" s="155"/>
      <c r="F244" s="194"/>
      <c r="H244" s="155"/>
      <c r="AJ244" s="156"/>
      <c r="AK244" s="156"/>
      <c r="AQ244" s="154"/>
      <c r="AW244" s="157"/>
      <c r="AX244" s="154"/>
      <c r="AY244" s="158"/>
      <c r="BA244" s="279"/>
      <c r="BX244" s="154"/>
      <c r="CH244" s="154"/>
      <c r="CQ244" s="148"/>
      <c r="CS244" s="147"/>
      <c r="CV244" s="150"/>
      <c r="CW244" s="150"/>
      <c r="CX244" s="150"/>
      <c r="CY244" s="150"/>
      <c r="CZ244" s="150"/>
      <c r="DA244" s="150"/>
      <c r="DB244" s="150"/>
      <c r="DC244" s="150"/>
      <c r="DD244" s="150"/>
      <c r="DE244" s="150"/>
      <c r="DF244" s="150"/>
      <c r="DG244" s="150"/>
      <c r="DH244" s="150"/>
      <c r="DI244" s="150"/>
      <c r="DJ244" s="150"/>
      <c r="DK244" s="150"/>
      <c r="DL244" s="150"/>
      <c r="DM244" s="150"/>
      <c r="DN244" s="150"/>
      <c r="DO244" s="150"/>
      <c r="DP244" s="150"/>
      <c r="DQ244" s="150"/>
      <c r="DR244" s="150"/>
      <c r="DS244" s="150"/>
      <c r="DT244" s="150"/>
      <c r="DU244" s="150"/>
      <c r="DV244" s="150"/>
      <c r="DW244" s="150"/>
      <c r="DX244" s="150"/>
      <c r="DY244" s="150"/>
      <c r="DZ244" s="150"/>
      <c r="EA244" s="150"/>
      <c r="EB244" s="150"/>
      <c r="EC244" s="150"/>
      <c r="ED244" s="150"/>
      <c r="EE244" s="150"/>
      <c r="EF244" s="150"/>
      <c r="EG244" s="150"/>
      <c r="EH244" s="150"/>
      <c r="EI244" s="150"/>
      <c r="EJ244" s="150"/>
      <c r="EK244" s="150"/>
      <c r="EL244" s="150"/>
      <c r="EM244" s="150"/>
      <c r="EN244" s="150"/>
      <c r="EO244" s="150"/>
      <c r="EP244" s="150"/>
      <c r="EQ244" s="150"/>
      <c r="ER244" s="150"/>
      <c r="ES244" s="150"/>
      <c r="ET244" s="150"/>
      <c r="EU244" s="150"/>
      <c r="EV244" s="150"/>
      <c r="EW244" s="150"/>
      <c r="EX244" s="150"/>
      <c r="EY244" s="150"/>
      <c r="EZ244" s="150"/>
      <c r="FA244" s="150"/>
      <c r="FB244" s="150"/>
      <c r="FC244" s="150"/>
      <c r="FD244" s="150"/>
      <c r="FE244" s="150"/>
      <c r="FF244" s="150"/>
      <c r="FG244" s="150"/>
      <c r="FH244" s="150"/>
      <c r="FI244" s="150"/>
      <c r="FJ244" s="150"/>
      <c r="FK244" s="150"/>
      <c r="FL244" s="150"/>
      <c r="FM244" s="150"/>
      <c r="FN244" s="150"/>
      <c r="FO244" s="150"/>
      <c r="FP244" s="150"/>
      <c r="FQ244" s="150"/>
      <c r="FR244" s="150"/>
      <c r="FS244" s="150"/>
      <c r="FT244" s="150"/>
      <c r="FU244" s="150"/>
      <c r="FV244" s="150"/>
      <c r="FW244" s="150"/>
      <c r="FX244" s="150"/>
      <c r="FY244" s="150"/>
      <c r="FZ244" s="150"/>
      <c r="GA244" s="150"/>
      <c r="GB244" s="150"/>
      <c r="GC244" s="150"/>
      <c r="GD244" s="150"/>
      <c r="GE244" s="150"/>
      <c r="GF244" s="150"/>
      <c r="GG244" s="150"/>
      <c r="GH244" s="150"/>
      <c r="GI244" s="150"/>
      <c r="GJ244" s="150"/>
      <c r="GK244" s="150"/>
      <c r="GL244" s="150"/>
      <c r="GM244" s="150"/>
      <c r="GN244" s="150"/>
      <c r="GO244" s="150"/>
      <c r="GP244" s="150"/>
      <c r="GQ244" s="150"/>
      <c r="GR244" s="150"/>
      <c r="GS244" s="150"/>
      <c r="GT244" s="150"/>
      <c r="GU244" s="150"/>
      <c r="GV244" s="150"/>
      <c r="GW244" s="150"/>
      <c r="GX244" s="150"/>
      <c r="GY244" s="150"/>
      <c r="GZ244" s="150"/>
      <c r="HA244" s="150"/>
      <c r="HB244" s="150"/>
      <c r="HC244" s="150"/>
      <c r="HD244" s="150"/>
      <c r="HE244" s="150"/>
      <c r="HF244" s="150"/>
      <c r="HG244" s="150"/>
      <c r="HH244" s="150"/>
      <c r="HI244" s="150"/>
      <c r="HJ244" s="150"/>
      <c r="HK244" s="150"/>
      <c r="HL244" s="150"/>
    </row>
    <row r="245" spans="1:220" s="152" customFormat="1" ht="14.25">
      <c r="A245" s="153"/>
      <c r="C245" s="154"/>
      <c r="D245" s="155"/>
      <c r="F245" s="194"/>
      <c r="H245" s="155"/>
      <c r="AJ245" s="156"/>
      <c r="AK245" s="156"/>
      <c r="AQ245" s="154"/>
      <c r="AW245" s="157"/>
      <c r="AX245" s="154"/>
      <c r="AY245" s="158"/>
      <c r="BA245" s="279"/>
      <c r="BX245" s="154"/>
      <c r="CH245" s="154"/>
      <c r="CQ245" s="148"/>
      <c r="CS245" s="147"/>
      <c r="CV245" s="150"/>
      <c r="CW245" s="150"/>
      <c r="CX245" s="150"/>
      <c r="CY245" s="150"/>
      <c r="CZ245" s="150"/>
      <c r="DA245" s="150"/>
      <c r="DB245" s="150"/>
      <c r="DC245" s="150"/>
      <c r="DD245" s="150"/>
      <c r="DE245" s="150"/>
      <c r="DF245" s="150"/>
      <c r="DG245" s="150"/>
      <c r="DH245" s="150"/>
      <c r="DI245" s="150"/>
      <c r="DJ245" s="150"/>
      <c r="DK245" s="150"/>
      <c r="DL245" s="150"/>
      <c r="DM245" s="150"/>
      <c r="DN245" s="150"/>
      <c r="DO245" s="150"/>
      <c r="DP245" s="150"/>
      <c r="DQ245" s="150"/>
      <c r="DR245" s="150"/>
      <c r="DS245" s="150"/>
      <c r="DT245" s="150"/>
      <c r="DU245" s="150"/>
      <c r="DV245" s="150"/>
      <c r="DW245" s="150"/>
      <c r="DX245" s="150"/>
      <c r="DY245" s="150"/>
      <c r="DZ245" s="150"/>
      <c r="EA245" s="150"/>
      <c r="EB245" s="150"/>
      <c r="EC245" s="150"/>
      <c r="ED245" s="150"/>
      <c r="EE245" s="150"/>
      <c r="EF245" s="150"/>
      <c r="EG245" s="150"/>
      <c r="EH245" s="150"/>
      <c r="EI245" s="150"/>
      <c r="EJ245" s="150"/>
      <c r="EK245" s="150"/>
      <c r="EL245" s="150"/>
      <c r="EM245" s="150"/>
      <c r="EN245" s="150"/>
      <c r="EO245" s="150"/>
      <c r="EP245" s="150"/>
      <c r="EQ245" s="150"/>
      <c r="ER245" s="150"/>
      <c r="ES245" s="150"/>
      <c r="ET245" s="150"/>
      <c r="EU245" s="150"/>
      <c r="EV245" s="150"/>
      <c r="EW245" s="150"/>
      <c r="EX245" s="150"/>
      <c r="EY245" s="150"/>
      <c r="EZ245" s="150"/>
      <c r="FA245" s="150"/>
      <c r="FB245" s="150"/>
      <c r="FC245" s="150"/>
      <c r="FD245" s="150"/>
      <c r="FE245" s="150"/>
      <c r="FF245" s="150"/>
      <c r="FG245" s="150"/>
      <c r="FH245" s="150"/>
      <c r="FI245" s="150"/>
      <c r="FJ245" s="150"/>
      <c r="FK245" s="150"/>
      <c r="FL245" s="150"/>
      <c r="FM245" s="150"/>
      <c r="FN245" s="150"/>
      <c r="FO245" s="150"/>
      <c r="FP245" s="150"/>
      <c r="FQ245" s="150"/>
      <c r="FR245" s="150"/>
      <c r="FS245" s="150"/>
      <c r="FT245" s="150"/>
      <c r="FU245" s="150"/>
      <c r="FV245" s="150"/>
      <c r="FW245" s="150"/>
      <c r="FX245" s="150"/>
      <c r="FY245" s="150"/>
      <c r="FZ245" s="150"/>
      <c r="GA245" s="150"/>
      <c r="GB245" s="150"/>
      <c r="GC245" s="150"/>
      <c r="GD245" s="150"/>
      <c r="GE245" s="150"/>
      <c r="GF245" s="150"/>
      <c r="GG245" s="150"/>
      <c r="GH245" s="150"/>
      <c r="GI245" s="150"/>
      <c r="GJ245" s="150"/>
      <c r="GK245" s="150"/>
      <c r="GL245" s="150"/>
      <c r="GM245" s="150"/>
      <c r="GN245" s="150"/>
      <c r="GO245" s="150"/>
      <c r="GP245" s="150"/>
      <c r="GQ245" s="150"/>
      <c r="GR245" s="150"/>
      <c r="GS245" s="150"/>
      <c r="GT245" s="150"/>
      <c r="GU245" s="150"/>
      <c r="GV245" s="150"/>
      <c r="GW245" s="150"/>
      <c r="GX245" s="150"/>
      <c r="GY245" s="150"/>
      <c r="GZ245" s="150"/>
      <c r="HA245" s="150"/>
      <c r="HB245" s="150"/>
      <c r="HC245" s="150"/>
      <c r="HD245" s="150"/>
      <c r="HE245" s="150"/>
      <c r="HF245" s="150"/>
      <c r="HG245" s="150"/>
      <c r="HH245" s="150"/>
      <c r="HI245" s="150"/>
      <c r="HJ245" s="150"/>
      <c r="HK245" s="150"/>
      <c r="HL245" s="150"/>
    </row>
    <row r="246" spans="1:220" s="152" customFormat="1" ht="14.25">
      <c r="A246" s="153"/>
      <c r="C246" s="154"/>
      <c r="D246" s="155"/>
      <c r="F246" s="194"/>
      <c r="H246" s="155"/>
      <c r="AJ246" s="156"/>
      <c r="AK246" s="156"/>
      <c r="AQ246" s="154"/>
      <c r="AW246" s="157"/>
      <c r="AX246" s="154"/>
      <c r="AY246" s="158"/>
      <c r="BA246" s="279"/>
      <c r="BX246" s="154"/>
      <c r="CH246" s="154"/>
      <c r="CQ246" s="149"/>
      <c r="CS246" s="147"/>
      <c r="CV246" s="150"/>
      <c r="CW246" s="150"/>
      <c r="CX246" s="150"/>
      <c r="CY246" s="150"/>
      <c r="CZ246" s="150"/>
      <c r="DA246" s="150"/>
      <c r="DB246" s="150"/>
      <c r="DC246" s="150"/>
      <c r="DD246" s="150"/>
      <c r="DE246" s="150"/>
      <c r="DF246" s="150"/>
      <c r="DG246" s="150"/>
      <c r="DH246" s="150"/>
      <c r="DI246" s="150"/>
      <c r="DJ246" s="150"/>
      <c r="DK246" s="150"/>
      <c r="DL246" s="150"/>
      <c r="DM246" s="150"/>
      <c r="DN246" s="150"/>
      <c r="DO246" s="150"/>
      <c r="DP246" s="150"/>
      <c r="DQ246" s="150"/>
      <c r="DR246" s="150"/>
      <c r="DS246" s="150"/>
      <c r="DT246" s="150"/>
      <c r="DU246" s="150"/>
      <c r="DV246" s="150"/>
      <c r="DW246" s="150"/>
      <c r="DX246" s="150"/>
      <c r="DY246" s="150"/>
      <c r="DZ246" s="150"/>
      <c r="EA246" s="150"/>
      <c r="EB246" s="150"/>
      <c r="EC246" s="150"/>
      <c r="ED246" s="150"/>
      <c r="EE246" s="150"/>
      <c r="EF246" s="150"/>
      <c r="EG246" s="150"/>
      <c r="EH246" s="150"/>
      <c r="EI246" s="150"/>
      <c r="EJ246" s="150"/>
      <c r="EK246" s="150"/>
      <c r="EL246" s="150"/>
      <c r="EM246" s="150"/>
      <c r="EN246" s="150"/>
      <c r="EO246" s="150"/>
      <c r="EP246" s="150"/>
      <c r="EQ246" s="150"/>
      <c r="ER246" s="150"/>
      <c r="ES246" s="150"/>
      <c r="ET246" s="150"/>
      <c r="EU246" s="150"/>
      <c r="EV246" s="150"/>
      <c r="EW246" s="150"/>
      <c r="EX246" s="150"/>
      <c r="EY246" s="150"/>
      <c r="EZ246" s="150"/>
      <c r="FA246" s="150"/>
      <c r="FB246" s="150"/>
      <c r="FC246" s="150"/>
      <c r="FD246" s="150"/>
      <c r="FE246" s="150"/>
      <c r="FF246" s="150"/>
      <c r="FG246" s="150"/>
      <c r="FH246" s="150"/>
      <c r="FI246" s="150"/>
      <c r="FJ246" s="150"/>
      <c r="FK246" s="150"/>
      <c r="FL246" s="150"/>
      <c r="FM246" s="150"/>
      <c r="FN246" s="150"/>
      <c r="FO246" s="150"/>
      <c r="FP246" s="150"/>
      <c r="FQ246" s="150"/>
      <c r="FR246" s="150"/>
      <c r="FS246" s="150"/>
      <c r="FT246" s="150"/>
      <c r="FU246" s="150"/>
      <c r="FV246" s="150"/>
      <c r="FW246" s="150"/>
      <c r="FX246" s="150"/>
      <c r="FY246" s="150"/>
      <c r="FZ246" s="150"/>
      <c r="GA246" s="150"/>
      <c r="GB246" s="150"/>
      <c r="GC246" s="150"/>
      <c r="GD246" s="150"/>
      <c r="GE246" s="150"/>
      <c r="GF246" s="150"/>
      <c r="GG246" s="150"/>
      <c r="GH246" s="150"/>
      <c r="GI246" s="150"/>
      <c r="GJ246" s="150"/>
      <c r="GK246" s="150"/>
      <c r="GL246" s="150"/>
      <c r="GM246" s="150"/>
      <c r="GN246" s="150"/>
      <c r="GO246" s="150"/>
      <c r="GP246" s="150"/>
      <c r="GQ246" s="150"/>
      <c r="GR246" s="150"/>
      <c r="GS246" s="150"/>
      <c r="GT246" s="150"/>
      <c r="GU246" s="150"/>
      <c r="GV246" s="150"/>
      <c r="GW246" s="150"/>
      <c r="GX246" s="150"/>
      <c r="GY246" s="150"/>
      <c r="GZ246" s="150"/>
      <c r="HA246" s="150"/>
      <c r="HB246" s="150"/>
      <c r="HC246" s="150"/>
      <c r="HD246" s="150"/>
      <c r="HE246" s="150"/>
      <c r="HF246" s="150"/>
      <c r="HG246" s="150"/>
      <c r="HH246" s="150"/>
      <c r="HI246" s="150"/>
      <c r="HJ246" s="150"/>
      <c r="HK246" s="150"/>
      <c r="HL246" s="150"/>
    </row>
    <row r="247" spans="1:220" s="152" customFormat="1" ht="14.25">
      <c r="A247" s="153"/>
      <c r="C247" s="154"/>
      <c r="D247" s="155"/>
      <c r="F247" s="194"/>
      <c r="H247" s="155"/>
      <c r="AJ247" s="156"/>
      <c r="AK247" s="156"/>
      <c r="AQ247" s="154"/>
      <c r="AW247" s="157"/>
      <c r="AX247" s="154"/>
      <c r="AY247" s="158"/>
      <c r="BA247" s="279"/>
      <c r="BX247" s="154"/>
      <c r="CH247" s="154"/>
      <c r="CQ247" s="149"/>
      <c r="CS247" s="147"/>
      <c r="CV247" s="150"/>
      <c r="CW247" s="150"/>
      <c r="CX247" s="150"/>
      <c r="CY247" s="150"/>
      <c r="CZ247" s="150"/>
      <c r="DA247" s="150"/>
      <c r="DB247" s="150"/>
      <c r="DC247" s="150"/>
      <c r="DD247" s="150"/>
      <c r="DE247" s="150"/>
      <c r="DF247" s="150"/>
      <c r="DG247" s="150"/>
      <c r="DH247" s="150"/>
      <c r="DI247" s="150"/>
      <c r="DJ247" s="150"/>
      <c r="DK247" s="150"/>
      <c r="DL247" s="150"/>
      <c r="DM247" s="150"/>
      <c r="DN247" s="150"/>
      <c r="DO247" s="150"/>
      <c r="DP247" s="150"/>
      <c r="DQ247" s="150"/>
      <c r="DR247" s="150"/>
      <c r="DS247" s="150"/>
      <c r="DT247" s="150"/>
      <c r="DU247" s="150"/>
      <c r="DV247" s="150"/>
      <c r="DW247" s="150"/>
      <c r="DX247" s="150"/>
      <c r="DY247" s="150"/>
      <c r="DZ247" s="150"/>
      <c r="EA247" s="150"/>
      <c r="EB247" s="150"/>
      <c r="EC247" s="150"/>
      <c r="ED247" s="150"/>
      <c r="EE247" s="150"/>
      <c r="EF247" s="150"/>
      <c r="EG247" s="150"/>
      <c r="EH247" s="150"/>
      <c r="EI247" s="150"/>
      <c r="EJ247" s="150"/>
      <c r="EK247" s="150"/>
      <c r="EL247" s="150"/>
      <c r="EM247" s="150"/>
      <c r="EN247" s="150"/>
      <c r="EO247" s="150"/>
      <c r="EP247" s="150"/>
      <c r="EQ247" s="150"/>
      <c r="ER247" s="150"/>
      <c r="ES247" s="150"/>
      <c r="ET247" s="150"/>
      <c r="EU247" s="150"/>
      <c r="EV247" s="150"/>
      <c r="EW247" s="150"/>
      <c r="EX247" s="150"/>
      <c r="EY247" s="150"/>
      <c r="EZ247" s="150"/>
      <c r="FA247" s="150"/>
      <c r="FB247" s="150"/>
      <c r="FC247" s="150"/>
      <c r="FD247" s="150"/>
      <c r="FE247" s="150"/>
      <c r="FF247" s="150"/>
      <c r="FG247" s="150"/>
      <c r="FH247" s="150"/>
      <c r="FI247" s="150"/>
      <c r="FJ247" s="150"/>
      <c r="FK247" s="150"/>
      <c r="FL247" s="150"/>
      <c r="FM247" s="150"/>
      <c r="FN247" s="150"/>
      <c r="FO247" s="150"/>
      <c r="FP247" s="150"/>
      <c r="FQ247" s="150"/>
      <c r="FR247" s="150"/>
      <c r="FS247" s="150"/>
      <c r="FT247" s="150"/>
      <c r="FU247" s="150"/>
      <c r="FV247" s="150"/>
      <c r="FW247" s="150"/>
      <c r="FX247" s="150"/>
      <c r="FY247" s="150"/>
      <c r="FZ247" s="150"/>
      <c r="GA247" s="150"/>
      <c r="GB247" s="150"/>
      <c r="GC247" s="150"/>
      <c r="GD247" s="150"/>
      <c r="GE247" s="150"/>
      <c r="GF247" s="150"/>
      <c r="GG247" s="150"/>
      <c r="GH247" s="150"/>
      <c r="GI247" s="150"/>
      <c r="GJ247" s="150"/>
      <c r="GK247" s="150"/>
      <c r="GL247" s="150"/>
      <c r="GM247" s="150"/>
      <c r="GN247" s="150"/>
      <c r="GO247" s="150"/>
      <c r="GP247" s="150"/>
      <c r="GQ247" s="150"/>
      <c r="GR247" s="150"/>
      <c r="GS247" s="150"/>
      <c r="GT247" s="150"/>
      <c r="GU247" s="150"/>
      <c r="GV247" s="150"/>
      <c r="GW247" s="150"/>
      <c r="GX247" s="150"/>
      <c r="GY247" s="150"/>
      <c r="GZ247" s="150"/>
      <c r="HA247" s="150"/>
      <c r="HB247" s="150"/>
      <c r="HC247" s="150"/>
      <c r="HD247" s="150"/>
      <c r="HE247" s="150"/>
      <c r="HF247" s="150"/>
      <c r="HG247" s="150"/>
      <c r="HH247" s="150"/>
      <c r="HI247" s="150"/>
      <c r="HJ247" s="150"/>
      <c r="HK247" s="150"/>
      <c r="HL247" s="150"/>
    </row>
    <row r="248" spans="1:220" s="152" customFormat="1" ht="14.25">
      <c r="A248" s="153"/>
      <c r="C248" s="154"/>
      <c r="D248" s="155"/>
      <c r="F248" s="194"/>
      <c r="H248" s="155"/>
      <c r="AJ248" s="156"/>
      <c r="AK248" s="156"/>
      <c r="AQ248" s="154"/>
      <c r="AW248" s="157"/>
      <c r="AX248" s="154"/>
      <c r="AY248" s="158"/>
      <c r="BA248" s="279"/>
      <c r="BX248" s="154"/>
      <c r="CH248" s="154"/>
      <c r="CQ248" s="149"/>
      <c r="CS248" s="147"/>
      <c r="CV248" s="150"/>
      <c r="CW248" s="150"/>
      <c r="CX248" s="150"/>
      <c r="CY248" s="150"/>
      <c r="CZ248" s="150"/>
      <c r="DA248" s="150"/>
      <c r="DB248" s="150"/>
      <c r="DC248" s="150"/>
      <c r="DD248" s="150"/>
      <c r="DE248" s="150"/>
      <c r="DF248" s="150"/>
      <c r="DG248" s="150"/>
      <c r="DH248" s="150"/>
      <c r="DI248" s="150"/>
      <c r="DJ248" s="150"/>
      <c r="DK248" s="150"/>
      <c r="DL248" s="150"/>
      <c r="DM248" s="150"/>
      <c r="DN248" s="150"/>
      <c r="DO248" s="150"/>
      <c r="DP248" s="150"/>
      <c r="DQ248" s="150"/>
      <c r="DR248" s="150"/>
      <c r="DS248" s="150"/>
      <c r="DT248" s="150"/>
      <c r="DU248" s="150"/>
      <c r="DV248" s="150"/>
      <c r="DW248" s="150"/>
      <c r="DX248" s="150"/>
      <c r="DY248" s="150"/>
      <c r="DZ248" s="150"/>
      <c r="EA248" s="150"/>
      <c r="EB248" s="150"/>
      <c r="EC248" s="150"/>
      <c r="ED248" s="150"/>
      <c r="EE248" s="150"/>
      <c r="EF248" s="150"/>
      <c r="EG248" s="150"/>
      <c r="EH248" s="150"/>
      <c r="EI248" s="150"/>
      <c r="EJ248" s="150"/>
      <c r="EK248" s="150"/>
      <c r="EL248" s="150"/>
      <c r="EM248" s="150"/>
      <c r="EN248" s="150"/>
      <c r="EO248" s="150"/>
      <c r="EP248" s="150"/>
      <c r="EQ248" s="150"/>
      <c r="ER248" s="150"/>
      <c r="ES248" s="150"/>
      <c r="ET248" s="150"/>
      <c r="EU248" s="150"/>
      <c r="EV248" s="150"/>
      <c r="EW248" s="150"/>
      <c r="EX248" s="150"/>
      <c r="EY248" s="150"/>
      <c r="EZ248" s="150"/>
      <c r="FA248" s="150"/>
      <c r="FB248" s="150"/>
      <c r="FC248" s="150"/>
      <c r="FD248" s="150"/>
      <c r="FE248" s="150"/>
      <c r="FF248" s="150"/>
      <c r="FG248" s="150"/>
      <c r="FH248" s="150"/>
      <c r="FI248" s="150"/>
      <c r="FJ248" s="150"/>
      <c r="FK248" s="150"/>
      <c r="FL248" s="150"/>
      <c r="FM248" s="150"/>
      <c r="FN248" s="150"/>
      <c r="FO248" s="150"/>
      <c r="FP248" s="150"/>
      <c r="FQ248" s="150"/>
      <c r="FR248" s="150"/>
      <c r="FS248" s="150"/>
      <c r="FT248" s="150"/>
      <c r="FU248" s="150"/>
      <c r="FV248" s="150"/>
      <c r="FW248" s="150"/>
      <c r="FX248" s="150"/>
      <c r="FY248" s="150"/>
      <c r="FZ248" s="150"/>
      <c r="GA248" s="150"/>
      <c r="GB248" s="150"/>
      <c r="GC248" s="150"/>
      <c r="GD248" s="150"/>
      <c r="GE248" s="150"/>
      <c r="GF248" s="150"/>
      <c r="GG248" s="150"/>
      <c r="GH248" s="150"/>
      <c r="GI248" s="150"/>
      <c r="GJ248" s="150"/>
      <c r="GK248" s="150"/>
      <c r="GL248" s="150"/>
      <c r="GM248" s="150"/>
      <c r="GN248" s="150"/>
      <c r="GO248" s="150"/>
      <c r="GP248" s="150"/>
      <c r="GQ248" s="150"/>
      <c r="GR248" s="150"/>
      <c r="GS248" s="150"/>
      <c r="GT248" s="150"/>
      <c r="GU248" s="150"/>
      <c r="GV248" s="150"/>
      <c r="GW248" s="150"/>
      <c r="GX248" s="150"/>
      <c r="GY248" s="150"/>
      <c r="GZ248" s="150"/>
      <c r="HA248" s="150"/>
      <c r="HB248" s="150"/>
      <c r="HC248" s="150"/>
      <c r="HD248" s="150"/>
      <c r="HE248" s="150"/>
      <c r="HF248" s="150"/>
      <c r="HG248" s="150"/>
      <c r="HH248" s="150"/>
      <c r="HI248" s="150"/>
      <c r="HJ248" s="150"/>
      <c r="HK248" s="150"/>
      <c r="HL248" s="150"/>
    </row>
    <row r="249" spans="1:220" s="152" customFormat="1" ht="14.25">
      <c r="A249" s="153"/>
      <c r="C249" s="154"/>
      <c r="D249" s="155"/>
      <c r="F249" s="194"/>
      <c r="H249" s="155"/>
      <c r="AJ249" s="156"/>
      <c r="AK249" s="156"/>
      <c r="AQ249" s="154"/>
      <c r="AW249" s="157"/>
      <c r="AX249" s="154"/>
      <c r="AY249" s="158"/>
      <c r="BA249" s="279"/>
      <c r="BX249" s="154"/>
      <c r="CH249" s="154"/>
      <c r="CQ249" s="149"/>
      <c r="CS249" s="147"/>
      <c r="CV249" s="150"/>
      <c r="CW249" s="150"/>
      <c r="CX249" s="150"/>
      <c r="CY249" s="150"/>
      <c r="CZ249" s="150"/>
      <c r="DA249" s="150"/>
      <c r="DB249" s="150"/>
      <c r="DC249" s="150"/>
      <c r="DD249" s="150"/>
      <c r="DE249" s="150"/>
      <c r="DF249" s="150"/>
      <c r="DG249" s="150"/>
      <c r="DH249" s="150"/>
      <c r="DI249" s="150"/>
      <c r="DJ249" s="150"/>
      <c r="DK249" s="150"/>
      <c r="DL249" s="150"/>
      <c r="DM249" s="150"/>
      <c r="DN249" s="150"/>
      <c r="DO249" s="150"/>
      <c r="DP249" s="150"/>
      <c r="DQ249" s="150"/>
      <c r="DR249" s="150"/>
      <c r="DS249" s="150"/>
      <c r="DT249" s="150"/>
      <c r="DU249" s="150"/>
      <c r="DV249" s="150"/>
      <c r="DW249" s="150"/>
      <c r="DX249" s="150"/>
      <c r="DY249" s="150"/>
      <c r="DZ249" s="150"/>
      <c r="EA249" s="150"/>
      <c r="EB249" s="150"/>
      <c r="EC249" s="150"/>
      <c r="ED249" s="150"/>
      <c r="EE249" s="150"/>
      <c r="EF249" s="150"/>
      <c r="EG249" s="150"/>
      <c r="EH249" s="150"/>
      <c r="EI249" s="150"/>
      <c r="EJ249" s="150"/>
      <c r="EK249" s="150"/>
      <c r="EL249" s="150"/>
      <c r="EM249" s="150"/>
      <c r="EN249" s="150"/>
      <c r="EO249" s="150"/>
      <c r="EP249" s="150"/>
      <c r="EQ249" s="150"/>
      <c r="ER249" s="150"/>
      <c r="ES249" s="150"/>
      <c r="ET249" s="150"/>
      <c r="EU249" s="150"/>
      <c r="EV249" s="150"/>
      <c r="EW249" s="150"/>
      <c r="EX249" s="150"/>
      <c r="EY249" s="150"/>
      <c r="EZ249" s="150"/>
      <c r="FA249" s="150"/>
      <c r="FB249" s="150"/>
      <c r="FC249" s="150"/>
      <c r="FD249" s="150"/>
      <c r="FE249" s="150"/>
      <c r="FF249" s="150"/>
      <c r="FG249" s="150"/>
      <c r="FH249" s="150"/>
      <c r="FI249" s="150"/>
      <c r="FJ249" s="150"/>
      <c r="FK249" s="150"/>
      <c r="FL249" s="150"/>
      <c r="FM249" s="150"/>
      <c r="FN249" s="150"/>
      <c r="FO249" s="150"/>
      <c r="FP249" s="150"/>
      <c r="FQ249" s="150"/>
      <c r="FR249" s="150"/>
      <c r="FS249" s="150"/>
      <c r="FT249" s="150"/>
      <c r="FU249" s="150"/>
      <c r="FV249" s="150"/>
      <c r="FW249" s="150"/>
      <c r="FX249" s="150"/>
      <c r="FY249" s="150"/>
      <c r="FZ249" s="150"/>
      <c r="GA249" s="150"/>
      <c r="GB249" s="150"/>
      <c r="GC249" s="150"/>
      <c r="GD249" s="150"/>
      <c r="GE249" s="150"/>
      <c r="GF249" s="150"/>
      <c r="GG249" s="150"/>
      <c r="GH249" s="150"/>
      <c r="GI249" s="150"/>
      <c r="GJ249" s="150"/>
      <c r="GK249" s="150"/>
      <c r="GL249" s="150"/>
      <c r="GM249" s="150"/>
      <c r="GN249" s="150"/>
      <c r="GO249" s="150"/>
      <c r="GP249" s="150"/>
      <c r="GQ249" s="150"/>
      <c r="GR249" s="150"/>
      <c r="GS249" s="150"/>
      <c r="GT249" s="150"/>
      <c r="GU249" s="150"/>
      <c r="GV249" s="150"/>
      <c r="GW249" s="150"/>
      <c r="GX249" s="150"/>
      <c r="GY249" s="150"/>
      <c r="GZ249" s="150"/>
      <c r="HA249" s="150"/>
      <c r="HB249" s="150"/>
      <c r="HC249" s="150"/>
      <c r="HD249" s="150"/>
      <c r="HE249" s="150"/>
      <c r="HF249" s="150"/>
      <c r="HG249" s="150"/>
      <c r="HH249" s="150"/>
      <c r="HI249" s="150"/>
      <c r="HJ249" s="150"/>
      <c r="HK249" s="150"/>
      <c r="HL249" s="150"/>
    </row>
    <row r="250" spans="1:220" s="152" customFormat="1" ht="14.25">
      <c r="A250" s="153"/>
      <c r="C250" s="154"/>
      <c r="D250" s="155"/>
      <c r="F250" s="194"/>
      <c r="H250" s="155"/>
      <c r="AJ250" s="156"/>
      <c r="AK250" s="156"/>
      <c r="AQ250" s="154"/>
      <c r="AW250" s="157"/>
      <c r="AX250" s="154"/>
      <c r="AY250" s="158"/>
      <c r="BA250" s="279"/>
      <c r="BX250" s="154"/>
      <c r="CH250" s="154"/>
      <c r="CQ250" s="149"/>
      <c r="CS250" s="147"/>
      <c r="CV250" s="150"/>
      <c r="CW250" s="150"/>
      <c r="CX250" s="150"/>
      <c r="CY250" s="150"/>
      <c r="CZ250" s="150"/>
      <c r="DA250" s="150"/>
      <c r="DB250" s="150"/>
      <c r="DC250" s="150"/>
      <c r="DD250" s="150"/>
      <c r="DE250" s="150"/>
      <c r="DF250" s="150"/>
      <c r="DG250" s="150"/>
      <c r="DH250" s="150"/>
      <c r="DI250" s="150"/>
      <c r="DJ250" s="150"/>
      <c r="DK250" s="150"/>
      <c r="DL250" s="150"/>
      <c r="DM250" s="150"/>
      <c r="DN250" s="150"/>
      <c r="DO250" s="150"/>
      <c r="DP250" s="150"/>
      <c r="DQ250" s="150"/>
      <c r="DR250" s="150"/>
      <c r="DS250" s="150"/>
      <c r="DT250" s="150"/>
      <c r="DU250" s="150"/>
      <c r="DV250" s="150"/>
      <c r="DW250" s="150"/>
      <c r="DX250" s="150"/>
      <c r="DY250" s="150"/>
      <c r="DZ250" s="150"/>
      <c r="EA250" s="150"/>
      <c r="EB250" s="150"/>
      <c r="EC250" s="150"/>
      <c r="ED250" s="150"/>
      <c r="EE250" s="150"/>
      <c r="EF250" s="150"/>
      <c r="EG250" s="150"/>
      <c r="EH250" s="150"/>
      <c r="EI250" s="150"/>
      <c r="EJ250" s="150"/>
      <c r="EK250" s="150"/>
      <c r="EL250" s="150"/>
      <c r="EM250" s="150"/>
      <c r="EN250" s="150"/>
      <c r="EO250" s="150"/>
      <c r="EP250" s="150"/>
      <c r="EQ250" s="150"/>
      <c r="ER250" s="150"/>
      <c r="ES250" s="150"/>
      <c r="ET250" s="150"/>
      <c r="EU250" s="150"/>
      <c r="EV250" s="150"/>
      <c r="EW250" s="150"/>
      <c r="EX250" s="150"/>
      <c r="EY250" s="150"/>
      <c r="EZ250" s="150"/>
      <c r="FA250" s="150"/>
      <c r="FB250" s="150"/>
      <c r="FC250" s="150"/>
      <c r="FD250" s="150"/>
      <c r="FE250" s="150"/>
      <c r="FF250" s="150"/>
      <c r="FG250" s="150"/>
      <c r="FH250" s="150"/>
      <c r="FI250" s="150"/>
      <c r="FJ250" s="150"/>
      <c r="FK250" s="150"/>
      <c r="FL250" s="150"/>
      <c r="FM250" s="150"/>
      <c r="FN250" s="150"/>
      <c r="FO250" s="150"/>
      <c r="FP250" s="150"/>
      <c r="FQ250" s="150"/>
      <c r="FR250" s="150"/>
      <c r="FS250" s="150"/>
      <c r="FT250" s="150"/>
      <c r="FU250" s="150"/>
      <c r="FV250" s="150"/>
      <c r="FW250" s="150"/>
      <c r="FX250" s="150"/>
      <c r="FY250" s="150"/>
      <c r="FZ250" s="150"/>
      <c r="GA250" s="150"/>
      <c r="GB250" s="150"/>
      <c r="GC250" s="150"/>
      <c r="GD250" s="150"/>
      <c r="GE250" s="150"/>
      <c r="GF250" s="150"/>
      <c r="GG250" s="150"/>
      <c r="GH250" s="150"/>
      <c r="GI250" s="150"/>
      <c r="GJ250" s="150"/>
      <c r="GK250" s="150"/>
      <c r="GL250" s="150"/>
      <c r="GM250" s="150"/>
      <c r="GN250" s="150"/>
      <c r="GO250" s="150"/>
      <c r="GP250" s="150"/>
      <c r="GQ250" s="150"/>
      <c r="GR250" s="150"/>
      <c r="GS250" s="150"/>
      <c r="GT250" s="150"/>
      <c r="GU250" s="150"/>
      <c r="GV250" s="150"/>
      <c r="GW250" s="150"/>
      <c r="GX250" s="150"/>
      <c r="GY250" s="150"/>
      <c r="GZ250" s="150"/>
      <c r="HA250" s="150"/>
      <c r="HB250" s="150"/>
      <c r="HC250" s="150"/>
      <c r="HD250" s="150"/>
      <c r="HE250" s="150"/>
      <c r="HF250" s="150"/>
      <c r="HG250" s="150"/>
      <c r="HH250" s="150"/>
      <c r="HI250" s="150"/>
      <c r="HJ250" s="150"/>
      <c r="HK250" s="150"/>
      <c r="HL250" s="150"/>
    </row>
    <row r="251" spans="1:220" s="152" customFormat="1" ht="14.25">
      <c r="A251" s="153"/>
      <c r="C251" s="154"/>
      <c r="D251" s="155"/>
      <c r="F251" s="194"/>
      <c r="H251" s="155"/>
      <c r="AJ251" s="156"/>
      <c r="AK251" s="156"/>
      <c r="AQ251" s="154"/>
      <c r="AW251" s="157"/>
      <c r="AX251" s="154"/>
      <c r="AY251" s="158"/>
      <c r="BA251" s="279"/>
      <c r="BX251" s="154"/>
      <c r="CH251" s="154"/>
      <c r="CQ251" s="149"/>
      <c r="CS251" s="147"/>
      <c r="CV251" s="150"/>
      <c r="CW251" s="150"/>
      <c r="CX251" s="150"/>
      <c r="CY251" s="150"/>
      <c r="CZ251" s="150"/>
      <c r="DA251" s="150"/>
      <c r="DB251" s="150"/>
      <c r="DC251" s="150"/>
      <c r="DD251" s="150"/>
      <c r="DE251" s="150"/>
      <c r="DF251" s="150"/>
      <c r="DG251" s="150"/>
      <c r="DH251" s="150"/>
      <c r="DI251" s="150"/>
      <c r="DJ251" s="150"/>
      <c r="DK251" s="150"/>
      <c r="DL251" s="150"/>
      <c r="DM251" s="150"/>
      <c r="DN251" s="150"/>
      <c r="DO251" s="150"/>
      <c r="DP251" s="150"/>
      <c r="DQ251" s="150"/>
      <c r="DR251" s="150"/>
      <c r="DS251" s="150"/>
      <c r="DT251" s="150"/>
      <c r="DU251" s="150"/>
      <c r="DV251" s="150"/>
      <c r="DW251" s="150"/>
      <c r="DX251" s="150"/>
      <c r="DY251" s="150"/>
      <c r="DZ251" s="150"/>
      <c r="EA251" s="150"/>
      <c r="EB251" s="150"/>
      <c r="EC251" s="150"/>
      <c r="ED251" s="150"/>
      <c r="EE251" s="150"/>
      <c r="EF251" s="150"/>
      <c r="EG251" s="150"/>
      <c r="EH251" s="150"/>
      <c r="EI251" s="150"/>
      <c r="EJ251" s="150"/>
      <c r="EK251" s="150"/>
      <c r="EL251" s="150"/>
      <c r="EM251" s="150"/>
      <c r="EN251" s="150"/>
      <c r="EO251" s="150"/>
      <c r="EP251" s="150"/>
      <c r="EQ251" s="150"/>
      <c r="ER251" s="150"/>
      <c r="ES251" s="150"/>
      <c r="ET251" s="150"/>
      <c r="EU251" s="150"/>
      <c r="EV251" s="150"/>
      <c r="EW251" s="150"/>
      <c r="EX251" s="150"/>
      <c r="EY251" s="150"/>
      <c r="EZ251" s="150"/>
      <c r="FA251" s="150"/>
      <c r="FB251" s="150"/>
      <c r="FC251" s="150"/>
      <c r="FD251" s="150"/>
      <c r="FE251" s="150"/>
      <c r="FF251" s="150"/>
      <c r="FG251" s="150"/>
      <c r="FH251" s="150"/>
      <c r="FI251" s="150"/>
      <c r="FJ251" s="150"/>
      <c r="FK251" s="150"/>
      <c r="FL251" s="150"/>
      <c r="FM251" s="150"/>
      <c r="FN251" s="150"/>
      <c r="FO251" s="150"/>
      <c r="FP251" s="150"/>
      <c r="FQ251" s="150"/>
      <c r="FR251" s="150"/>
      <c r="FS251" s="150"/>
      <c r="FT251" s="150"/>
      <c r="FU251" s="150"/>
      <c r="FV251" s="150"/>
      <c r="FW251" s="150"/>
      <c r="FX251" s="150"/>
      <c r="FY251" s="150"/>
      <c r="FZ251" s="150"/>
      <c r="GA251" s="150"/>
      <c r="GB251" s="150"/>
      <c r="GC251" s="150"/>
      <c r="GD251" s="150"/>
      <c r="GE251" s="150"/>
      <c r="GF251" s="150"/>
      <c r="GG251" s="150"/>
      <c r="GH251" s="150"/>
      <c r="GI251" s="150"/>
      <c r="GJ251" s="150"/>
      <c r="GK251" s="150"/>
      <c r="GL251" s="150"/>
      <c r="GM251" s="150"/>
      <c r="GN251" s="150"/>
      <c r="GO251" s="150"/>
      <c r="GP251" s="150"/>
      <c r="GQ251" s="150"/>
      <c r="GR251" s="150"/>
      <c r="GS251" s="150"/>
      <c r="GT251" s="150"/>
      <c r="GU251" s="150"/>
      <c r="GV251" s="150"/>
      <c r="GW251" s="150"/>
      <c r="GX251" s="150"/>
      <c r="GY251" s="150"/>
      <c r="GZ251" s="150"/>
      <c r="HA251" s="150"/>
      <c r="HB251" s="150"/>
      <c r="HC251" s="150"/>
      <c r="HD251" s="150"/>
      <c r="HE251" s="150"/>
      <c r="HF251" s="150"/>
      <c r="HG251" s="150"/>
      <c r="HH251" s="150"/>
      <c r="HI251" s="150"/>
      <c r="HJ251" s="150"/>
      <c r="HK251" s="150"/>
      <c r="HL251" s="150"/>
    </row>
    <row r="252" spans="1:220" s="152" customFormat="1" ht="14.25">
      <c r="A252" s="153"/>
      <c r="C252" s="154"/>
      <c r="D252" s="155"/>
      <c r="F252" s="194"/>
      <c r="H252" s="155"/>
      <c r="AJ252" s="156"/>
      <c r="AK252" s="156"/>
      <c r="AQ252" s="154"/>
      <c r="AW252" s="157"/>
      <c r="AX252" s="154"/>
      <c r="AY252" s="158"/>
      <c r="BA252" s="279"/>
      <c r="BX252" s="154"/>
      <c r="CH252" s="154"/>
      <c r="CQ252" s="149"/>
      <c r="CS252" s="147"/>
      <c r="CV252" s="150"/>
      <c r="CW252" s="150"/>
      <c r="CX252" s="150"/>
      <c r="CY252" s="150"/>
      <c r="CZ252" s="150"/>
      <c r="DA252" s="150"/>
      <c r="DB252" s="150"/>
      <c r="DC252" s="150"/>
      <c r="DD252" s="150"/>
      <c r="DE252" s="150"/>
      <c r="DF252" s="150"/>
      <c r="DG252" s="150"/>
      <c r="DH252" s="150"/>
      <c r="DI252" s="150"/>
      <c r="DJ252" s="150"/>
      <c r="DK252" s="150"/>
      <c r="DL252" s="150"/>
      <c r="DM252" s="150"/>
      <c r="DN252" s="150"/>
      <c r="DO252" s="150"/>
      <c r="DP252" s="150"/>
      <c r="DQ252" s="150"/>
      <c r="DR252" s="150"/>
      <c r="DS252" s="150"/>
      <c r="DT252" s="150"/>
      <c r="DU252" s="150"/>
      <c r="DV252" s="150"/>
      <c r="DW252" s="150"/>
      <c r="DX252" s="150"/>
      <c r="DY252" s="150"/>
      <c r="DZ252" s="150"/>
      <c r="EA252" s="150"/>
      <c r="EB252" s="150"/>
      <c r="EC252" s="150"/>
      <c r="ED252" s="150"/>
      <c r="EE252" s="150"/>
      <c r="EF252" s="150"/>
      <c r="EG252" s="150"/>
      <c r="EH252" s="150"/>
      <c r="EI252" s="150"/>
      <c r="EJ252" s="150"/>
      <c r="EK252" s="150"/>
      <c r="EL252" s="150"/>
      <c r="EM252" s="150"/>
      <c r="EN252" s="150"/>
      <c r="EO252" s="150"/>
      <c r="EP252" s="150"/>
      <c r="EQ252" s="150"/>
      <c r="ER252" s="150"/>
      <c r="ES252" s="150"/>
      <c r="ET252" s="150"/>
      <c r="EU252" s="150"/>
      <c r="EV252" s="150"/>
      <c r="EW252" s="150"/>
      <c r="EX252" s="150"/>
      <c r="EY252" s="150"/>
      <c r="EZ252" s="150"/>
      <c r="FA252" s="150"/>
      <c r="FB252" s="150"/>
      <c r="FC252" s="150"/>
      <c r="FD252" s="150"/>
      <c r="FE252" s="150"/>
      <c r="FF252" s="150"/>
      <c r="FG252" s="150"/>
      <c r="FH252" s="150"/>
      <c r="FI252" s="150"/>
      <c r="FJ252" s="150"/>
      <c r="FK252" s="150"/>
      <c r="FL252" s="150"/>
      <c r="FM252" s="150"/>
      <c r="FN252" s="150"/>
      <c r="FO252" s="150"/>
      <c r="FP252" s="150"/>
      <c r="FQ252" s="150"/>
      <c r="FR252" s="150"/>
      <c r="FS252" s="150"/>
      <c r="FT252" s="150"/>
      <c r="FU252" s="150"/>
      <c r="FV252" s="150"/>
      <c r="FW252" s="150"/>
      <c r="FX252" s="150"/>
      <c r="FY252" s="150"/>
      <c r="FZ252" s="150"/>
      <c r="GA252" s="150"/>
      <c r="GB252" s="150"/>
      <c r="GC252" s="150"/>
      <c r="GD252" s="150"/>
      <c r="GE252" s="150"/>
      <c r="GF252" s="150"/>
      <c r="GG252" s="150"/>
      <c r="GH252" s="150"/>
      <c r="GI252" s="150"/>
      <c r="GJ252" s="150"/>
      <c r="GK252" s="150"/>
      <c r="GL252" s="150"/>
      <c r="GM252" s="150"/>
      <c r="GN252" s="150"/>
      <c r="GO252" s="150"/>
      <c r="GP252" s="150"/>
      <c r="GQ252" s="150"/>
      <c r="GR252" s="150"/>
      <c r="GS252" s="150"/>
      <c r="GT252" s="150"/>
      <c r="GU252" s="150"/>
      <c r="GV252" s="150"/>
      <c r="GW252" s="150"/>
      <c r="GX252" s="150"/>
      <c r="GY252" s="150"/>
      <c r="GZ252" s="150"/>
      <c r="HA252" s="150"/>
      <c r="HB252" s="150"/>
      <c r="HC252" s="150"/>
      <c r="HD252" s="150"/>
      <c r="HE252" s="150"/>
      <c r="HF252" s="150"/>
      <c r="HG252" s="150"/>
      <c r="HH252" s="150"/>
      <c r="HI252" s="150"/>
      <c r="HJ252" s="150"/>
      <c r="HK252" s="150"/>
      <c r="HL252" s="150"/>
    </row>
    <row r="253" spans="1:220" s="152" customFormat="1" ht="14.25">
      <c r="A253" s="153"/>
      <c r="C253" s="154"/>
      <c r="D253" s="155"/>
      <c r="F253" s="194"/>
      <c r="H253" s="155"/>
      <c r="AJ253" s="156"/>
      <c r="AK253" s="156"/>
      <c r="AQ253" s="154"/>
      <c r="AW253" s="157"/>
      <c r="AX253" s="154"/>
      <c r="AY253" s="158"/>
      <c r="BA253" s="279"/>
      <c r="BX253" s="154"/>
      <c r="CH253" s="154"/>
      <c r="CQ253" s="149"/>
      <c r="CS253" s="147"/>
      <c r="CV253" s="150"/>
      <c r="CW253" s="150"/>
      <c r="CX253" s="150"/>
      <c r="CY253" s="150"/>
      <c r="CZ253" s="150"/>
      <c r="DA253" s="150"/>
      <c r="DB253" s="150"/>
      <c r="DC253" s="150"/>
      <c r="DD253" s="150"/>
      <c r="DE253" s="150"/>
      <c r="DF253" s="150"/>
      <c r="DG253" s="150"/>
      <c r="DH253" s="150"/>
      <c r="DI253" s="150"/>
      <c r="DJ253" s="150"/>
      <c r="DK253" s="150"/>
      <c r="DL253" s="150"/>
      <c r="DM253" s="150"/>
      <c r="DN253" s="150"/>
      <c r="DO253" s="150"/>
      <c r="DP253" s="150"/>
      <c r="DQ253" s="150"/>
      <c r="DR253" s="150"/>
      <c r="DS253" s="150"/>
      <c r="DT253" s="150"/>
      <c r="DU253" s="150"/>
      <c r="DV253" s="150"/>
      <c r="DW253" s="150"/>
      <c r="DX253" s="150"/>
      <c r="DY253" s="150"/>
      <c r="DZ253" s="150"/>
      <c r="EA253" s="150"/>
      <c r="EB253" s="150"/>
      <c r="EC253" s="150"/>
      <c r="ED253" s="150"/>
      <c r="EE253" s="150"/>
      <c r="EF253" s="150"/>
      <c r="EG253" s="150"/>
      <c r="EH253" s="150"/>
      <c r="EI253" s="150"/>
      <c r="EJ253" s="150"/>
      <c r="EK253" s="150"/>
      <c r="EL253" s="150"/>
      <c r="EM253" s="150"/>
      <c r="EN253" s="150"/>
      <c r="EO253" s="150"/>
      <c r="EP253" s="150"/>
      <c r="EQ253" s="150"/>
      <c r="ER253" s="150"/>
      <c r="ES253" s="150"/>
      <c r="ET253" s="150"/>
      <c r="EU253" s="150"/>
      <c r="EV253" s="150"/>
      <c r="EW253" s="150"/>
      <c r="EX253" s="150"/>
      <c r="EY253" s="150"/>
      <c r="EZ253" s="150"/>
      <c r="FA253" s="150"/>
      <c r="FB253" s="150"/>
      <c r="FC253" s="150"/>
      <c r="FD253" s="150"/>
      <c r="FE253" s="150"/>
      <c r="FF253" s="150"/>
      <c r="FG253" s="150"/>
      <c r="FH253" s="150"/>
      <c r="FI253" s="150"/>
      <c r="FJ253" s="150"/>
      <c r="FK253" s="150"/>
      <c r="FL253" s="150"/>
      <c r="FM253" s="150"/>
      <c r="FN253" s="150"/>
      <c r="FO253" s="150"/>
      <c r="FP253" s="150"/>
      <c r="FQ253" s="150"/>
      <c r="FR253" s="150"/>
      <c r="FS253" s="150"/>
      <c r="FT253" s="150"/>
      <c r="FU253" s="150"/>
      <c r="FV253" s="150"/>
      <c r="FW253" s="150"/>
      <c r="FX253" s="150"/>
      <c r="FY253" s="150"/>
      <c r="FZ253" s="150"/>
      <c r="GA253" s="150"/>
      <c r="GB253" s="150"/>
      <c r="GC253" s="150"/>
      <c r="GD253" s="150"/>
      <c r="GE253" s="150"/>
      <c r="GF253" s="150"/>
      <c r="GG253" s="150"/>
      <c r="GH253" s="150"/>
      <c r="GI253" s="150"/>
      <c r="GJ253" s="150"/>
      <c r="GK253" s="150"/>
      <c r="GL253" s="150"/>
      <c r="GM253" s="150"/>
      <c r="GN253" s="150"/>
      <c r="GO253" s="150"/>
      <c r="GP253" s="150"/>
      <c r="GQ253" s="150"/>
      <c r="GR253" s="150"/>
      <c r="GS253" s="150"/>
      <c r="GT253" s="150"/>
      <c r="GU253" s="150"/>
      <c r="GV253" s="150"/>
      <c r="GW253" s="150"/>
      <c r="GX253" s="150"/>
      <c r="GY253" s="150"/>
      <c r="GZ253" s="150"/>
      <c r="HA253" s="150"/>
      <c r="HB253" s="150"/>
      <c r="HC253" s="150"/>
      <c r="HD253" s="150"/>
      <c r="HE253" s="150"/>
      <c r="HF253" s="150"/>
      <c r="HG253" s="150"/>
      <c r="HH253" s="150"/>
      <c r="HI253" s="150"/>
      <c r="HJ253" s="150"/>
      <c r="HK253" s="150"/>
      <c r="HL253" s="150"/>
    </row>
    <row r="254" spans="1:220" s="152" customFormat="1" ht="14.25">
      <c r="A254" s="153"/>
      <c r="C254" s="154"/>
      <c r="D254" s="155"/>
      <c r="F254" s="194"/>
      <c r="H254" s="155"/>
      <c r="AJ254" s="156"/>
      <c r="AK254" s="156"/>
      <c r="AQ254" s="154"/>
      <c r="AW254" s="157"/>
      <c r="AX254" s="154"/>
      <c r="AY254" s="158"/>
      <c r="BA254" s="279"/>
      <c r="BX254" s="154"/>
      <c r="CH254" s="154"/>
      <c r="CQ254" s="149"/>
      <c r="CS254" s="147"/>
      <c r="CV254" s="150"/>
      <c r="CW254" s="150"/>
      <c r="CX254" s="150"/>
      <c r="CY254" s="150"/>
      <c r="CZ254" s="150"/>
      <c r="DA254" s="150"/>
      <c r="DB254" s="150"/>
      <c r="DC254" s="150"/>
      <c r="DD254" s="150"/>
      <c r="DE254" s="150"/>
      <c r="DF254" s="150"/>
      <c r="DG254" s="150"/>
      <c r="DH254" s="150"/>
      <c r="DI254" s="150"/>
      <c r="DJ254" s="150"/>
      <c r="DK254" s="150"/>
      <c r="DL254" s="150"/>
      <c r="DM254" s="150"/>
      <c r="DN254" s="150"/>
      <c r="DO254" s="150"/>
      <c r="DP254" s="150"/>
      <c r="DQ254" s="150"/>
      <c r="DR254" s="150"/>
      <c r="DS254" s="150"/>
      <c r="DT254" s="150"/>
      <c r="DU254" s="150"/>
      <c r="DV254" s="150"/>
      <c r="DW254" s="150"/>
      <c r="DX254" s="150"/>
      <c r="DY254" s="150"/>
      <c r="DZ254" s="150"/>
      <c r="EA254" s="150"/>
      <c r="EB254" s="150"/>
      <c r="EC254" s="150"/>
      <c r="ED254" s="150"/>
      <c r="EE254" s="150"/>
      <c r="EF254" s="150"/>
      <c r="EG254" s="150"/>
      <c r="EH254" s="150"/>
      <c r="EI254" s="150"/>
      <c r="EJ254" s="150"/>
      <c r="EK254" s="150"/>
      <c r="EL254" s="150"/>
      <c r="EM254" s="150"/>
      <c r="EN254" s="150"/>
      <c r="EO254" s="150"/>
      <c r="EP254" s="150"/>
      <c r="EQ254" s="150"/>
      <c r="ER254" s="150"/>
      <c r="ES254" s="150"/>
      <c r="ET254" s="150"/>
      <c r="EU254" s="150"/>
      <c r="EV254" s="150"/>
      <c r="EW254" s="150"/>
      <c r="EX254" s="150"/>
      <c r="EY254" s="150"/>
      <c r="EZ254" s="150"/>
      <c r="FA254" s="150"/>
      <c r="FB254" s="150"/>
      <c r="FC254" s="150"/>
      <c r="FD254" s="150"/>
      <c r="FE254" s="150"/>
      <c r="FF254" s="150"/>
      <c r="FG254" s="150"/>
      <c r="FH254" s="150"/>
      <c r="FI254" s="150"/>
      <c r="FJ254" s="150"/>
      <c r="FK254" s="150"/>
      <c r="FL254" s="150"/>
      <c r="FM254" s="150"/>
      <c r="FN254" s="150"/>
      <c r="FO254" s="150"/>
      <c r="FP254" s="150"/>
      <c r="FQ254" s="150"/>
      <c r="FR254" s="150"/>
      <c r="FS254" s="150"/>
      <c r="FT254" s="150"/>
      <c r="FU254" s="150"/>
      <c r="FV254" s="150"/>
      <c r="FW254" s="150"/>
      <c r="FX254" s="150"/>
      <c r="FY254" s="150"/>
      <c r="FZ254" s="150"/>
      <c r="GA254" s="150"/>
      <c r="GB254" s="150"/>
      <c r="GC254" s="150"/>
      <c r="GD254" s="150"/>
      <c r="GE254" s="150"/>
      <c r="GF254" s="150"/>
      <c r="GG254" s="150"/>
      <c r="GH254" s="150"/>
      <c r="GI254" s="150"/>
      <c r="GJ254" s="150"/>
      <c r="GK254" s="150"/>
      <c r="GL254" s="150"/>
      <c r="GM254" s="150"/>
      <c r="GN254" s="150"/>
      <c r="GO254" s="150"/>
      <c r="GP254" s="150"/>
      <c r="GQ254" s="150"/>
      <c r="GR254" s="150"/>
      <c r="GS254" s="150"/>
      <c r="GT254" s="150"/>
      <c r="GU254" s="150"/>
      <c r="GV254" s="150"/>
      <c r="GW254" s="150"/>
      <c r="GX254" s="150"/>
      <c r="GY254" s="150"/>
      <c r="GZ254" s="150"/>
      <c r="HA254" s="150"/>
      <c r="HB254" s="150"/>
      <c r="HC254" s="150"/>
      <c r="HD254" s="150"/>
      <c r="HE254" s="150"/>
      <c r="HF254" s="150"/>
      <c r="HG254" s="150"/>
      <c r="HH254" s="150"/>
      <c r="HI254" s="150"/>
      <c r="HJ254" s="150"/>
      <c r="HK254" s="150"/>
      <c r="HL254" s="150"/>
    </row>
    <row r="255" spans="1:220" s="152" customFormat="1" ht="14.25">
      <c r="A255" s="153"/>
      <c r="C255" s="154"/>
      <c r="D255" s="155"/>
      <c r="F255" s="194"/>
      <c r="H255" s="155"/>
      <c r="AJ255" s="156"/>
      <c r="AK255" s="156"/>
      <c r="AQ255" s="154"/>
      <c r="AW255" s="157"/>
      <c r="AX255" s="154"/>
      <c r="AY255" s="158"/>
      <c r="BA255" s="279"/>
      <c r="BX255" s="154"/>
      <c r="CH255" s="154"/>
      <c r="CQ255" s="149"/>
      <c r="CS255" s="147"/>
      <c r="CV255" s="150"/>
      <c r="CW255" s="150"/>
      <c r="CX255" s="150"/>
      <c r="CY255" s="150"/>
      <c r="CZ255" s="150"/>
      <c r="DA255" s="150"/>
      <c r="DB255" s="150"/>
      <c r="DC255" s="150"/>
      <c r="DD255" s="150"/>
      <c r="DE255" s="150"/>
      <c r="DF255" s="150"/>
      <c r="DG255" s="150"/>
      <c r="DH255" s="150"/>
      <c r="DI255" s="150"/>
      <c r="DJ255" s="150"/>
      <c r="DK255" s="150"/>
      <c r="DL255" s="150"/>
      <c r="DM255" s="150"/>
      <c r="DN255" s="150"/>
      <c r="DO255" s="150"/>
      <c r="DP255" s="150"/>
      <c r="DQ255" s="150"/>
      <c r="DR255" s="150"/>
      <c r="DS255" s="150"/>
      <c r="DT255" s="150"/>
      <c r="DU255" s="150"/>
      <c r="DV255" s="150"/>
      <c r="DW255" s="150"/>
      <c r="DX255" s="150"/>
      <c r="DY255" s="150"/>
      <c r="DZ255" s="150"/>
      <c r="EA255" s="150"/>
      <c r="EB255" s="150"/>
      <c r="EC255" s="150"/>
      <c r="ED255" s="150"/>
      <c r="EE255" s="150"/>
      <c r="EF255" s="150"/>
      <c r="EG255" s="150"/>
      <c r="EH255" s="150"/>
      <c r="EI255" s="150"/>
      <c r="EJ255" s="150"/>
      <c r="EK255" s="150"/>
      <c r="EL255" s="150"/>
      <c r="EM255" s="150"/>
      <c r="EN255" s="150"/>
      <c r="EO255" s="150"/>
      <c r="EP255" s="150"/>
      <c r="EQ255" s="150"/>
      <c r="ER255" s="150"/>
      <c r="ES255" s="150"/>
      <c r="ET255" s="150"/>
      <c r="EU255" s="150"/>
      <c r="EV255" s="150"/>
      <c r="EW255" s="150"/>
      <c r="EX255" s="150"/>
      <c r="EY255" s="150"/>
      <c r="EZ255" s="150"/>
      <c r="FA255" s="150"/>
      <c r="FB255" s="150"/>
      <c r="FC255" s="150"/>
      <c r="FD255" s="150"/>
      <c r="FE255" s="150"/>
      <c r="FF255" s="150"/>
      <c r="FG255" s="150"/>
      <c r="FH255" s="150"/>
      <c r="FI255" s="150"/>
      <c r="FJ255" s="150"/>
      <c r="FK255" s="150"/>
      <c r="FL255" s="150"/>
      <c r="FM255" s="150"/>
      <c r="FN255" s="150"/>
      <c r="FO255" s="150"/>
      <c r="FP255" s="150"/>
      <c r="FQ255" s="150"/>
      <c r="FR255" s="150"/>
      <c r="FS255" s="150"/>
      <c r="FT255" s="150"/>
      <c r="FU255" s="150"/>
      <c r="FV255" s="150"/>
      <c r="FW255" s="150"/>
      <c r="FX255" s="150"/>
      <c r="FY255" s="150"/>
      <c r="FZ255" s="150"/>
      <c r="GA255" s="150"/>
      <c r="GB255" s="150"/>
      <c r="GC255" s="150"/>
      <c r="GD255" s="150"/>
      <c r="GE255" s="150"/>
      <c r="GF255" s="150"/>
      <c r="GG255" s="150"/>
      <c r="GH255" s="150"/>
      <c r="GI255" s="150"/>
      <c r="GJ255" s="150"/>
      <c r="GK255" s="150"/>
      <c r="GL255" s="150"/>
      <c r="GM255" s="150"/>
      <c r="GN255" s="150"/>
      <c r="GO255" s="150"/>
      <c r="GP255" s="150"/>
      <c r="GQ255" s="150"/>
      <c r="GR255" s="150"/>
      <c r="GS255" s="150"/>
      <c r="GT255" s="150"/>
      <c r="GU255" s="150"/>
      <c r="GV255" s="150"/>
      <c r="GW255" s="150"/>
      <c r="GX255" s="150"/>
      <c r="GY255" s="150"/>
      <c r="GZ255" s="150"/>
      <c r="HA255" s="150"/>
      <c r="HB255" s="150"/>
      <c r="HC255" s="150"/>
      <c r="HD255" s="150"/>
      <c r="HE255" s="150"/>
      <c r="HF255" s="150"/>
      <c r="HG255" s="150"/>
      <c r="HH255" s="150"/>
      <c r="HI255" s="150"/>
      <c r="HJ255" s="150"/>
      <c r="HK255" s="150"/>
      <c r="HL255" s="150"/>
    </row>
    <row r="256" spans="1:220" s="152" customFormat="1" ht="14.25">
      <c r="A256" s="153"/>
      <c r="C256" s="154"/>
      <c r="D256" s="155"/>
      <c r="F256" s="194"/>
      <c r="H256" s="155"/>
      <c r="AJ256" s="156"/>
      <c r="AK256" s="156"/>
      <c r="AQ256" s="154"/>
      <c r="AW256" s="157"/>
      <c r="AX256" s="154"/>
      <c r="AY256" s="158"/>
      <c r="BA256" s="279"/>
      <c r="BX256" s="154"/>
      <c r="CH256" s="154"/>
      <c r="CQ256" s="149"/>
      <c r="CS256" s="147"/>
      <c r="CV256" s="150"/>
      <c r="CW256" s="150"/>
      <c r="CX256" s="150"/>
      <c r="CY256" s="150"/>
      <c r="CZ256" s="150"/>
      <c r="DA256" s="150"/>
      <c r="DB256" s="150"/>
      <c r="DC256" s="150"/>
      <c r="DD256" s="150"/>
      <c r="DE256" s="150"/>
      <c r="DF256" s="150"/>
      <c r="DG256" s="150"/>
      <c r="DH256" s="150"/>
      <c r="DI256" s="150"/>
      <c r="DJ256" s="150"/>
      <c r="DK256" s="150"/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50"/>
      <c r="FG256" s="150"/>
      <c r="FH256" s="150"/>
      <c r="FI256" s="150"/>
      <c r="FJ256" s="150"/>
      <c r="FK256" s="150"/>
      <c r="FL256" s="150"/>
      <c r="FM256" s="150"/>
      <c r="FN256" s="150"/>
      <c r="FO256" s="150"/>
      <c r="FP256" s="150"/>
      <c r="FQ256" s="150"/>
      <c r="FR256" s="150"/>
      <c r="FS256" s="150"/>
      <c r="FT256" s="150"/>
      <c r="FU256" s="150"/>
      <c r="FV256" s="150"/>
      <c r="FW256" s="150"/>
      <c r="FX256" s="150"/>
      <c r="FY256" s="150"/>
      <c r="FZ256" s="150"/>
      <c r="GA256" s="150"/>
      <c r="GB256" s="150"/>
      <c r="GC256" s="150"/>
      <c r="GD256" s="150"/>
      <c r="GE256" s="150"/>
      <c r="GF256" s="150"/>
      <c r="GG256" s="150"/>
      <c r="GH256" s="150"/>
      <c r="GI256" s="150"/>
      <c r="GJ256" s="150"/>
      <c r="GK256" s="150"/>
      <c r="GL256" s="150"/>
      <c r="GM256" s="150"/>
      <c r="GN256" s="150"/>
      <c r="GO256" s="150"/>
      <c r="GP256" s="150"/>
      <c r="GQ256" s="150"/>
      <c r="GR256" s="150"/>
      <c r="GS256" s="150"/>
      <c r="GT256" s="150"/>
      <c r="GU256" s="150"/>
      <c r="GV256" s="150"/>
      <c r="GW256" s="150"/>
      <c r="GX256" s="150"/>
      <c r="GY256" s="150"/>
      <c r="GZ256" s="150"/>
      <c r="HA256" s="150"/>
      <c r="HB256" s="150"/>
      <c r="HC256" s="150"/>
      <c r="HD256" s="150"/>
      <c r="HE256" s="150"/>
      <c r="HF256" s="150"/>
      <c r="HG256" s="150"/>
      <c r="HH256" s="150"/>
      <c r="HI256" s="150"/>
      <c r="HJ256" s="150"/>
      <c r="HK256" s="150"/>
      <c r="HL256" s="150"/>
    </row>
    <row r="257" spans="1:220" s="152" customFormat="1" ht="14.25">
      <c r="A257" s="153"/>
      <c r="C257" s="154"/>
      <c r="D257" s="155"/>
      <c r="F257" s="194"/>
      <c r="H257" s="155"/>
      <c r="AJ257" s="156"/>
      <c r="AK257" s="156"/>
      <c r="AQ257" s="154"/>
      <c r="AW257" s="157"/>
      <c r="AX257" s="154"/>
      <c r="AY257" s="158"/>
      <c r="BA257" s="279"/>
      <c r="BX257" s="154"/>
      <c r="CH257" s="154"/>
      <c r="CQ257" s="149"/>
      <c r="CS257" s="147"/>
      <c r="CV257" s="150"/>
      <c r="CW257" s="150"/>
      <c r="CX257" s="150"/>
      <c r="CY257" s="150"/>
      <c r="CZ257" s="150"/>
      <c r="DA257" s="150"/>
      <c r="DB257" s="150"/>
      <c r="DC257" s="150"/>
      <c r="DD257" s="150"/>
      <c r="DE257" s="150"/>
      <c r="DF257" s="150"/>
      <c r="DG257" s="150"/>
      <c r="DH257" s="150"/>
      <c r="DI257" s="150"/>
      <c r="DJ257" s="150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50"/>
      <c r="FG257" s="150"/>
      <c r="FH257" s="150"/>
      <c r="FI257" s="150"/>
      <c r="FJ257" s="150"/>
      <c r="FK257" s="150"/>
      <c r="FL257" s="150"/>
      <c r="FM257" s="150"/>
      <c r="FN257" s="150"/>
      <c r="FO257" s="150"/>
      <c r="FP257" s="150"/>
      <c r="FQ257" s="150"/>
      <c r="FR257" s="150"/>
      <c r="FS257" s="150"/>
      <c r="FT257" s="150"/>
      <c r="FU257" s="150"/>
      <c r="FV257" s="150"/>
      <c r="FW257" s="150"/>
      <c r="FX257" s="150"/>
      <c r="FY257" s="150"/>
      <c r="FZ257" s="150"/>
      <c r="GA257" s="150"/>
      <c r="GB257" s="150"/>
      <c r="GC257" s="150"/>
      <c r="GD257" s="150"/>
      <c r="GE257" s="150"/>
      <c r="GF257" s="150"/>
      <c r="GG257" s="150"/>
      <c r="GH257" s="150"/>
      <c r="GI257" s="150"/>
      <c r="GJ257" s="150"/>
      <c r="GK257" s="150"/>
      <c r="GL257" s="150"/>
      <c r="GM257" s="150"/>
      <c r="GN257" s="150"/>
      <c r="GO257" s="150"/>
      <c r="GP257" s="150"/>
      <c r="GQ257" s="150"/>
      <c r="GR257" s="150"/>
      <c r="GS257" s="150"/>
      <c r="GT257" s="150"/>
      <c r="GU257" s="150"/>
      <c r="GV257" s="150"/>
      <c r="GW257" s="150"/>
      <c r="GX257" s="150"/>
      <c r="GY257" s="150"/>
      <c r="GZ257" s="150"/>
      <c r="HA257" s="150"/>
      <c r="HB257" s="150"/>
      <c r="HC257" s="150"/>
      <c r="HD257" s="150"/>
      <c r="HE257" s="150"/>
      <c r="HF257" s="150"/>
      <c r="HG257" s="150"/>
      <c r="HH257" s="150"/>
      <c r="HI257" s="150"/>
      <c r="HJ257" s="150"/>
      <c r="HK257" s="150"/>
      <c r="HL257" s="150"/>
    </row>
    <row r="258" spans="1:220" s="152" customFormat="1" ht="14.25">
      <c r="A258" s="153"/>
      <c r="C258" s="154"/>
      <c r="D258" s="155"/>
      <c r="F258" s="194"/>
      <c r="H258" s="155"/>
      <c r="AJ258" s="156"/>
      <c r="AK258" s="156"/>
      <c r="AQ258" s="154"/>
      <c r="AW258" s="157"/>
      <c r="AX258" s="154"/>
      <c r="AY258" s="158"/>
      <c r="BA258" s="279"/>
      <c r="BX258" s="154"/>
      <c r="CH258" s="154"/>
      <c r="CQ258" s="149"/>
      <c r="CS258" s="147"/>
      <c r="CV258" s="150"/>
      <c r="CW258" s="150"/>
      <c r="CX258" s="150"/>
      <c r="CY258" s="150"/>
      <c r="CZ258" s="150"/>
      <c r="DA258" s="150"/>
      <c r="DB258" s="150"/>
      <c r="DC258" s="150"/>
      <c r="DD258" s="150"/>
      <c r="DE258" s="150"/>
      <c r="DF258" s="150"/>
      <c r="DG258" s="150"/>
      <c r="DH258" s="150"/>
      <c r="DI258" s="150"/>
      <c r="DJ258" s="150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50"/>
      <c r="FG258" s="150"/>
      <c r="FH258" s="150"/>
      <c r="FI258" s="150"/>
      <c r="FJ258" s="150"/>
      <c r="FK258" s="150"/>
      <c r="FL258" s="150"/>
      <c r="FM258" s="150"/>
      <c r="FN258" s="150"/>
      <c r="FO258" s="150"/>
      <c r="FP258" s="150"/>
      <c r="FQ258" s="150"/>
      <c r="FR258" s="150"/>
      <c r="FS258" s="150"/>
      <c r="FT258" s="150"/>
      <c r="FU258" s="150"/>
      <c r="FV258" s="150"/>
      <c r="FW258" s="150"/>
      <c r="FX258" s="150"/>
      <c r="FY258" s="150"/>
      <c r="FZ258" s="150"/>
      <c r="GA258" s="150"/>
      <c r="GB258" s="150"/>
      <c r="GC258" s="150"/>
      <c r="GD258" s="150"/>
      <c r="GE258" s="150"/>
      <c r="GF258" s="150"/>
      <c r="GG258" s="150"/>
      <c r="GH258" s="150"/>
      <c r="GI258" s="150"/>
      <c r="GJ258" s="150"/>
      <c r="GK258" s="150"/>
      <c r="GL258" s="150"/>
      <c r="GM258" s="150"/>
      <c r="GN258" s="150"/>
      <c r="GO258" s="150"/>
      <c r="GP258" s="150"/>
      <c r="GQ258" s="150"/>
      <c r="GR258" s="150"/>
      <c r="GS258" s="150"/>
      <c r="GT258" s="150"/>
      <c r="GU258" s="150"/>
      <c r="GV258" s="150"/>
      <c r="GW258" s="150"/>
      <c r="GX258" s="150"/>
      <c r="GY258" s="150"/>
      <c r="GZ258" s="150"/>
      <c r="HA258" s="150"/>
      <c r="HB258" s="150"/>
      <c r="HC258" s="150"/>
      <c r="HD258" s="150"/>
      <c r="HE258" s="150"/>
      <c r="HF258" s="150"/>
      <c r="HG258" s="150"/>
      <c r="HH258" s="150"/>
      <c r="HI258" s="150"/>
      <c r="HJ258" s="150"/>
      <c r="HK258" s="150"/>
      <c r="HL258" s="150"/>
    </row>
    <row r="259" spans="1:220" s="152" customFormat="1" ht="14.25">
      <c r="A259" s="153"/>
      <c r="C259" s="154"/>
      <c r="D259" s="155"/>
      <c r="F259" s="194"/>
      <c r="H259" s="155"/>
      <c r="AJ259" s="156"/>
      <c r="AK259" s="156"/>
      <c r="AQ259" s="154"/>
      <c r="AW259" s="157"/>
      <c r="AX259" s="154"/>
      <c r="AY259" s="158"/>
      <c r="BA259" s="279"/>
      <c r="BX259" s="154"/>
      <c r="CH259" s="154"/>
      <c r="CQ259" s="149"/>
      <c r="CS259" s="147"/>
      <c r="CV259" s="150"/>
      <c r="CW259" s="150"/>
      <c r="CX259" s="150"/>
      <c r="CY259" s="150"/>
      <c r="CZ259" s="150"/>
      <c r="DA259" s="150"/>
      <c r="DB259" s="150"/>
      <c r="DC259" s="150"/>
      <c r="DD259" s="150"/>
      <c r="DE259" s="150"/>
      <c r="DF259" s="150"/>
      <c r="DG259" s="150"/>
      <c r="DH259" s="150"/>
      <c r="DI259" s="150"/>
      <c r="DJ259" s="150"/>
      <c r="DK259" s="150"/>
      <c r="DL259" s="150"/>
      <c r="DM259" s="150"/>
      <c r="DN259" s="150"/>
      <c r="DO259" s="150"/>
      <c r="DP259" s="150"/>
      <c r="DQ259" s="150"/>
      <c r="DR259" s="150"/>
      <c r="DS259" s="150"/>
      <c r="DT259" s="150"/>
      <c r="DU259" s="150"/>
      <c r="DV259" s="150"/>
      <c r="DW259" s="150"/>
      <c r="DX259" s="150"/>
      <c r="DY259" s="150"/>
      <c r="DZ259" s="150"/>
      <c r="EA259" s="150"/>
      <c r="EB259" s="150"/>
      <c r="EC259" s="150"/>
      <c r="ED259" s="150"/>
      <c r="EE259" s="150"/>
      <c r="EF259" s="150"/>
      <c r="EG259" s="150"/>
      <c r="EH259" s="150"/>
      <c r="EI259" s="150"/>
      <c r="EJ259" s="150"/>
      <c r="EK259" s="150"/>
      <c r="EL259" s="150"/>
      <c r="EM259" s="150"/>
      <c r="EN259" s="150"/>
      <c r="EO259" s="150"/>
      <c r="EP259" s="150"/>
      <c r="EQ259" s="150"/>
      <c r="ER259" s="150"/>
      <c r="ES259" s="150"/>
      <c r="ET259" s="150"/>
      <c r="EU259" s="150"/>
      <c r="EV259" s="150"/>
      <c r="EW259" s="150"/>
      <c r="EX259" s="150"/>
      <c r="EY259" s="150"/>
      <c r="EZ259" s="150"/>
      <c r="FA259" s="150"/>
      <c r="FB259" s="150"/>
      <c r="FC259" s="150"/>
      <c r="FD259" s="150"/>
      <c r="FE259" s="150"/>
      <c r="FF259" s="150"/>
      <c r="FG259" s="150"/>
      <c r="FH259" s="150"/>
      <c r="FI259" s="150"/>
      <c r="FJ259" s="150"/>
      <c r="FK259" s="150"/>
      <c r="FL259" s="150"/>
      <c r="FM259" s="150"/>
      <c r="FN259" s="150"/>
      <c r="FO259" s="150"/>
      <c r="FP259" s="150"/>
      <c r="FQ259" s="150"/>
      <c r="FR259" s="150"/>
      <c r="FS259" s="150"/>
      <c r="FT259" s="150"/>
      <c r="FU259" s="150"/>
      <c r="FV259" s="150"/>
      <c r="FW259" s="150"/>
      <c r="FX259" s="150"/>
      <c r="FY259" s="150"/>
      <c r="FZ259" s="150"/>
      <c r="GA259" s="150"/>
      <c r="GB259" s="150"/>
      <c r="GC259" s="150"/>
      <c r="GD259" s="150"/>
      <c r="GE259" s="150"/>
      <c r="GF259" s="150"/>
      <c r="GG259" s="150"/>
      <c r="GH259" s="150"/>
      <c r="GI259" s="150"/>
      <c r="GJ259" s="150"/>
      <c r="GK259" s="150"/>
      <c r="GL259" s="150"/>
      <c r="GM259" s="150"/>
      <c r="GN259" s="150"/>
      <c r="GO259" s="150"/>
      <c r="GP259" s="150"/>
      <c r="GQ259" s="150"/>
      <c r="GR259" s="150"/>
      <c r="GS259" s="150"/>
      <c r="GT259" s="150"/>
      <c r="GU259" s="150"/>
      <c r="GV259" s="150"/>
      <c r="GW259" s="150"/>
      <c r="GX259" s="150"/>
      <c r="GY259" s="150"/>
      <c r="GZ259" s="150"/>
      <c r="HA259" s="150"/>
      <c r="HB259" s="150"/>
      <c r="HC259" s="150"/>
      <c r="HD259" s="150"/>
      <c r="HE259" s="150"/>
      <c r="HF259" s="150"/>
      <c r="HG259" s="150"/>
      <c r="HH259" s="150"/>
      <c r="HI259" s="150"/>
      <c r="HJ259" s="150"/>
      <c r="HK259" s="150"/>
      <c r="HL259" s="150"/>
    </row>
    <row r="260" spans="1:220" s="152" customFormat="1" ht="14.25">
      <c r="A260" s="153"/>
      <c r="C260" s="154"/>
      <c r="D260" s="155"/>
      <c r="F260" s="194"/>
      <c r="H260" s="155"/>
      <c r="AJ260" s="156"/>
      <c r="AK260" s="156"/>
      <c r="AQ260" s="154"/>
      <c r="AW260" s="157"/>
      <c r="AX260" s="154"/>
      <c r="AY260" s="158"/>
      <c r="BA260" s="279"/>
      <c r="BX260" s="154"/>
      <c r="CH260" s="154"/>
      <c r="CQ260" s="149"/>
      <c r="CS260" s="147"/>
      <c r="CV260" s="150"/>
      <c r="CW260" s="150"/>
      <c r="CX260" s="150"/>
      <c r="CY260" s="150"/>
      <c r="CZ260" s="150"/>
      <c r="DA260" s="150"/>
      <c r="DB260" s="150"/>
      <c r="DC260" s="150"/>
      <c r="DD260" s="150"/>
      <c r="DE260" s="150"/>
      <c r="DF260" s="150"/>
      <c r="DG260" s="150"/>
      <c r="DH260" s="150"/>
      <c r="DI260" s="150"/>
      <c r="DJ260" s="150"/>
      <c r="DK260" s="150"/>
      <c r="DL260" s="150"/>
      <c r="DM260" s="150"/>
      <c r="DN260" s="150"/>
      <c r="DO260" s="150"/>
      <c r="DP260" s="150"/>
      <c r="DQ260" s="150"/>
      <c r="DR260" s="150"/>
      <c r="DS260" s="150"/>
      <c r="DT260" s="150"/>
      <c r="DU260" s="150"/>
      <c r="DV260" s="150"/>
      <c r="DW260" s="150"/>
      <c r="DX260" s="150"/>
      <c r="DY260" s="150"/>
      <c r="DZ260" s="150"/>
      <c r="EA260" s="150"/>
      <c r="EB260" s="150"/>
      <c r="EC260" s="150"/>
      <c r="ED260" s="150"/>
      <c r="EE260" s="150"/>
      <c r="EF260" s="150"/>
      <c r="EG260" s="150"/>
      <c r="EH260" s="150"/>
      <c r="EI260" s="150"/>
      <c r="EJ260" s="150"/>
      <c r="EK260" s="150"/>
      <c r="EL260" s="150"/>
      <c r="EM260" s="150"/>
      <c r="EN260" s="150"/>
      <c r="EO260" s="150"/>
      <c r="EP260" s="150"/>
      <c r="EQ260" s="150"/>
      <c r="ER260" s="150"/>
      <c r="ES260" s="150"/>
      <c r="ET260" s="150"/>
      <c r="EU260" s="150"/>
      <c r="EV260" s="150"/>
      <c r="EW260" s="150"/>
      <c r="EX260" s="150"/>
      <c r="EY260" s="150"/>
      <c r="EZ260" s="150"/>
      <c r="FA260" s="150"/>
      <c r="FB260" s="150"/>
      <c r="FC260" s="150"/>
      <c r="FD260" s="150"/>
      <c r="FE260" s="150"/>
      <c r="FF260" s="150"/>
      <c r="FG260" s="150"/>
      <c r="FH260" s="150"/>
      <c r="FI260" s="150"/>
      <c r="FJ260" s="150"/>
      <c r="FK260" s="150"/>
      <c r="FL260" s="150"/>
      <c r="FM260" s="150"/>
      <c r="FN260" s="150"/>
      <c r="FO260" s="150"/>
      <c r="FP260" s="150"/>
      <c r="FQ260" s="150"/>
      <c r="FR260" s="150"/>
      <c r="FS260" s="150"/>
      <c r="FT260" s="150"/>
      <c r="FU260" s="150"/>
      <c r="FV260" s="150"/>
      <c r="FW260" s="150"/>
      <c r="FX260" s="150"/>
      <c r="FY260" s="150"/>
      <c r="FZ260" s="150"/>
      <c r="GA260" s="150"/>
      <c r="GB260" s="150"/>
      <c r="GC260" s="150"/>
      <c r="GD260" s="150"/>
      <c r="GE260" s="150"/>
      <c r="GF260" s="150"/>
      <c r="GG260" s="150"/>
      <c r="GH260" s="150"/>
      <c r="GI260" s="150"/>
      <c r="GJ260" s="150"/>
      <c r="GK260" s="150"/>
      <c r="GL260" s="150"/>
      <c r="GM260" s="150"/>
      <c r="GN260" s="150"/>
      <c r="GO260" s="150"/>
      <c r="GP260" s="150"/>
      <c r="GQ260" s="150"/>
      <c r="GR260" s="150"/>
      <c r="GS260" s="150"/>
      <c r="GT260" s="150"/>
      <c r="GU260" s="150"/>
      <c r="GV260" s="150"/>
      <c r="GW260" s="150"/>
      <c r="GX260" s="150"/>
      <c r="GY260" s="150"/>
      <c r="GZ260" s="150"/>
      <c r="HA260" s="150"/>
      <c r="HB260" s="150"/>
      <c r="HC260" s="150"/>
      <c r="HD260" s="150"/>
      <c r="HE260" s="150"/>
      <c r="HF260" s="150"/>
      <c r="HG260" s="150"/>
      <c r="HH260" s="150"/>
      <c r="HI260" s="150"/>
      <c r="HJ260" s="150"/>
      <c r="HK260" s="150"/>
      <c r="HL260" s="150"/>
    </row>
    <row r="261" spans="1:220" s="152" customFormat="1" ht="14.25">
      <c r="A261" s="153"/>
      <c r="C261" s="154"/>
      <c r="D261" s="155"/>
      <c r="F261" s="194"/>
      <c r="H261" s="155"/>
      <c r="AJ261" s="156"/>
      <c r="AK261" s="156"/>
      <c r="AQ261" s="154"/>
      <c r="AW261" s="157"/>
      <c r="AX261" s="154"/>
      <c r="AY261" s="158"/>
      <c r="BA261" s="279"/>
      <c r="BX261" s="154"/>
      <c r="CH261" s="154"/>
      <c r="CQ261" s="149"/>
      <c r="CS261" s="147"/>
      <c r="CV261" s="150"/>
      <c r="CW261" s="150"/>
      <c r="CX261" s="150"/>
      <c r="CY261" s="150"/>
      <c r="CZ261" s="150"/>
      <c r="DA261" s="150"/>
      <c r="DB261" s="150"/>
      <c r="DC261" s="150"/>
      <c r="DD261" s="150"/>
      <c r="DE261" s="150"/>
      <c r="DF261" s="150"/>
      <c r="DG261" s="150"/>
      <c r="DH261" s="150"/>
      <c r="DI261" s="150"/>
      <c r="DJ261" s="150"/>
      <c r="DK261" s="150"/>
      <c r="DL261" s="150"/>
      <c r="DM261" s="150"/>
      <c r="DN261" s="150"/>
      <c r="DO261" s="150"/>
      <c r="DP261" s="150"/>
      <c r="DQ261" s="150"/>
      <c r="DR261" s="150"/>
      <c r="DS261" s="150"/>
      <c r="DT261" s="150"/>
      <c r="DU261" s="150"/>
      <c r="DV261" s="150"/>
      <c r="DW261" s="150"/>
      <c r="DX261" s="150"/>
      <c r="DY261" s="150"/>
      <c r="DZ261" s="150"/>
      <c r="EA261" s="150"/>
      <c r="EB261" s="150"/>
      <c r="EC261" s="150"/>
      <c r="ED261" s="150"/>
      <c r="EE261" s="150"/>
      <c r="EF261" s="150"/>
      <c r="EG261" s="150"/>
      <c r="EH261" s="150"/>
      <c r="EI261" s="150"/>
      <c r="EJ261" s="150"/>
      <c r="EK261" s="150"/>
      <c r="EL261" s="150"/>
      <c r="EM261" s="150"/>
      <c r="EN261" s="150"/>
      <c r="EO261" s="150"/>
      <c r="EP261" s="150"/>
      <c r="EQ261" s="150"/>
      <c r="ER261" s="150"/>
      <c r="ES261" s="150"/>
      <c r="ET261" s="150"/>
      <c r="EU261" s="150"/>
      <c r="EV261" s="150"/>
      <c r="EW261" s="150"/>
      <c r="EX261" s="150"/>
      <c r="EY261" s="150"/>
      <c r="EZ261" s="150"/>
      <c r="FA261" s="150"/>
      <c r="FB261" s="150"/>
      <c r="FC261" s="150"/>
      <c r="FD261" s="150"/>
      <c r="FE261" s="150"/>
      <c r="FF261" s="150"/>
      <c r="FG261" s="150"/>
      <c r="FH261" s="150"/>
      <c r="FI261" s="150"/>
      <c r="FJ261" s="150"/>
      <c r="FK261" s="150"/>
      <c r="FL261" s="150"/>
      <c r="FM261" s="150"/>
      <c r="FN261" s="150"/>
      <c r="FO261" s="150"/>
      <c r="FP261" s="150"/>
      <c r="FQ261" s="150"/>
      <c r="FR261" s="150"/>
      <c r="FS261" s="150"/>
      <c r="FT261" s="150"/>
      <c r="FU261" s="150"/>
      <c r="FV261" s="150"/>
      <c r="FW261" s="150"/>
      <c r="FX261" s="150"/>
      <c r="FY261" s="150"/>
      <c r="FZ261" s="150"/>
      <c r="GA261" s="150"/>
      <c r="GB261" s="150"/>
      <c r="GC261" s="150"/>
      <c r="GD261" s="150"/>
      <c r="GE261" s="150"/>
      <c r="GF261" s="150"/>
      <c r="GG261" s="150"/>
      <c r="GH261" s="150"/>
      <c r="GI261" s="150"/>
      <c r="GJ261" s="150"/>
      <c r="GK261" s="150"/>
      <c r="GL261" s="150"/>
      <c r="GM261" s="150"/>
      <c r="GN261" s="150"/>
      <c r="GO261" s="150"/>
      <c r="GP261" s="150"/>
      <c r="GQ261" s="150"/>
      <c r="GR261" s="150"/>
      <c r="GS261" s="150"/>
      <c r="GT261" s="150"/>
      <c r="GU261" s="150"/>
      <c r="GV261" s="150"/>
      <c r="GW261" s="150"/>
      <c r="GX261" s="150"/>
      <c r="GY261" s="150"/>
      <c r="GZ261" s="150"/>
      <c r="HA261" s="150"/>
      <c r="HB261" s="150"/>
      <c r="HC261" s="150"/>
      <c r="HD261" s="150"/>
      <c r="HE261" s="150"/>
      <c r="HF261" s="150"/>
      <c r="HG261" s="150"/>
      <c r="HH261" s="150"/>
      <c r="HI261" s="150"/>
      <c r="HJ261" s="150"/>
      <c r="HK261" s="150"/>
      <c r="HL261" s="150"/>
    </row>
    <row r="262" spans="1:220" s="152" customFormat="1" ht="14.25">
      <c r="A262" s="153"/>
      <c r="C262" s="154"/>
      <c r="D262" s="155"/>
      <c r="F262" s="194"/>
      <c r="H262" s="155"/>
      <c r="AJ262" s="156"/>
      <c r="AK262" s="156"/>
      <c r="AQ262" s="154"/>
      <c r="AW262" s="157"/>
      <c r="AX262" s="154"/>
      <c r="AY262" s="158"/>
      <c r="BA262" s="279"/>
      <c r="BX262" s="154"/>
      <c r="CH262" s="154"/>
      <c r="CQ262" s="149"/>
      <c r="CS262" s="147"/>
      <c r="CV262" s="150"/>
      <c r="CW262" s="150"/>
      <c r="CX262" s="150"/>
      <c r="CY262" s="150"/>
      <c r="CZ262" s="150"/>
      <c r="DA262" s="150"/>
      <c r="DB262" s="150"/>
      <c r="DC262" s="150"/>
      <c r="DD262" s="150"/>
      <c r="DE262" s="150"/>
      <c r="DF262" s="150"/>
      <c r="DG262" s="150"/>
      <c r="DH262" s="150"/>
      <c r="DI262" s="150"/>
      <c r="DJ262" s="150"/>
      <c r="DK262" s="150"/>
      <c r="DL262" s="150"/>
      <c r="DM262" s="150"/>
      <c r="DN262" s="150"/>
      <c r="DO262" s="150"/>
      <c r="DP262" s="150"/>
      <c r="DQ262" s="150"/>
      <c r="DR262" s="150"/>
      <c r="DS262" s="150"/>
      <c r="DT262" s="150"/>
      <c r="DU262" s="150"/>
      <c r="DV262" s="150"/>
      <c r="DW262" s="150"/>
      <c r="DX262" s="150"/>
      <c r="DY262" s="150"/>
      <c r="DZ262" s="150"/>
      <c r="EA262" s="150"/>
      <c r="EB262" s="150"/>
      <c r="EC262" s="150"/>
      <c r="ED262" s="150"/>
      <c r="EE262" s="150"/>
      <c r="EF262" s="150"/>
      <c r="EG262" s="150"/>
      <c r="EH262" s="150"/>
      <c r="EI262" s="150"/>
      <c r="EJ262" s="150"/>
      <c r="EK262" s="150"/>
      <c r="EL262" s="150"/>
      <c r="EM262" s="150"/>
      <c r="EN262" s="150"/>
      <c r="EO262" s="150"/>
      <c r="EP262" s="150"/>
      <c r="EQ262" s="150"/>
      <c r="ER262" s="150"/>
      <c r="ES262" s="150"/>
      <c r="ET262" s="150"/>
      <c r="EU262" s="150"/>
      <c r="EV262" s="150"/>
      <c r="EW262" s="150"/>
      <c r="EX262" s="150"/>
      <c r="EY262" s="150"/>
      <c r="EZ262" s="150"/>
      <c r="FA262" s="150"/>
      <c r="FB262" s="150"/>
      <c r="FC262" s="150"/>
      <c r="FD262" s="150"/>
      <c r="FE262" s="150"/>
      <c r="FF262" s="150"/>
      <c r="FG262" s="150"/>
      <c r="FH262" s="150"/>
      <c r="FI262" s="150"/>
      <c r="FJ262" s="150"/>
      <c r="FK262" s="150"/>
      <c r="FL262" s="150"/>
      <c r="FM262" s="150"/>
      <c r="FN262" s="150"/>
      <c r="FO262" s="150"/>
      <c r="FP262" s="150"/>
      <c r="FQ262" s="150"/>
      <c r="FR262" s="150"/>
      <c r="FS262" s="150"/>
      <c r="FT262" s="150"/>
      <c r="FU262" s="150"/>
      <c r="FV262" s="150"/>
      <c r="FW262" s="150"/>
      <c r="FX262" s="150"/>
      <c r="FY262" s="150"/>
      <c r="FZ262" s="150"/>
      <c r="GA262" s="150"/>
      <c r="GB262" s="150"/>
      <c r="GC262" s="150"/>
      <c r="GD262" s="150"/>
      <c r="GE262" s="150"/>
      <c r="GF262" s="150"/>
      <c r="GG262" s="150"/>
      <c r="GH262" s="150"/>
      <c r="GI262" s="150"/>
      <c r="GJ262" s="150"/>
      <c r="GK262" s="150"/>
      <c r="GL262" s="150"/>
      <c r="GM262" s="150"/>
      <c r="GN262" s="150"/>
      <c r="GO262" s="150"/>
      <c r="GP262" s="150"/>
      <c r="GQ262" s="150"/>
      <c r="GR262" s="150"/>
      <c r="GS262" s="150"/>
      <c r="GT262" s="150"/>
      <c r="GU262" s="150"/>
      <c r="GV262" s="150"/>
      <c r="GW262" s="150"/>
      <c r="GX262" s="150"/>
      <c r="GY262" s="150"/>
      <c r="GZ262" s="150"/>
      <c r="HA262" s="150"/>
      <c r="HB262" s="150"/>
      <c r="HC262" s="150"/>
      <c r="HD262" s="150"/>
      <c r="HE262" s="150"/>
      <c r="HF262" s="150"/>
      <c r="HG262" s="150"/>
      <c r="HH262" s="150"/>
      <c r="HI262" s="150"/>
      <c r="HJ262" s="150"/>
      <c r="HK262" s="150"/>
      <c r="HL262" s="150"/>
    </row>
    <row r="263" spans="1:220" s="152" customFormat="1" ht="14.25">
      <c r="A263" s="153"/>
      <c r="C263" s="154"/>
      <c r="D263" s="155"/>
      <c r="F263" s="194"/>
      <c r="H263" s="155"/>
      <c r="AJ263" s="156"/>
      <c r="AK263" s="156"/>
      <c r="AQ263" s="154"/>
      <c r="AW263" s="157"/>
      <c r="AX263" s="154"/>
      <c r="AY263" s="158"/>
      <c r="BA263" s="279"/>
      <c r="BX263" s="154"/>
      <c r="CH263" s="154"/>
      <c r="CQ263" s="149"/>
      <c r="CS263" s="147"/>
      <c r="CV263" s="150"/>
      <c r="CW263" s="150"/>
      <c r="CX263" s="150"/>
      <c r="CY263" s="150"/>
      <c r="CZ263" s="150"/>
      <c r="DA263" s="150"/>
      <c r="DB263" s="150"/>
      <c r="DC263" s="150"/>
      <c r="DD263" s="150"/>
      <c r="DE263" s="150"/>
      <c r="DF263" s="150"/>
      <c r="DG263" s="150"/>
      <c r="DH263" s="150"/>
      <c r="DI263" s="150"/>
      <c r="DJ263" s="150"/>
      <c r="DK263" s="150"/>
      <c r="DL263" s="150"/>
      <c r="DM263" s="150"/>
      <c r="DN263" s="150"/>
      <c r="DO263" s="150"/>
      <c r="DP263" s="150"/>
      <c r="DQ263" s="150"/>
      <c r="DR263" s="150"/>
      <c r="DS263" s="150"/>
      <c r="DT263" s="150"/>
      <c r="DU263" s="150"/>
      <c r="DV263" s="150"/>
      <c r="DW263" s="150"/>
      <c r="DX263" s="150"/>
      <c r="DY263" s="150"/>
      <c r="DZ263" s="150"/>
      <c r="EA263" s="150"/>
      <c r="EB263" s="150"/>
      <c r="EC263" s="150"/>
      <c r="ED263" s="150"/>
      <c r="EE263" s="150"/>
      <c r="EF263" s="150"/>
      <c r="EG263" s="150"/>
      <c r="EH263" s="150"/>
      <c r="EI263" s="150"/>
      <c r="EJ263" s="150"/>
      <c r="EK263" s="150"/>
      <c r="EL263" s="150"/>
      <c r="EM263" s="150"/>
      <c r="EN263" s="150"/>
      <c r="EO263" s="150"/>
      <c r="EP263" s="150"/>
      <c r="EQ263" s="150"/>
      <c r="ER263" s="150"/>
      <c r="ES263" s="150"/>
      <c r="ET263" s="150"/>
      <c r="EU263" s="150"/>
      <c r="EV263" s="150"/>
      <c r="EW263" s="150"/>
      <c r="EX263" s="150"/>
      <c r="EY263" s="150"/>
      <c r="EZ263" s="150"/>
      <c r="FA263" s="150"/>
      <c r="FB263" s="150"/>
      <c r="FC263" s="150"/>
      <c r="FD263" s="150"/>
      <c r="FE263" s="150"/>
      <c r="FF263" s="150"/>
      <c r="FG263" s="150"/>
      <c r="FH263" s="150"/>
      <c r="FI263" s="150"/>
      <c r="FJ263" s="150"/>
      <c r="FK263" s="150"/>
      <c r="FL263" s="150"/>
      <c r="FM263" s="150"/>
      <c r="FN263" s="150"/>
      <c r="FO263" s="150"/>
      <c r="FP263" s="150"/>
      <c r="FQ263" s="150"/>
      <c r="FR263" s="150"/>
      <c r="FS263" s="150"/>
      <c r="FT263" s="150"/>
      <c r="FU263" s="150"/>
      <c r="FV263" s="150"/>
      <c r="FW263" s="150"/>
      <c r="FX263" s="150"/>
      <c r="FY263" s="150"/>
      <c r="FZ263" s="150"/>
      <c r="GA263" s="150"/>
      <c r="GB263" s="150"/>
      <c r="GC263" s="150"/>
      <c r="GD263" s="150"/>
      <c r="GE263" s="150"/>
      <c r="GF263" s="150"/>
      <c r="GG263" s="150"/>
      <c r="GH263" s="150"/>
      <c r="GI263" s="150"/>
      <c r="GJ263" s="150"/>
      <c r="GK263" s="150"/>
      <c r="GL263" s="150"/>
      <c r="GM263" s="150"/>
      <c r="GN263" s="150"/>
      <c r="GO263" s="150"/>
      <c r="GP263" s="150"/>
      <c r="GQ263" s="150"/>
      <c r="GR263" s="150"/>
      <c r="GS263" s="150"/>
      <c r="GT263" s="150"/>
      <c r="GU263" s="150"/>
      <c r="GV263" s="150"/>
      <c r="GW263" s="150"/>
      <c r="GX263" s="150"/>
      <c r="GY263" s="150"/>
      <c r="GZ263" s="150"/>
      <c r="HA263" s="150"/>
      <c r="HB263" s="150"/>
      <c r="HC263" s="150"/>
      <c r="HD263" s="150"/>
      <c r="HE263" s="150"/>
      <c r="HF263" s="150"/>
      <c r="HG263" s="150"/>
      <c r="HH263" s="150"/>
      <c r="HI263" s="150"/>
      <c r="HJ263" s="150"/>
      <c r="HK263" s="150"/>
      <c r="HL263" s="150"/>
    </row>
    <row r="264" spans="1:220" s="152" customFormat="1" ht="14.25">
      <c r="A264" s="153"/>
      <c r="C264" s="154"/>
      <c r="D264" s="155"/>
      <c r="F264" s="194"/>
      <c r="H264" s="155"/>
      <c r="AJ264" s="156"/>
      <c r="AK264" s="156"/>
      <c r="AQ264" s="154"/>
      <c r="AW264" s="157"/>
      <c r="AX264" s="154"/>
      <c r="AY264" s="158"/>
      <c r="BA264" s="279"/>
      <c r="BX264" s="154"/>
      <c r="CH264" s="154"/>
      <c r="CQ264" s="149"/>
      <c r="CS264" s="147"/>
      <c r="CV264" s="150"/>
      <c r="CW264" s="150"/>
      <c r="CX264" s="150"/>
      <c r="CY264" s="150"/>
      <c r="CZ264" s="150"/>
      <c r="DA264" s="150"/>
      <c r="DB264" s="150"/>
      <c r="DC264" s="150"/>
      <c r="DD264" s="150"/>
      <c r="DE264" s="150"/>
      <c r="DF264" s="150"/>
      <c r="DG264" s="150"/>
      <c r="DH264" s="150"/>
      <c r="DI264" s="150"/>
      <c r="DJ264" s="150"/>
      <c r="DK264" s="150"/>
      <c r="DL264" s="150"/>
      <c r="DM264" s="150"/>
      <c r="DN264" s="150"/>
      <c r="DO264" s="150"/>
      <c r="DP264" s="150"/>
      <c r="DQ264" s="150"/>
      <c r="DR264" s="150"/>
      <c r="DS264" s="150"/>
      <c r="DT264" s="150"/>
      <c r="DU264" s="150"/>
      <c r="DV264" s="150"/>
      <c r="DW264" s="150"/>
      <c r="DX264" s="150"/>
      <c r="DY264" s="150"/>
      <c r="DZ264" s="150"/>
      <c r="EA264" s="150"/>
      <c r="EB264" s="150"/>
      <c r="EC264" s="150"/>
      <c r="ED264" s="150"/>
      <c r="EE264" s="150"/>
      <c r="EF264" s="150"/>
      <c r="EG264" s="150"/>
      <c r="EH264" s="150"/>
      <c r="EI264" s="150"/>
      <c r="EJ264" s="150"/>
      <c r="EK264" s="150"/>
      <c r="EL264" s="150"/>
      <c r="EM264" s="150"/>
      <c r="EN264" s="150"/>
      <c r="EO264" s="150"/>
      <c r="EP264" s="150"/>
      <c r="EQ264" s="150"/>
      <c r="ER264" s="150"/>
      <c r="ES264" s="150"/>
      <c r="ET264" s="150"/>
      <c r="EU264" s="150"/>
      <c r="EV264" s="150"/>
      <c r="EW264" s="150"/>
      <c r="EX264" s="150"/>
      <c r="EY264" s="150"/>
      <c r="EZ264" s="150"/>
      <c r="FA264" s="150"/>
      <c r="FB264" s="150"/>
      <c r="FC264" s="150"/>
      <c r="FD264" s="150"/>
      <c r="FE264" s="150"/>
      <c r="FF264" s="150"/>
      <c r="FG264" s="150"/>
      <c r="FH264" s="150"/>
      <c r="FI264" s="150"/>
      <c r="FJ264" s="150"/>
      <c r="FK264" s="150"/>
      <c r="FL264" s="150"/>
      <c r="FM264" s="150"/>
      <c r="FN264" s="150"/>
      <c r="FO264" s="150"/>
      <c r="FP264" s="150"/>
      <c r="FQ264" s="150"/>
      <c r="FR264" s="150"/>
      <c r="FS264" s="150"/>
      <c r="FT264" s="150"/>
      <c r="FU264" s="150"/>
      <c r="FV264" s="150"/>
      <c r="FW264" s="150"/>
      <c r="FX264" s="150"/>
      <c r="FY264" s="150"/>
      <c r="FZ264" s="150"/>
      <c r="GA264" s="150"/>
      <c r="GB264" s="150"/>
      <c r="GC264" s="150"/>
      <c r="GD264" s="150"/>
      <c r="GE264" s="150"/>
      <c r="GF264" s="150"/>
      <c r="GG264" s="150"/>
      <c r="GH264" s="150"/>
      <c r="GI264" s="150"/>
      <c r="GJ264" s="150"/>
      <c r="GK264" s="150"/>
      <c r="GL264" s="150"/>
      <c r="GM264" s="150"/>
      <c r="GN264" s="150"/>
      <c r="GO264" s="150"/>
      <c r="GP264" s="150"/>
      <c r="GQ264" s="150"/>
      <c r="GR264" s="150"/>
      <c r="GS264" s="150"/>
      <c r="GT264" s="150"/>
      <c r="GU264" s="150"/>
      <c r="GV264" s="150"/>
      <c r="GW264" s="150"/>
      <c r="GX264" s="150"/>
      <c r="GY264" s="150"/>
      <c r="GZ264" s="150"/>
      <c r="HA264" s="150"/>
      <c r="HB264" s="150"/>
      <c r="HC264" s="150"/>
      <c r="HD264" s="150"/>
      <c r="HE264" s="150"/>
      <c r="HF264" s="150"/>
      <c r="HG264" s="150"/>
      <c r="HH264" s="150"/>
      <c r="HI264" s="150"/>
      <c r="HJ264" s="150"/>
      <c r="HK264" s="150"/>
      <c r="HL264" s="150"/>
    </row>
    <row r="265" spans="1:220" s="152" customFormat="1" ht="14.25">
      <c r="A265" s="153"/>
      <c r="C265" s="154"/>
      <c r="D265" s="155"/>
      <c r="F265" s="194"/>
      <c r="H265" s="155"/>
      <c r="AJ265" s="156"/>
      <c r="AK265" s="156"/>
      <c r="AQ265" s="154"/>
      <c r="AW265" s="157"/>
      <c r="AX265" s="154"/>
      <c r="AY265" s="158"/>
      <c r="BA265" s="279"/>
      <c r="BX265" s="154"/>
      <c r="CH265" s="154"/>
      <c r="CQ265" s="149"/>
      <c r="CS265" s="147"/>
      <c r="CV265" s="150"/>
      <c r="CW265" s="150"/>
      <c r="CX265" s="150"/>
      <c r="CY265" s="150"/>
      <c r="CZ265" s="150"/>
      <c r="DA265" s="150"/>
      <c r="DB265" s="150"/>
      <c r="DC265" s="150"/>
      <c r="DD265" s="150"/>
      <c r="DE265" s="150"/>
      <c r="DF265" s="150"/>
      <c r="DG265" s="150"/>
      <c r="DH265" s="150"/>
      <c r="DI265" s="150"/>
      <c r="DJ265" s="150"/>
      <c r="DK265" s="150"/>
      <c r="DL265" s="150"/>
      <c r="DM265" s="150"/>
      <c r="DN265" s="150"/>
      <c r="DO265" s="150"/>
      <c r="DP265" s="150"/>
      <c r="DQ265" s="150"/>
      <c r="DR265" s="150"/>
      <c r="DS265" s="150"/>
      <c r="DT265" s="150"/>
      <c r="DU265" s="150"/>
      <c r="DV265" s="150"/>
      <c r="DW265" s="150"/>
      <c r="DX265" s="150"/>
      <c r="DY265" s="150"/>
      <c r="DZ265" s="150"/>
      <c r="EA265" s="150"/>
      <c r="EB265" s="150"/>
      <c r="EC265" s="150"/>
      <c r="ED265" s="150"/>
      <c r="EE265" s="150"/>
      <c r="EF265" s="150"/>
      <c r="EG265" s="150"/>
      <c r="EH265" s="150"/>
      <c r="EI265" s="150"/>
      <c r="EJ265" s="150"/>
      <c r="EK265" s="150"/>
      <c r="EL265" s="150"/>
      <c r="EM265" s="150"/>
      <c r="EN265" s="150"/>
      <c r="EO265" s="150"/>
      <c r="EP265" s="150"/>
      <c r="EQ265" s="150"/>
      <c r="ER265" s="150"/>
      <c r="ES265" s="150"/>
      <c r="ET265" s="150"/>
      <c r="EU265" s="150"/>
      <c r="EV265" s="150"/>
      <c r="EW265" s="150"/>
      <c r="EX265" s="150"/>
      <c r="EY265" s="150"/>
      <c r="EZ265" s="150"/>
      <c r="FA265" s="150"/>
      <c r="FB265" s="150"/>
      <c r="FC265" s="150"/>
      <c r="FD265" s="150"/>
      <c r="FE265" s="150"/>
      <c r="FF265" s="150"/>
      <c r="FG265" s="150"/>
      <c r="FH265" s="150"/>
      <c r="FI265" s="150"/>
      <c r="FJ265" s="150"/>
      <c r="FK265" s="150"/>
      <c r="FL265" s="150"/>
      <c r="FM265" s="150"/>
      <c r="FN265" s="150"/>
      <c r="FO265" s="150"/>
      <c r="FP265" s="150"/>
      <c r="FQ265" s="150"/>
      <c r="FR265" s="150"/>
      <c r="FS265" s="150"/>
      <c r="FT265" s="150"/>
      <c r="FU265" s="150"/>
      <c r="FV265" s="150"/>
      <c r="FW265" s="150"/>
      <c r="FX265" s="150"/>
      <c r="FY265" s="150"/>
      <c r="FZ265" s="150"/>
      <c r="GA265" s="150"/>
      <c r="GB265" s="150"/>
      <c r="GC265" s="150"/>
      <c r="GD265" s="150"/>
      <c r="GE265" s="150"/>
      <c r="GF265" s="150"/>
      <c r="GG265" s="150"/>
      <c r="GH265" s="150"/>
      <c r="GI265" s="150"/>
      <c r="GJ265" s="150"/>
      <c r="GK265" s="150"/>
      <c r="GL265" s="150"/>
      <c r="GM265" s="150"/>
      <c r="GN265" s="150"/>
      <c r="GO265" s="150"/>
      <c r="GP265" s="150"/>
      <c r="GQ265" s="150"/>
      <c r="GR265" s="150"/>
      <c r="GS265" s="150"/>
      <c r="GT265" s="150"/>
      <c r="GU265" s="150"/>
      <c r="GV265" s="150"/>
      <c r="GW265" s="150"/>
      <c r="GX265" s="150"/>
      <c r="GY265" s="150"/>
      <c r="GZ265" s="150"/>
      <c r="HA265" s="150"/>
      <c r="HB265" s="150"/>
      <c r="HC265" s="150"/>
      <c r="HD265" s="150"/>
      <c r="HE265" s="150"/>
      <c r="HF265" s="150"/>
      <c r="HG265" s="150"/>
      <c r="HH265" s="150"/>
      <c r="HI265" s="150"/>
      <c r="HJ265" s="150"/>
      <c r="HK265" s="150"/>
      <c r="HL265" s="150"/>
    </row>
    <row r="266" spans="1:220" s="152" customFormat="1" ht="14.25">
      <c r="A266" s="153"/>
      <c r="C266" s="154"/>
      <c r="D266" s="155"/>
      <c r="F266" s="194"/>
      <c r="H266" s="155"/>
      <c r="AJ266" s="156"/>
      <c r="AK266" s="156"/>
      <c r="AQ266" s="154"/>
      <c r="AW266" s="157"/>
      <c r="AX266" s="154"/>
      <c r="AY266" s="158"/>
      <c r="BA266" s="279"/>
      <c r="BX266" s="154"/>
      <c r="CH266" s="154"/>
      <c r="CQ266" s="149"/>
      <c r="CS266" s="147"/>
      <c r="CV266" s="150"/>
      <c r="CW266" s="150"/>
      <c r="CX266" s="150"/>
      <c r="CY266" s="150"/>
      <c r="CZ266" s="150"/>
      <c r="DA266" s="150"/>
      <c r="DB266" s="150"/>
      <c r="DC266" s="150"/>
      <c r="DD266" s="150"/>
      <c r="DE266" s="150"/>
      <c r="DF266" s="150"/>
      <c r="DG266" s="150"/>
      <c r="DH266" s="150"/>
      <c r="DI266" s="150"/>
      <c r="DJ266" s="150"/>
      <c r="DK266" s="150"/>
      <c r="DL266" s="150"/>
      <c r="DM266" s="150"/>
      <c r="DN266" s="150"/>
      <c r="DO266" s="150"/>
      <c r="DP266" s="150"/>
      <c r="DQ266" s="150"/>
      <c r="DR266" s="150"/>
      <c r="DS266" s="150"/>
      <c r="DT266" s="150"/>
      <c r="DU266" s="150"/>
      <c r="DV266" s="150"/>
      <c r="DW266" s="150"/>
      <c r="DX266" s="150"/>
      <c r="DY266" s="150"/>
      <c r="DZ266" s="150"/>
      <c r="EA266" s="150"/>
      <c r="EB266" s="150"/>
      <c r="EC266" s="150"/>
      <c r="ED266" s="150"/>
      <c r="EE266" s="150"/>
      <c r="EF266" s="150"/>
      <c r="EG266" s="150"/>
      <c r="EH266" s="150"/>
      <c r="EI266" s="150"/>
      <c r="EJ266" s="150"/>
      <c r="EK266" s="150"/>
      <c r="EL266" s="150"/>
      <c r="EM266" s="150"/>
      <c r="EN266" s="150"/>
      <c r="EO266" s="150"/>
      <c r="EP266" s="150"/>
      <c r="EQ266" s="150"/>
      <c r="ER266" s="150"/>
      <c r="ES266" s="150"/>
      <c r="ET266" s="150"/>
      <c r="EU266" s="150"/>
      <c r="EV266" s="150"/>
      <c r="EW266" s="150"/>
      <c r="EX266" s="150"/>
      <c r="EY266" s="150"/>
      <c r="EZ266" s="150"/>
      <c r="FA266" s="150"/>
      <c r="FB266" s="150"/>
      <c r="FC266" s="150"/>
      <c r="FD266" s="150"/>
      <c r="FE266" s="150"/>
      <c r="FF266" s="150"/>
      <c r="FG266" s="150"/>
      <c r="FH266" s="150"/>
      <c r="FI266" s="150"/>
      <c r="FJ266" s="150"/>
      <c r="FK266" s="150"/>
      <c r="FL266" s="150"/>
      <c r="FM266" s="150"/>
      <c r="FN266" s="150"/>
      <c r="FO266" s="150"/>
      <c r="FP266" s="150"/>
      <c r="FQ266" s="150"/>
      <c r="FR266" s="150"/>
      <c r="FS266" s="150"/>
      <c r="FT266" s="150"/>
      <c r="FU266" s="150"/>
      <c r="FV266" s="150"/>
      <c r="FW266" s="150"/>
      <c r="FX266" s="150"/>
      <c r="FY266" s="150"/>
      <c r="FZ266" s="150"/>
      <c r="GA266" s="150"/>
      <c r="GB266" s="150"/>
      <c r="GC266" s="150"/>
      <c r="GD266" s="150"/>
      <c r="GE266" s="150"/>
      <c r="GF266" s="150"/>
      <c r="GG266" s="150"/>
      <c r="GH266" s="150"/>
      <c r="GI266" s="150"/>
      <c r="GJ266" s="150"/>
      <c r="GK266" s="150"/>
      <c r="GL266" s="150"/>
      <c r="GM266" s="150"/>
      <c r="GN266" s="150"/>
      <c r="GO266" s="150"/>
      <c r="GP266" s="150"/>
      <c r="GQ266" s="150"/>
      <c r="GR266" s="150"/>
      <c r="GS266" s="150"/>
      <c r="GT266" s="150"/>
      <c r="GU266" s="150"/>
      <c r="GV266" s="150"/>
      <c r="GW266" s="150"/>
      <c r="GX266" s="150"/>
      <c r="GY266" s="150"/>
      <c r="GZ266" s="150"/>
      <c r="HA266" s="150"/>
      <c r="HB266" s="150"/>
      <c r="HC266" s="150"/>
      <c r="HD266" s="150"/>
      <c r="HE266" s="150"/>
      <c r="HF266" s="150"/>
      <c r="HG266" s="150"/>
      <c r="HH266" s="150"/>
      <c r="HI266" s="150"/>
      <c r="HJ266" s="150"/>
      <c r="HK266" s="150"/>
      <c r="HL266" s="150"/>
    </row>
    <row r="267" spans="1:220" s="152" customFormat="1" ht="14.25">
      <c r="A267" s="153"/>
      <c r="C267" s="154"/>
      <c r="D267" s="155"/>
      <c r="F267" s="194"/>
      <c r="H267" s="155"/>
      <c r="AJ267" s="156"/>
      <c r="AK267" s="156"/>
      <c r="AQ267" s="154"/>
      <c r="AW267" s="157"/>
      <c r="AX267" s="154"/>
      <c r="AY267" s="158"/>
      <c r="BA267" s="279"/>
      <c r="BX267" s="154"/>
      <c r="CH267" s="154"/>
      <c r="CQ267" s="149"/>
      <c r="CS267" s="147"/>
      <c r="CV267" s="150"/>
      <c r="CW267" s="150"/>
      <c r="CX267" s="150"/>
      <c r="CY267" s="150"/>
      <c r="CZ267" s="150"/>
      <c r="DA267" s="150"/>
      <c r="DB267" s="150"/>
      <c r="DC267" s="150"/>
      <c r="DD267" s="150"/>
      <c r="DE267" s="150"/>
      <c r="DF267" s="150"/>
      <c r="DG267" s="150"/>
      <c r="DH267" s="150"/>
      <c r="DI267" s="150"/>
      <c r="DJ267" s="150"/>
      <c r="DK267" s="150"/>
      <c r="DL267" s="150"/>
      <c r="DM267" s="150"/>
      <c r="DN267" s="150"/>
      <c r="DO267" s="150"/>
      <c r="DP267" s="150"/>
      <c r="DQ267" s="150"/>
      <c r="DR267" s="150"/>
      <c r="DS267" s="150"/>
      <c r="DT267" s="150"/>
      <c r="DU267" s="150"/>
      <c r="DV267" s="150"/>
      <c r="DW267" s="150"/>
      <c r="DX267" s="150"/>
      <c r="DY267" s="150"/>
      <c r="DZ267" s="150"/>
      <c r="EA267" s="150"/>
      <c r="EB267" s="150"/>
      <c r="EC267" s="150"/>
      <c r="ED267" s="150"/>
      <c r="EE267" s="150"/>
      <c r="EF267" s="150"/>
      <c r="EG267" s="150"/>
      <c r="EH267" s="150"/>
      <c r="EI267" s="150"/>
      <c r="EJ267" s="150"/>
      <c r="EK267" s="150"/>
      <c r="EL267" s="150"/>
      <c r="EM267" s="150"/>
      <c r="EN267" s="150"/>
      <c r="EO267" s="150"/>
      <c r="EP267" s="150"/>
      <c r="EQ267" s="150"/>
      <c r="ER267" s="150"/>
      <c r="ES267" s="150"/>
      <c r="ET267" s="150"/>
      <c r="EU267" s="150"/>
      <c r="EV267" s="150"/>
      <c r="EW267" s="150"/>
      <c r="EX267" s="150"/>
      <c r="EY267" s="150"/>
      <c r="EZ267" s="150"/>
      <c r="FA267" s="150"/>
      <c r="FB267" s="150"/>
      <c r="FC267" s="150"/>
      <c r="FD267" s="150"/>
      <c r="FE267" s="150"/>
      <c r="FF267" s="150"/>
      <c r="FG267" s="150"/>
      <c r="FH267" s="150"/>
      <c r="FI267" s="150"/>
      <c r="FJ267" s="150"/>
      <c r="FK267" s="150"/>
      <c r="FL267" s="150"/>
      <c r="FM267" s="150"/>
      <c r="FN267" s="150"/>
      <c r="FO267" s="150"/>
      <c r="FP267" s="150"/>
      <c r="FQ267" s="150"/>
      <c r="FR267" s="150"/>
      <c r="FS267" s="150"/>
      <c r="FT267" s="150"/>
      <c r="FU267" s="150"/>
      <c r="FV267" s="150"/>
      <c r="FW267" s="150"/>
      <c r="FX267" s="150"/>
      <c r="FY267" s="150"/>
      <c r="FZ267" s="150"/>
      <c r="GA267" s="150"/>
      <c r="GB267" s="150"/>
      <c r="GC267" s="150"/>
      <c r="GD267" s="150"/>
      <c r="GE267" s="150"/>
      <c r="GF267" s="150"/>
      <c r="GG267" s="150"/>
      <c r="GH267" s="150"/>
      <c r="GI267" s="150"/>
      <c r="GJ267" s="150"/>
      <c r="GK267" s="150"/>
      <c r="GL267" s="150"/>
      <c r="GM267" s="150"/>
      <c r="GN267" s="150"/>
      <c r="GO267" s="150"/>
      <c r="GP267" s="150"/>
      <c r="GQ267" s="150"/>
      <c r="GR267" s="150"/>
      <c r="GS267" s="150"/>
      <c r="GT267" s="150"/>
      <c r="GU267" s="150"/>
      <c r="GV267" s="150"/>
      <c r="GW267" s="150"/>
      <c r="GX267" s="150"/>
      <c r="GY267" s="150"/>
      <c r="GZ267" s="150"/>
      <c r="HA267" s="150"/>
      <c r="HB267" s="150"/>
      <c r="HC267" s="150"/>
      <c r="HD267" s="150"/>
      <c r="HE267" s="150"/>
      <c r="HF267" s="150"/>
      <c r="HG267" s="150"/>
      <c r="HH267" s="150"/>
      <c r="HI267" s="150"/>
      <c r="HJ267" s="150"/>
      <c r="HK267" s="150"/>
      <c r="HL267" s="150"/>
    </row>
    <row r="268" spans="1:220" s="152" customFormat="1" ht="14.25">
      <c r="A268" s="153"/>
      <c r="C268" s="154"/>
      <c r="D268" s="155"/>
      <c r="F268" s="194"/>
      <c r="H268" s="155"/>
      <c r="AJ268" s="156"/>
      <c r="AK268" s="156"/>
      <c r="AQ268" s="154"/>
      <c r="AW268" s="157"/>
      <c r="AX268" s="154"/>
      <c r="AY268" s="158"/>
      <c r="BA268" s="279"/>
      <c r="BX268" s="154"/>
      <c r="CH268" s="154"/>
      <c r="CQ268" s="149"/>
      <c r="CS268" s="147"/>
      <c r="CV268" s="150"/>
      <c r="CW268" s="150"/>
      <c r="CX268" s="150"/>
      <c r="CY268" s="150"/>
      <c r="CZ268" s="150"/>
      <c r="DA268" s="150"/>
      <c r="DB268" s="150"/>
      <c r="DC268" s="150"/>
      <c r="DD268" s="150"/>
      <c r="DE268" s="150"/>
      <c r="DF268" s="150"/>
      <c r="DG268" s="150"/>
      <c r="DH268" s="150"/>
      <c r="DI268" s="150"/>
      <c r="DJ268" s="150"/>
      <c r="DK268" s="150"/>
      <c r="DL268" s="150"/>
      <c r="DM268" s="150"/>
      <c r="DN268" s="150"/>
      <c r="DO268" s="150"/>
      <c r="DP268" s="150"/>
      <c r="DQ268" s="150"/>
      <c r="DR268" s="150"/>
      <c r="DS268" s="150"/>
      <c r="DT268" s="150"/>
      <c r="DU268" s="150"/>
      <c r="DV268" s="150"/>
      <c r="DW268" s="150"/>
      <c r="DX268" s="150"/>
      <c r="DY268" s="150"/>
      <c r="DZ268" s="150"/>
      <c r="EA268" s="150"/>
      <c r="EB268" s="150"/>
      <c r="EC268" s="150"/>
      <c r="ED268" s="150"/>
      <c r="EE268" s="150"/>
      <c r="EF268" s="150"/>
      <c r="EG268" s="150"/>
      <c r="EH268" s="150"/>
      <c r="EI268" s="150"/>
      <c r="EJ268" s="150"/>
      <c r="EK268" s="150"/>
      <c r="EL268" s="150"/>
      <c r="EM268" s="150"/>
      <c r="EN268" s="150"/>
      <c r="EO268" s="150"/>
      <c r="EP268" s="150"/>
      <c r="EQ268" s="150"/>
      <c r="ER268" s="150"/>
      <c r="ES268" s="150"/>
      <c r="ET268" s="150"/>
      <c r="EU268" s="150"/>
      <c r="EV268" s="150"/>
      <c r="EW268" s="150"/>
      <c r="EX268" s="150"/>
      <c r="EY268" s="150"/>
      <c r="EZ268" s="150"/>
      <c r="FA268" s="150"/>
      <c r="FB268" s="150"/>
      <c r="FC268" s="150"/>
      <c r="FD268" s="150"/>
      <c r="FE268" s="150"/>
      <c r="FF268" s="150"/>
      <c r="FG268" s="150"/>
      <c r="FH268" s="150"/>
      <c r="FI268" s="150"/>
      <c r="FJ268" s="150"/>
      <c r="FK268" s="150"/>
      <c r="FL268" s="150"/>
      <c r="FM268" s="150"/>
      <c r="FN268" s="150"/>
      <c r="FO268" s="150"/>
      <c r="FP268" s="150"/>
      <c r="FQ268" s="150"/>
      <c r="FR268" s="150"/>
      <c r="FS268" s="150"/>
      <c r="FT268" s="150"/>
      <c r="FU268" s="150"/>
      <c r="FV268" s="150"/>
      <c r="FW268" s="150"/>
      <c r="FX268" s="150"/>
      <c r="FY268" s="150"/>
      <c r="FZ268" s="150"/>
      <c r="GA268" s="150"/>
      <c r="GB268" s="150"/>
      <c r="GC268" s="150"/>
      <c r="GD268" s="150"/>
      <c r="GE268" s="150"/>
      <c r="GF268" s="150"/>
      <c r="GG268" s="150"/>
      <c r="GH268" s="150"/>
      <c r="GI268" s="150"/>
      <c r="GJ268" s="150"/>
      <c r="GK268" s="150"/>
      <c r="GL268" s="150"/>
      <c r="GM268" s="150"/>
      <c r="GN268" s="150"/>
      <c r="GO268" s="150"/>
      <c r="GP268" s="150"/>
      <c r="GQ268" s="150"/>
      <c r="GR268" s="150"/>
      <c r="GS268" s="150"/>
      <c r="GT268" s="150"/>
      <c r="GU268" s="150"/>
      <c r="GV268" s="150"/>
      <c r="GW268" s="150"/>
      <c r="GX268" s="150"/>
      <c r="GY268" s="150"/>
      <c r="GZ268" s="150"/>
      <c r="HA268" s="150"/>
      <c r="HB268" s="150"/>
      <c r="HC268" s="150"/>
      <c r="HD268" s="150"/>
      <c r="HE268" s="150"/>
      <c r="HF268" s="150"/>
      <c r="HG268" s="150"/>
      <c r="HH268" s="150"/>
      <c r="HI268" s="150"/>
      <c r="HJ268" s="150"/>
      <c r="HK268" s="150"/>
      <c r="HL268" s="150"/>
    </row>
    <row r="269" spans="1:220" s="152" customFormat="1" ht="14.25">
      <c r="A269" s="153"/>
      <c r="C269" s="154"/>
      <c r="D269" s="155"/>
      <c r="F269" s="194"/>
      <c r="H269" s="155"/>
      <c r="AJ269" s="156"/>
      <c r="AK269" s="156"/>
      <c r="AQ269" s="154"/>
      <c r="AW269" s="157"/>
      <c r="AX269" s="154"/>
      <c r="AY269" s="158"/>
      <c r="BA269" s="279"/>
      <c r="BX269" s="154"/>
      <c r="CH269" s="154"/>
      <c r="CQ269" s="149"/>
      <c r="CS269" s="147"/>
      <c r="CV269" s="150"/>
      <c r="CW269" s="150"/>
      <c r="CX269" s="150"/>
      <c r="CY269" s="150"/>
      <c r="CZ269" s="150"/>
      <c r="DA269" s="150"/>
      <c r="DB269" s="150"/>
      <c r="DC269" s="150"/>
      <c r="DD269" s="150"/>
      <c r="DE269" s="150"/>
      <c r="DF269" s="150"/>
      <c r="DG269" s="150"/>
      <c r="DH269" s="150"/>
      <c r="DI269" s="150"/>
      <c r="DJ269" s="150"/>
      <c r="DK269" s="150"/>
      <c r="DL269" s="150"/>
      <c r="DM269" s="150"/>
      <c r="DN269" s="150"/>
      <c r="DO269" s="150"/>
      <c r="DP269" s="150"/>
      <c r="DQ269" s="150"/>
      <c r="DR269" s="150"/>
      <c r="DS269" s="150"/>
      <c r="DT269" s="150"/>
      <c r="DU269" s="150"/>
      <c r="DV269" s="150"/>
      <c r="DW269" s="150"/>
      <c r="DX269" s="150"/>
      <c r="DY269" s="150"/>
      <c r="DZ269" s="150"/>
      <c r="EA269" s="150"/>
      <c r="EB269" s="150"/>
      <c r="EC269" s="150"/>
      <c r="ED269" s="150"/>
      <c r="EE269" s="150"/>
      <c r="EF269" s="150"/>
      <c r="EG269" s="150"/>
      <c r="EH269" s="150"/>
      <c r="EI269" s="150"/>
      <c r="EJ269" s="150"/>
      <c r="EK269" s="150"/>
      <c r="EL269" s="150"/>
      <c r="EM269" s="150"/>
      <c r="EN269" s="150"/>
      <c r="EO269" s="150"/>
      <c r="EP269" s="150"/>
      <c r="EQ269" s="150"/>
      <c r="ER269" s="150"/>
      <c r="ES269" s="150"/>
      <c r="ET269" s="150"/>
      <c r="EU269" s="150"/>
      <c r="EV269" s="150"/>
      <c r="EW269" s="150"/>
      <c r="EX269" s="150"/>
      <c r="EY269" s="150"/>
      <c r="EZ269" s="150"/>
      <c r="FA269" s="150"/>
      <c r="FB269" s="150"/>
      <c r="FC269" s="150"/>
      <c r="FD269" s="150"/>
      <c r="FE269" s="150"/>
      <c r="FF269" s="150"/>
      <c r="FG269" s="150"/>
      <c r="FH269" s="150"/>
      <c r="FI269" s="150"/>
      <c r="FJ269" s="150"/>
      <c r="FK269" s="150"/>
      <c r="FL269" s="150"/>
      <c r="FM269" s="150"/>
      <c r="FN269" s="150"/>
      <c r="FO269" s="150"/>
      <c r="FP269" s="150"/>
      <c r="FQ269" s="150"/>
      <c r="FR269" s="150"/>
      <c r="FS269" s="150"/>
      <c r="FT269" s="150"/>
      <c r="FU269" s="150"/>
      <c r="FV269" s="150"/>
      <c r="FW269" s="150"/>
      <c r="FX269" s="150"/>
      <c r="FY269" s="150"/>
      <c r="FZ269" s="150"/>
      <c r="GA269" s="150"/>
      <c r="GB269" s="150"/>
      <c r="GC269" s="150"/>
      <c r="GD269" s="150"/>
      <c r="GE269" s="150"/>
      <c r="GF269" s="150"/>
      <c r="GG269" s="150"/>
      <c r="GH269" s="150"/>
      <c r="GI269" s="150"/>
      <c r="GJ269" s="150"/>
      <c r="GK269" s="150"/>
      <c r="GL269" s="150"/>
      <c r="GM269" s="150"/>
      <c r="GN269" s="150"/>
      <c r="GO269" s="150"/>
      <c r="GP269" s="150"/>
      <c r="GQ269" s="150"/>
      <c r="GR269" s="150"/>
      <c r="GS269" s="150"/>
      <c r="GT269" s="150"/>
      <c r="GU269" s="150"/>
      <c r="GV269" s="150"/>
      <c r="GW269" s="150"/>
      <c r="GX269" s="150"/>
      <c r="GY269" s="150"/>
      <c r="GZ269" s="150"/>
      <c r="HA269" s="150"/>
      <c r="HB269" s="150"/>
      <c r="HC269" s="150"/>
      <c r="HD269" s="150"/>
      <c r="HE269" s="150"/>
      <c r="HF269" s="150"/>
      <c r="HG269" s="150"/>
      <c r="HH269" s="150"/>
      <c r="HI269" s="150"/>
      <c r="HJ269" s="150"/>
      <c r="HK269" s="150"/>
      <c r="HL269" s="150"/>
    </row>
    <row r="270" spans="1:220" s="152" customFormat="1" ht="14.25">
      <c r="A270" s="153"/>
      <c r="C270" s="154"/>
      <c r="D270" s="155"/>
      <c r="F270" s="194"/>
      <c r="H270" s="155"/>
      <c r="AJ270" s="156"/>
      <c r="AK270" s="156"/>
      <c r="AQ270" s="154"/>
      <c r="AW270" s="157"/>
      <c r="AX270" s="154"/>
      <c r="AY270" s="158"/>
      <c r="BA270" s="279"/>
      <c r="BX270" s="154"/>
      <c r="CH270" s="154"/>
      <c r="CQ270" s="149"/>
      <c r="CS270" s="147"/>
      <c r="CV270" s="150"/>
      <c r="CW270" s="150"/>
      <c r="CX270" s="150"/>
      <c r="CY270" s="150"/>
      <c r="CZ270" s="150"/>
      <c r="DA270" s="150"/>
      <c r="DB270" s="150"/>
      <c r="DC270" s="150"/>
      <c r="DD270" s="150"/>
      <c r="DE270" s="150"/>
      <c r="DF270" s="150"/>
      <c r="DG270" s="150"/>
      <c r="DH270" s="150"/>
      <c r="DI270" s="150"/>
      <c r="DJ270" s="150"/>
      <c r="DK270" s="150"/>
      <c r="DL270" s="150"/>
      <c r="DM270" s="150"/>
      <c r="DN270" s="150"/>
      <c r="DO270" s="150"/>
      <c r="DP270" s="150"/>
      <c r="DQ270" s="150"/>
      <c r="DR270" s="150"/>
      <c r="DS270" s="150"/>
      <c r="DT270" s="150"/>
      <c r="DU270" s="150"/>
      <c r="DV270" s="150"/>
      <c r="DW270" s="150"/>
      <c r="DX270" s="150"/>
      <c r="DY270" s="150"/>
      <c r="DZ270" s="150"/>
      <c r="EA270" s="150"/>
      <c r="EB270" s="150"/>
      <c r="EC270" s="150"/>
      <c r="ED270" s="150"/>
      <c r="EE270" s="150"/>
      <c r="EF270" s="150"/>
      <c r="EG270" s="150"/>
      <c r="EH270" s="150"/>
      <c r="EI270" s="150"/>
      <c r="EJ270" s="150"/>
      <c r="EK270" s="150"/>
      <c r="EL270" s="150"/>
      <c r="EM270" s="150"/>
      <c r="EN270" s="150"/>
      <c r="EO270" s="150"/>
      <c r="EP270" s="150"/>
      <c r="EQ270" s="150"/>
      <c r="ER270" s="150"/>
      <c r="ES270" s="150"/>
      <c r="ET270" s="150"/>
      <c r="EU270" s="150"/>
      <c r="EV270" s="150"/>
      <c r="EW270" s="150"/>
      <c r="EX270" s="150"/>
      <c r="EY270" s="150"/>
      <c r="EZ270" s="150"/>
      <c r="FA270" s="150"/>
      <c r="FB270" s="150"/>
      <c r="FC270" s="150"/>
      <c r="FD270" s="150"/>
      <c r="FE270" s="150"/>
      <c r="FF270" s="150"/>
      <c r="FG270" s="150"/>
      <c r="FH270" s="150"/>
      <c r="FI270" s="150"/>
      <c r="FJ270" s="150"/>
      <c r="FK270" s="150"/>
      <c r="FL270" s="150"/>
      <c r="FM270" s="150"/>
      <c r="FN270" s="150"/>
      <c r="FO270" s="150"/>
      <c r="FP270" s="150"/>
      <c r="FQ270" s="150"/>
      <c r="FR270" s="150"/>
      <c r="FS270" s="150"/>
      <c r="FT270" s="150"/>
      <c r="FU270" s="150"/>
      <c r="FV270" s="150"/>
      <c r="FW270" s="150"/>
      <c r="FX270" s="150"/>
      <c r="FY270" s="150"/>
      <c r="FZ270" s="150"/>
      <c r="GA270" s="150"/>
      <c r="GB270" s="150"/>
      <c r="GC270" s="150"/>
      <c r="GD270" s="150"/>
      <c r="GE270" s="150"/>
      <c r="GF270" s="150"/>
      <c r="GG270" s="150"/>
      <c r="GH270" s="150"/>
      <c r="GI270" s="150"/>
      <c r="GJ270" s="150"/>
      <c r="GK270" s="150"/>
      <c r="GL270" s="150"/>
      <c r="GM270" s="150"/>
      <c r="GN270" s="150"/>
      <c r="GO270" s="150"/>
      <c r="GP270" s="150"/>
      <c r="GQ270" s="150"/>
      <c r="GR270" s="150"/>
      <c r="GS270" s="150"/>
      <c r="GT270" s="150"/>
      <c r="GU270" s="150"/>
      <c r="GV270" s="150"/>
      <c r="GW270" s="150"/>
      <c r="GX270" s="150"/>
      <c r="GY270" s="150"/>
      <c r="GZ270" s="150"/>
      <c r="HA270" s="150"/>
      <c r="HB270" s="150"/>
      <c r="HC270" s="150"/>
      <c r="HD270" s="150"/>
      <c r="HE270" s="150"/>
      <c r="HF270" s="150"/>
      <c r="HG270" s="150"/>
      <c r="HH270" s="150"/>
      <c r="HI270" s="150"/>
      <c r="HJ270" s="150"/>
      <c r="HK270" s="150"/>
      <c r="HL270" s="150"/>
    </row>
    <row r="271" spans="1:220" s="152" customFormat="1" ht="14.25">
      <c r="A271" s="153"/>
      <c r="C271" s="154"/>
      <c r="D271" s="155"/>
      <c r="F271" s="194"/>
      <c r="H271" s="155"/>
      <c r="AJ271" s="156"/>
      <c r="AK271" s="156"/>
      <c r="AQ271" s="154"/>
      <c r="AW271" s="157"/>
      <c r="AX271" s="154"/>
      <c r="AY271" s="158"/>
      <c r="BA271" s="279"/>
      <c r="BX271" s="154"/>
      <c r="CH271" s="154"/>
      <c r="CQ271" s="149"/>
      <c r="CS271" s="147"/>
      <c r="CV271" s="150"/>
      <c r="CW271" s="150"/>
      <c r="CX271" s="150"/>
      <c r="CY271" s="150"/>
      <c r="CZ271" s="150"/>
      <c r="DA271" s="150"/>
      <c r="DB271" s="150"/>
      <c r="DC271" s="150"/>
      <c r="DD271" s="150"/>
      <c r="DE271" s="150"/>
      <c r="DF271" s="150"/>
      <c r="DG271" s="150"/>
      <c r="DH271" s="150"/>
      <c r="DI271" s="150"/>
      <c r="DJ271" s="150"/>
      <c r="DK271" s="150"/>
      <c r="DL271" s="150"/>
      <c r="DM271" s="150"/>
      <c r="DN271" s="150"/>
      <c r="DO271" s="150"/>
      <c r="DP271" s="150"/>
      <c r="DQ271" s="150"/>
      <c r="DR271" s="150"/>
      <c r="DS271" s="150"/>
      <c r="DT271" s="150"/>
      <c r="DU271" s="150"/>
      <c r="DV271" s="150"/>
      <c r="DW271" s="150"/>
      <c r="DX271" s="150"/>
      <c r="DY271" s="150"/>
      <c r="DZ271" s="150"/>
      <c r="EA271" s="150"/>
      <c r="EB271" s="150"/>
      <c r="EC271" s="150"/>
      <c r="ED271" s="150"/>
      <c r="EE271" s="150"/>
      <c r="EF271" s="150"/>
      <c r="EG271" s="150"/>
      <c r="EH271" s="150"/>
      <c r="EI271" s="150"/>
      <c r="EJ271" s="150"/>
      <c r="EK271" s="150"/>
      <c r="EL271" s="150"/>
      <c r="EM271" s="150"/>
      <c r="EN271" s="150"/>
      <c r="EO271" s="150"/>
      <c r="EP271" s="150"/>
      <c r="EQ271" s="150"/>
      <c r="ER271" s="150"/>
      <c r="ES271" s="150"/>
      <c r="ET271" s="150"/>
      <c r="EU271" s="150"/>
      <c r="EV271" s="150"/>
      <c r="EW271" s="150"/>
      <c r="EX271" s="150"/>
      <c r="EY271" s="150"/>
      <c r="EZ271" s="150"/>
      <c r="FA271" s="150"/>
      <c r="FB271" s="150"/>
      <c r="FC271" s="150"/>
      <c r="FD271" s="150"/>
      <c r="FE271" s="150"/>
      <c r="FF271" s="150"/>
      <c r="FG271" s="150"/>
      <c r="FH271" s="150"/>
      <c r="FI271" s="150"/>
      <c r="FJ271" s="150"/>
      <c r="FK271" s="150"/>
      <c r="FL271" s="150"/>
      <c r="FM271" s="150"/>
      <c r="FN271" s="150"/>
      <c r="FO271" s="150"/>
      <c r="FP271" s="150"/>
      <c r="FQ271" s="150"/>
      <c r="FR271" s="150"/>
      <c r="FS271" s="150"/>
      <c r="FT271" s="150"/>
      <c r="FU271" s="150"/>
      <c r="FV271" s="150"/>
      <c r="FW271" s="150"/>
      <c r="FX271" s="150"/>
      <c r="FY271" s="150"/>
      <c r="FZ271" s="150"/>
      <c r="GA271" s="150"/>
      <c r="GB271" s="150"/>
      <c r="GC271" s="150"/>
      <c r="GD271" s="150"/>
      <c r="GE271" s="150"/>
      <c r="GF271" s="150"/>
      <c r="GG271" s="150"/>
      <c r="GH271" s="150"/>
      <c r="GI271" s="150"/>
      <c r="GJ271" s="150"/>
      <c r="GK271" s="150"/>
      <c r="GL271" s="150"/>
      <c r="GM271" s="150"/>
      <c r="GN271" s="150"/>
      <c r="GO271" s="150"/>
      <c r="GP271" s="150"/>
      <c r="GQ271" s="150"/>
      <c r="GR271" s="150"/>
      <c r="GS271" s="150"/>
      <c r="GT271" s="150"/>
      <c r="GU271" s="150"/>
      <c r="GV271" s="150"/>
      <c r="GW271" s="150"/>
      <c r="GX271" s="150"/>
      <c r="GY271" s="150"/>
      <c r="GZ271" s="150"/>
      <c r="HA271" s="150"/>
      <c r="HB271" s="150"/>
      <c r="HC271" s="150"/>
      <c r="HD271" s="150"/>
      <c r="HE271" s="150"/>
      <c r="HF271" s="150"/>
      <c r="HG271" s="150"/>
      <c r="HH271" s="150"/>
      <c r="HI271" s="150"/>
      <c r="HJ271" s="150"/>
      <c r="HK271" s="150"/>
      <c r="HL271" s="150"/>
    </row>
    <row r="272" spans="1:220" s="152" customFormat="1" ht="14.25">
      <c r="A272" s="153"/>
      <c r="C272" s="154"/>
      <c r="D272" s="155"/>
      <c r="F272" s="194"/>
      <c r="H272" s="155"/>
      <c r="AJ272" s="156"/>
      <c r="AK272" s="156"/>
      <c r="AQ272" s="154"/>
      <c r="AW272" s="157"/>
      <c r="AX272" s="154"/>
      <c r="AY272" s="158"/>
      <c r="BA272" s="279"/>
      <c r="BX272" s="154"/>
      <c r="CH272" s="154"/>
      <c r="CQ272" s="149"/>
      <c r="CS272" s="147"/>
      <c r="CV272" s="150"/>
      <c r="CW272" s="150"/>
      <c r="CX272" s="150"/>
      <c r="CY272" s="150"/>
      <c r="CZ272" s="150"/>
      <c r="DA272" s="150"/>
      <c r="DB272" s="150"/>
      <c r="DC272" s="150"/>
      <c r="DD272" s="150"/>
      <c r="DE272" s="150"/>
      <c r="DF272" s="150"/>
      <c r="DG272" s="150"/>
      <c r="DH272" s="150"/>
      <c r="DI272" s="150"/>
      <c r="DJ272" s="150"/>
      <c r="DK272" s="150"/>
      <c r="DL272" s="150"/>
      <c r="DM272" s="150"/>
      <c r="DN272" s="150"/>
      <c r="DO272" s="150"/>
      <c r="DP272" s="150"/>
      <c r="DQ272" s="150"/>
      <c r="DR272" s="150"/>
      <c r="DS272" s="150"/>
      <c r="DT272" s="150"/>
      <c r="DU272" s="150"/>
      <c r="DV272" s="150"/>
      <c r="DW272" s="150"/>
      <c r="DX272" s="150"/>
      <c r="DY272" s="150"/>
      <c r="DZ272" s="150"/>
      <c r="EA272" s="150"/>
      <c r="EB272" s="150"/>
      <c r="EC272" s="150"/>
      <c r="ED272" s="150"/>
      <c r="EE272" s="150"/>
      <c r="EF272" s="150"/>
      <c r="EG272" s="150"/>
      <c r="EH272" s="150"/>
      <c r="EI272" s="150"/>
      <c r="EJ272" s="150"/>
      <c r="EK272" s="150"/>
      <c r="EL272" s="150"/>
      <c r="EM272" s="150"/>
      <c r="EN272" s="150"/>
      <c r="EO272" s="150"/>
      <c r="EP272" s="150"/>
      <c r="EQ272" s="150"/>
      <c r="ER272" s="150"/>
      <c r="ES272" s="150"/>
      <c r="ET272" s="150"/>
      <c r="EU272" s="150"/>
      <c r="EV272" s="150"/>
      <c r="EW272" s="150"/>
      <c r="EX272" s="150"/>
      <c r="EY272" s="150"/>
      <c r="EZ272" s="150"/>
      <c r="FA272" s="150"/>
      <c r="FB272" s="150"/>
      <c r="FC272" s="150"/>
      <c r="FD272" s="150"/>
      <c r="FE272" s="150"/>
      <c r="FF272" s="150"/>
      <c r="FG272" s="150"/>
      <c r="FH272" s="150"/>
      <c r="FI272" s="150"/>
      <c r="FJ272" s="150"/>
      <c r="FK272" s="150"/>
      <c r="FL272" s="150"/>
      <c r="FM272" s="150"/>
      <c r="FN272" s="150"/>
      <c r="FO272" s="150"/>
      <c r="FP272" s="150"/>
      <c r="FQ272" s="150"/>
      <c r="FR272" s="150"/>
      <c r="FS272" s="150"/>
      <c r="FT272" s="150"/>
      <c r="FU272" s="150"/>
      <c r="FV272" s="150"/>
      <c r="FW272" s="150"/>
      <c r="FX272" s="150"/>
      <c r="FY272" s="150"/>
      <c r="FZ272" s="150"/>
      <c r="GA272" s="150"/>
      <c r="GB272" s="150"/>
      <c r="GC272" s="150"/>
      <c r="GD272" s="150"/>
      <c r="GE272" s="150"/>
      <c r="GF272" s="150"/>
      <c r="GG272" s="150"/>
      <c r="GH272" s="150"/>
      <c r="GI272" s="150"/>
      <c r="GJ272" s="150"/>
      <c r="GK272" s="150"/>
      <c r="GL272" s="150"/>
      <c r="GM272" s="150"/>
      <c r="GN272" s="150"/>
      <c r="GO272" s="150"/>
      <c r="GP272" s="150"/>
      <c r="GQ272" s="150"/>
      <c r="GR272" s="150"/>
      <c r="GS272" s="150"/>
      <c r="GT272" s="150"/>
      <c r="GU272" s="150"/>
      <c r="GV272" s="150"/>
      <c r="GW272" s="150"/>
      <c r="GX272" s="150"/>
      <c r="GY272" s="150"/>
      <c r="GZ272" s="150"/>
      <c r="HA272" s="150"/>
      <c r="HB272" s="150"/>
      <c r="HC272" s="150"/>
      <c r="HD272" s="150"/>
      <c r="HE272" s="150"/>
      <c r="HF272" s="150"/>
      <c r="HG272" s="150"/>
      <c r="HH272" s="150"/>
      <c r="HI272" s="150"/>
      <c r="HJ272" s="150"/>
      <c r="HK272" s="150"/>
      <c r="HL272" s="150"/>
    </row>
    <row r="273" spans="1:220" s="152" customFormat="1" ht="14.25">
      <c r="A273" s="153"/>
      <c r="C273" s="154"/>
      <c r="D273" s="155"/>
      <c r="F273" s="194"/>
      <c r="H273" s="155"/>
      <c r="AJ273" s="156"/>
      <c r="AK273" s="156"/>
      <c r="AQ273" s="154"/>
      <c r="AW273" s="157"/>
      <c r="AX273" s="154"/>
      <c r="AY273" s="158"/>
      <c r="BA273" s="279"/>
      <c r="BX273" s="154"/>
      <c r="CH273" s="154"/>
      <c r="CQ273" s="149"/>
      <c r="CS273" s="147"/>
      <c r="CV273" s="150"/>
      <c r="CW273" s="150"/>
      <c r="CX273" s="150"/>
      <c r="CY273" s="150"/>
      <c r="CZ273" s="150"/>
      <c r="DA273" s="150"/>
      <c r="DB273" s="150"/>
      <c r="DC273" s="150"/>
      <c r="DD273" s="150"/>
      <c r="DE273" s="150"/>
      <c r="DF273" s="150"/>
      <c r="DG273" s="150"/>
      <c r="DH273" s="150"/>
      <c r="DI273" s="150"/>
      <c r="DJ273" s="150"/>
      <c r="DK273" s="150"/>
      <c r="DL273" s="150"/>
      <c r="DM273" s="150"/>
      <c r="DN273" s="150"/>
      <c r="DO273" s="150"/>
      <c r="DP273" s="150"/>
      <c r="DQ273" s="150"/>
      <c r="DR273" s="150"/>
      <c r="DS273" s="150"/>
      <c r="DT273" s="150"/>
      <c r="DU273" s="150"/>
      <c r="DV273" s="150"/>
      <c r="DW273" s="150"/>
      <c r="DX273" s="150"/>
      <c r="DY273" s="150"/>
      <c r="DZ273" s="150"/>
      <c r="EA273" s="150"/>
      <c r="EB273" s="150"/>
      <c r="EC273" s="150"/>
      <c r="ED273" s="150"/>
      <c r="EE273" s="150"/>
      <c r="EF273" s="150"/>
      <c r="EG273" s="150"/>
      <c r="EH273" s="150"/>
      <c r="EI273" s="150"/>
      <c r="EJ273" s="150"/>
      <c r="EK273" s="150"/>
      <c r="EL273" s="150"/>
      <c r="EM273" s="150"/>
      <c r="EN273" s="150"/>
      <c r="EO273" s="150"/>
      <c r="EP273" s="150"/>
      <c r="EQ273" s="150"/>
      <c r="ER273" s="150"/>
      <c r="ES273" s="150"/>
      <c r="ET273" s="150"/>
      <c r="EU273" s="150"/>
      <c r="EV273" s="150"/>
      <c r="EW273" s="150"/>
      <c r="EX273" s="150"/>
      <c r="EY273" s="150"/>
      <c r="EZ273" s="150"/>
      <c r="FA273" s="150"/>
      <c r="FB273" s="150"/>
      <c r="FC273" s="150"/>
      <c r="FD273" s="150"/>
      <c r="FE273" s="150"/>
      <c r="FF273" s="150"/>
      <c r="FG273" s="150"/>
      <c r="FH273" s="150"/>
      <c r="FI273" s="150"/>
      <c r="FJ273" s="150"/>
      <c r="FK273" s="150"/>
      <c r="FL273" s="150"/>
      <c r="FM273" s="150"/>
      <c r="FN273" s="150"/>
      <c r="FO273" s="150"/>
      <c r="FP273" s="150"/>
      <c r="FQ273" s="150"/>
      <c r="FR273" s="150"/>
      <c r="FS273" s="150"/>
      <c r="FT273" s="150"/>
      <c r="FU273" s="150"/>
      <c r="FV273" s="150"/>
      <c r="FW273" s="150"/>
      <c r="FX273" s="150"/>
      <c r="FY273" s="150"/>
      <c r="FZ273" s="150"/>
      <c r="GA273" s="150"/>
      <c r="GB273" s="150"/>
      <c r="GC273" s="150"/>
      <c r="GD273" s="150"/>
      <c r="GE273" s="150"/>
      <c r="GF273" s="150"/>
      <c r="GG273" s="150"/>
      <c r="GH273" s="150"/>
      <c r="GI273" s="150"/>
      <c r="GJ273" s="150"/>
      <c r="GK273" s="150"/>
      <c r="GL273" s="150"/>
      <c r="GM273" s="150"/>
      <c r="GN273" s="150"/>
      <c r="GO273" s="150"/>
      <c r="GP273" s="150"/>
      <c r="GQ273" s="150"/>
      <c r="GR273" s="150"/>
      <c r="GS273" s="150"/>
      <c r="GT273" s="150"/>
      <c r="GU273" s="150"/>
      <c r="GV273" s="150"/>
      <c r="GW273" s="150"/>
      <c r="GX273" s="150"/>
      <c r="GY273" s="150"/>
      <c r="GZ273" s="150"/>
      <c r="HA273" s="150"/>
      <c r="HB273" s="150"/>
      <c r="HC273" s="150"/>
      <c r="HD273" s="150"/>
      <c r="HE273" s="150"/>
      <c r="HF273" s="150"/>
      <c r="HG273" s="150"/>
      <c r="HH273" s="150"/>
      <c r="HI273" s="150"/>
      <c r="HJ273" s="150"/>
      <c r="HK273" s="150"/>
      <c r="HL273" s="150"/>
    </row>
    <row r="274" spans="1:220" s="152" customFormat="1" ht="14.25">
      <c r="A274" s="153"/>
      <c r="C274" s="154"/>
      <c r="D274" s="155"/>
      <c r="F274" s="194"/>
      <c r="H274" s="155"/>
      <c r="AJ274" s="156"/>
      <c r="AK274" s="156"/>
      <c r="AQ274" s="154"/>
      <c r="AW274" s="157"/>
      <c r="AX274" s="154"/>
      <c r="AY274" s="158"/>
      <c r="BA274" s="279"/>
      <c r="BX274" s="154"/>
      <c r="CH274" s="154"/>
      <c r="CQ274" s="149"/>
      <c r="CS274" s="147"/>
      <c r="CV274" s="150"/>
      <c r="CW274" s="150"/>
      <c r="CX274" s="150"/>
      <c r="CY274" s="150"/>
      <c r="CZ274" s="150"/>
      <c r="DA274" s="150"/>
      <c r="DB274" s="150"/>
      <c r="DC274" s="150"/>
      <c r="DD274" s="150"/>
      <c r="DE274" s="150"/>
      <c r="DF274" s="150"/>
      <c r="DG274" s="150"/>
      <c r="DH274" s="150"/>
      <c r="DI274" s="150"/>
      <c r="DJ274" s="150"/>
      <c r="DK274" s="150"/>
      <c r="DL274" s="150"/>
      <c r="DM274" s="150"/>
      <c r="DN274" s="150"/>
      <c r="DO274" s="150"/>
      <c r="DP274" s="150"/>
      <c r="DQ274" s="150"/>
      <c r="DR274" s="150"/>
      <c r="DS274" s="150"/>
      <c r="DT274" s="150"/>
      <c r="DU274" s="150"/>
      <c r="DV274" s="150"/>
      <c r="DW274" s="150"/>
      <c r="DX274" s="150"/>
      <c r="DY274" s="150"/>
      <c r="DZ274" s="150"/>
      <c r="EA274" s="150"/>
      <c r="EB274" s="150"/>
      <c r="EC274" s="150"/>
      <c r="ED274" s="150"/>
      <c r="EE274" s="150"/>
      <c r="EF274" s="150"/>
      <c r="EG274" s="150"/>
      <c r="EH274" s="150"/>
      <c r="EI274" s="150"/>
      <c r="EJ274" s="150"/>
      <c r="EK274" s="150"/>
      <c r="EL274" s="150"/>
      <c r="EM274" s="150"/>
      <c r="EN274" s="150"/>
      <c r="EO274" s="150"/>
      <c r="EP274" s="150"/>
      <c r="EQ274" s="150"/>
      <c r="ER274" s="150"/>
      <c r="ES274" s="150"/>
      <c r="ET274" s="150"/>
      <c r="EU274" s="150"/>
      <c r="EV274" s="150"/>
      <c r="EW274" s="150"/>
      <c r="EX274" s="150"/>
      <c r="EY274" s="150"/>
      <c r="EZ274" s="150"/>
      <c r="FA274" s="150"/>
      <c r="FB274" s="150"/>
      <c r="FC274" s="150"/>
      <c r="FD274" s="150"/>
      <c r="FE274" s="150"/>
      <c r="FF274" s="150"/>
      <c r="FG274" s="150"/>
      <c r="FH274" s="150"/>
      <c r="FI274" s="150"/>
      <c r="FJ274" s="150"/>
      <c r="FK274" s="150"/>
      <c r="FL274" s="150"/>
      <c r="FM274" s="150"/>
      <c r="FN274" s="150"/>
      <c r="FO274" s="150"/>
      <c r="FP274" s="150"/>
      <c r="FQ274" s="150"/>
      <c r="FR274" s="150"/>
      <c r="FS274" s="150"/>
      <c r="FT274" s="150"/>
      <c r="FU274" s="150"/>
      <c r="FV274" s="150"/>
      <c r="FW274" s="150"/>
      <c r="FX274" s="150"/>
      <c r="FY274" s="150"/>
      <c r="FZ274" s="150"/>
      <c r="GA274" s="150"/>
      <c r="GB274" s="150"/>
      <c r="GC274" s="150"/>
      <c r="GD274" s="150"/>
      <c r="GE274" s="150"/>
      <c r="GF274" s="150"/>
      <c r="GG274" s="150"/>
      <c r="GH274" s="150"/>
      <c r="GI274" s="150"/>
      <c r="GJ274" s="150"/>
      <c r="GK274" s="150"/>
      <c r="GL274" s="150"/>
      <c r="GM274" s="150"/>
      <c r="GN274" s="150"/>
      <c r="GO274" s="150"/>
      <c r="GP274" s="150"/>
      <c r="GQ274" s="150"/>
      <c r="GR274" s="150"/>
      <c r="GS274" s="150"/>
      <c r="GT274" s="150"/>
      <c r="GU274" s="150"/>
      <c r="GV274" s="150"/>
      <c r="GW274" s="150"/>
      <c r="GX274" s="150"/>
      <c r="GY274" s="150"/>
      <c r="GZ274" s="150"/>
      <c r="HA274" s="150"/>
      <c r="HB274" s="150"/>
      <c r="HC274" s="150"/>
      <c r="HD274" s="150"/>
      <c r="HE274" s="150"/>
      <c r="HF274" s="150"/>
      <c r="HG274" s="150"/>
      <c r="HH274" s="150"/>
      <c r="HI274" s="150"/>
      <c r="HJ274" s="150"/>
      <c r="HK274" s="150"/>
      <c r="HL274" s="150"/>
    </row>
    <row r="275" spans="1:220" s="152" customFormat="1" ht="14.25">
      <c r="A275" s="153"/>
      <c r="C275" s="154"/>
      <c r="D275" s="155"/>
      <c r="F275" s="194"/>
      <c r="H275" s="155"/>
      <c r="AJ275" s="156"/>
      <c r="AK275" s="156"/>
      <c r="AQ275" s="154"/>
      <c r="AW275" s="157"/>
      <c r="AX275" s="154"/>
      <c r="AY275" s="158"/>
      <c r="BA275" s="279"/>
      <c r="BX275" s="154"/>
      <c r="CH275" s="154"/>
      <c r="CQ275" s="149"/>
      <c r="CS275" s="147"/>
      <c r="CV275" s="150"/>
      <c r="CW275" s="150"/>
      <c r="CX275" s="150"/>
      <c r="CY275" s="150"/>
      <c r="CZ275" s="150"/>
      <c r="DA275" s="150"/>
      <c r="DB275" s="150"/>
      <c r="DC275" s="150"/>
      <c r="DD275" s="150"/>
      <c r="DE275" s="150"/>
      <c r="DF275" s="150"/>
      <c r="DG275" s="150"/>
      <c r="DH275" s="150"/>
      <c r="DI275" s="150"/>
      <c r="DJ275" s="150"/>
      <c r="DK275" s="150"/>
      <c r="DL275" s="150"/>
      <c r="DM275" s="150"/>
      <c r="DN275" s="150"/>
      <c r="DO275" s="150"/>
      <c r="DP275" s="150"/>
      <c r="DQ275" s="150"/>
      <c r="DR275" s="150"/>
      <c r="DS275" s="150"/>
      <c r="DT275" s="150"/>
      <c r="DU275" s="150"/>
      <c r="DV275" s="150"/>
      <c r="DW275" s="150"/>
      <c r="DX275" s="150"/>
      <c r="DY275" s="150"/>
      <c r="DZ275" s="150"/>
      <c r="EA275" s="150"/>
      <c r="EB275" s="150"/>
      <c r="EC275" s="150"/>
      <c r="ED275" s="150"/>
      <c r="EE275" s="150"/>
      <c r="EF275" s="150"/>
      <c r="EG275" s="150"/>
      <c r="EH275" s="150"/>
      <c r="EI275" s="150"/>
      <c r="EJ275" s="150"/>
      <c r="EK275" s="150"/>
      <c r="EL275" s="150"/>
      <c r="EM275" s="150"/>
      <c r="EN275" s="150"/>
      <c r="EO275" s="150"/>
      <c r="EP275" s="150"/>
      <c r="EQ275" s="150"/>
      <c r="ER275" s="150"/>
      <c r="ES275" s="150"/>
      <c r="ET275" s="150"/>
      <c r="EU275" s="150"/>
      <c r="EV275" s="150"/>
      <c r="EW275" s="150"/>
      <c r="EX275" s="150"/>
      <c r="EY275" s="150"/>
      <c r="EZ275" s="150"/>
      <c r="FA275" s="150"/>
      <c r="FB275" s="150"/>
      <c r="FC275" s="150"/>
      <c r="FD275" s="150"/>
      <c r="FE275" s="150"/>
      <c r="FF275" s="150"/>
      <c r="FG275" s="150"/>
      <c r="FH275" s="150"/>
      <c r="FI275" s="150"/>
      <c r="FJ275" s="150"/>
      <c r="FK275" s="150"/>
      <c r="FL275" s="150"/>
      <c r="FM275" s="150"/>
      <c r="FN275" s="150"/>
      <c r="FO275" s="150"/>
      <c r="FP275" s="150"/>
      <c r="FQ275" s="150"/>
      <c r="FR275" s="150"/>
      <c r="FS275" s="150"/>
      <c r="FT275" s="150"/>
      <c r="FU275" s="150"/>
      <c r="FV275" s="150"/>
      <c r="FW275" s="150"/>
      <c r="FX275" s="150"/>
      <c r="FY275" s="150"/>
      <c r="FZ275" s="150"/>
      <c r="GA275" s="150"/>
      <c r="GB275" s="150"/>
      <c r="GC275" s="150"/>
      <c r="GD275" s="150"/>
      <c r="GE275" s="150"/>
      <c r="GF275" s="150"/>
      <c r="GG275" s="150"/>
      <c r="GH275" s="150"/>
      <c r="GI275" s="150"/>
      <c r="GJ275" s="150"/>
      <c r="GK275" s="150"/>
      <c r="GL275" s="150"/>
      <c r="GM275" s="150"/>
      <c r="GN275" s="150"/>
      <c r="GO275" s="150"/>
      <c r="GP275" s="150"/>
      <c r="GQ275" s="150"/>
      <c r="GR275" s="150"/>
      <c r="GS275" s="150"/>
      <c r="GT275" s="150"/>
      <c r="GU275" s="150"/>
      <c r="GV275" s="150"/>
      <c r="GW275" s="150"/>
      <c r="GX275" s="150"/>
      <c r="GY275" s="150"/>
      <c r="GZ275" s="150"/>
      <c r="HA275" s="150"/>
      <c r="HB275" s="150"/>
      <c r="HC275" s="150"/>
      <c r="HD275" s="150"/>
      <c r="HE275" s="150"/>
      <c r="HF275" s="150"/>
      <c r="HG275" s="150"/>
      <c r="HH275" s="150"/>
      <c r="HI275" s="150"/>
      <c r="HJ275" s="150"/>
      <c r="HK275" s="150"/>
      <c r="HL275" s="150"/>
    </row>
    <row r="276" spans="1:220" s="152" customFormat="1" ht="14.25">
      <c r="A276" s="153"/>
      <c r="C276" s="154"/>
      <c r="D276" s="155"/>
      <c r="F276" s="194"/>
      <c r="H276" s="155"/>
      <c r="AJ276" s="156"/>
      <c r="AK276" s="156"/>
      <c r="AQ276" s="154"/>
      <c r="AW276" s="157"/>
      <c r="AX276" s="154"/>
      <c r="AY276" s="158"/>
      <c r="BA276" s="279"/>
      <c r="BX276" s="154"/>
      <c r="CH276" s="154"/>
      <c r="CQ276" s="149"/>
      <c r="CS276" s="147"/>
      <c r="CV276" s="150"/>
      <c r="CW276" s="150"/>
      <c r="CX276" s="150"/>
      <c r="CY276" s="150"/>
      <c r="CZ276" s="150"/>
      <c r="DA276" s="150"/>
      <c r="DB276" s="150"/>
      <c r="DC276" s="150"/>
      <c r="DD276" s="150"/>
      <c r="DE276" s="150"/>
      <c r="DF276" s="150"/>
      <c r="DG276" s="150"/>
      <c r="DH276" s="150"/>
      <c r="DI276" s="150"/>
      <c r="DJ276" s="150"/>
      <c r="DK276" s="150"/>
      <c r="DL276" s="150"/>
      <c r="DM276" s="150"/>
      <c r="DN276" s="150"/>
      <c r="DO276" s="150"/>
      <c r="DP276" s="150"/>
      <c r="DQ276" s="150"/>
      <c r="DR276" s="150"/>
      <c r="DS276" s="150"/>
      <c r="DT276" s="150"/>
      <c r="DU276" s="150"/>
      <c r="DV276" s="150"/>
      <c r="DW276" s="150"/>
      <c r="DX276" s="150"/>
      <c r="DY276" s="150"/>
      <c r="DZ276" s="150"/>
      <c r="EA276" s="150"/>
      <c r="EB276" s="150"/>
      <c r="EC276" s="150"/>
      <c r="ED276" s="150"/>
      <c r="EE276" s="150"/>
      <c r="EF276" s="150"/>
      <c r="EG276" s="150"/>
      <c r="EH276" s="150"/>
      <c r="EI276" s="150"/>
      <c r="EJ276" s="150"/>
      <c r="EK276" s="150"/>
      <c r="EL276" s="150"/>
      <c r="EM276" s="150"/>
      <c r="EN276" s="150"/>
      <c r="EO276" s="150"/>
      <c r="EP276" s="150"/>
      <c r="EQ276" s="150"/>
      <c r="ER276" s="150"/>
      <c r="ES276" s="150"/>
      <c r="ET276" s="150"/>
      <c r="EU276" s="150"/>
      <c r="EV276" s="150"/>
      <c r="EW276" s="150"/>
      <c r="EX276" s="150"/>
      <c r="EY276" s="150"/>
      <c r="EZ276" s="150"/>
      <c r="FA276" s="150"/>
      <c r="FB276" s="150"/>
      <c r="FC276" s="150"/>
      <c r="FD276" s="150"/>
      <c r="FE276" s="150"/>
      <c r="FF276" s="150"/>
      <c r="FG276" s="150"/>
      <c r="FH276" s="150"/>
      <c r="FI276" s="150"/>
      <c r="FJ276" s="150"/>
      <c r="FK276" s="150"/>
      <c r="FL276" s="150"/>
      <c r="FM276" s="150"/>
      <c r="FN276" s="150"/>
      <c r="FO276" s="150"/>
      <c r="FP276" s="150"/>
      <c r="FQ276" s="150"/>
      <c r="FR276" s="150"/>
      <c r="FS276" s="150"/>
      <c r="FT276" s="150"/>
      <c r="FU276" s="150"/>
      <c r="FV276" s="150"/>
      <c r="FW276" s="150"/>
      <c r="FX276" s="150"/>
      <c r="FY276" s="150"/>
      <c r="FZ276" s="150"/>
      <c r="GA276" s="150"/>
      <c r="GB276" s="150"/>
      <c r="GC276" s="150"/>
      <c r="GD276" s="150"/>
      <c r="GE276" s="150"/>
      <c r="GF276" s="150"/>
      <c r="GG276" s="150"/>
      <c r="GH276" s="150"/>
      <c r="GI276" s="150"/>
      <c r="GJ276" s="150"/>
      <c r="GK276" s="150"/>
      <c r="GL276" s="150"/>
      <c r="GM276" s="150"/>
      <c r="GN276" s="150"/>
      <c r="GO276" s="150"/>
      <c r="GP276" s="150"/>
      <c r="GQ276" s="150"/>
      <c r="GR276" s="150"/>
      <c r="GS276" s="150"/>
      <c r="GT276" s="150"/>
      <c r="GU276" s="150"/>
      <c r="GV276" s="150"/>
      <c r="GW276" s="150"/>
      <c r="GX276" s="150"/>
      <c r="GY276" s="150"/>
      <c r="GZ276" s="150"/>
      <c r="HA276" s="150"/>
      <c r="HB276" s="150"/>
      <c r="HC276" s="150"/>
      <c r="HD276" s="150"/>
      <c r="HE276" s="150"/>
      <c r="HF276" s="150"/>
      <c r="HG276" s="150"/>
      <c r="HH276" s="150"/>
      <c r="HI276" s="150"/>
      <c r="HJ276" s="150"/>
      <c r="HK276" s="150"/>
      <c r="HL276" s="150"/>
    </row>
    <row r="277" spans="1:220" s="152" customFormat="1" ht="14.25">
      <c r="A277" s="153"/>
      <c r="C277" s="154"/>
      <c r="D277" s="155"/>
      <c r="F277" s="194"/>
      <c r="H277" s="155"/>
      <c r="AJ277" s="156"/>
      <c r="AK277" s="156"/>
      <c r="AQ277" s="154"/>
      <c r="AW277" s="157"/>
      <c r="AX277" s="154"/>
      <c r="AY277" s="158"/>
      <c r="BA277" s="279"/>
      <c r="BX277" s="154"/>
      <c r="CH277" s="154"/>
      <c r="CQ277" s="149"/>
      <c r="CS277" s="147"/>
      <c r="CV277" s="150"/>
      <c r="CW277" s="150"/>
      <c r="CX277" s="150"/>
      <c r="CY277" s="150"/>
      <c r="CZ277" s="150"/>
      <c r="DA277" s="150"/>
      <c r="DB277" s="150"/>
      <c r="DC277" s="150"/>
      <c r="DD277" s="150"/>
      <c r="DE277" s="150"/>
      <c r="DF277" s="150"/>
      <c r="DG277" s="150"/>
      <c r="DH277" s="150"/>
      <c r="DI277" s="150"/>
      <c r="DJ277" s="150"/>
      <c r="DK277" s="150"/>
      <c r="DL277" s="150"/>
      <c r="DM277" s="150"/>
      <c r="DN277" s="150"/>
      <c r="DO277" s="150"/>
      <c r="DP277" s="150"/>
      <c r="DQ277" s="150"/>
      <c r="DR277" s="150"/>
      <c r="DS277" s="150"/>
      <c r="DT277" s="150"/>
      <c r="DU277" s="150"/>
      <c r="DV277" s="150"/>
      <c r="DW277" s="150"/>
      <c r="DX277" s="150"/>
      <c r="DY277" s="150"/>
      <c r="DZ277" s="150"/>
      <c r="EA277" s="150"/>
      <c r="EB277" s="150"/>
      <c r="EC277" s="150"/>
      <c r="ED277" s="150"/>
      <c r="EE277" s="150"/>
      <c r="EF277" s="150"/>
      <c r="EG277" s="150"/>
      <c r="EH277" s="150"/>
      <c r="EI277" s="150"/>
      <c r="EJ277" s="150"/>
      <c r="EK277" s="150"/>
      <c r="EL277" s="150"/>
      <c r="EM277" s="150"/>
      <c r="EN277" s="150"/>
      <c r="EO277" s="150"/>
      <c r="EP277" s="150"/>
      <c r="EQ277" s="150"/>
      <c r="ER277" s="150"/>
      <c r="ES277" s="150"/>
      <c r="ET277" s="150"/>
      <c r="EU277" s="150"/>
      <c r="EV277" s="150"/>
      <c r="EW277" s="150"/>
      <c r="EX277" s="150"/>
      <c r="EY277" s="150"/>
      <c r="EZ277" s="150"/>
      <c r="FA277" s="150"/>
      <c r="FB277" s="150"/>
      <c r="FC277" s="150"/>
      <c r="FD277" s="150"/>
      <c r="FE277" s="150"/>
      <c r="FF277" s="150"/>
      <c r="FG277" s="150"/>
      <c r="FH277" s="150"/>
      <c r="FI277" s="150"/>
      <c r="FJ277" s="150"/>
      <c r="FK277" s="150"/>
      <c r="FL277" s="150"/>
      <c r="FM277" s="150"/>
      <c r="FN277" s="150"/>
      <c r="FO277" s="150"/>
      <c r="FP277" s="150"/>
      <c r="FQ277" s="150"/>
      <c r="FR277" s="150"/>
      <c r="FS277" s="150"/>
      <c r="FT277" s="150"/>
      <c r="FU277" s="150"/>
      <c r="FV277" s="150"/>
      <c r="FW277" s="150"/>
      <c r="FX277" s="150"/>
      <c r="FY277" s="150"/>
      <c r="FZ277" s="150"/>
      <c r="GA277" s="150"/>
      <c r="GB277" s="150"/>
      <c r="GC277" s="150"/>
      <c r="GD277" s="150"/>
      <c r="GE277" s="150"/>
      <c r="GF277" s="150"/>
      <c r="GG277" s="150"/>
      <c r="GH277" s="150"/>
      <c r="GI277" s="150"/>
      <c r="GJ277" s="150"/>
      <c r="GK277" s="150"/>
      <c r="GL277" s="150"/>
      <c r="GM277" s="150"/>
      <c r="GN277" s="150"/>
      <c r="GO277" s="150"/>
      <c r="GP277" s="150"/>
      <c r="GQ277" s="150"/>
      <c r="GR277" s="150"/>
      <c r="GS277" s="150"/>
      <c r="GT277" s="150"/>
      <c r="GU277" s="150"/>
      <c r="GV277" s="150"/>
      <c r="GW277" s="150"/>
      <c r="GX277" s="150"/>
      <c r="GY277" s="150"/>
      <c r="GZ277" s="150"/>
      <c r="HA277" s="150"/>
      <c r="HB277" s="150"/>
      <c r="HC277" s="150"/>
      <c r="HD277" s="150"/>
      <c r="HE277" s="150"/>
      <c r="HF277" s="150"/>
      <c r="HG277" s="150"/>
      <c r="HH277" s="150"/>
      <c r="HI277" s="150"/>
      <c r="HJ277" s="150"/>
      <c r="HK277" s="150"/>
      <c r="HL277" s="150"/>
    </row>
    <row r="278" spans="1:220" s="152" customFormat="1" ht="14.25">
      <c r="A278" s="153"/>
      <c r="C278" s="154"/>
      <c r="D278" s="155"/>
      <c r="F278" s="194"/>
      <c r="H278" s="155"/>
      <c r="AJ278" s="156"/>
      <c r="AK278" s="156"/>
      <c r="AQ278" s="154"/>
      <c r="AW278" s="157"/>
      <c r="AX278" s="154"/>
      <c r="AY278" s="158"/>
      <c r="BA278" s="279"/>
      <c r="BX278" s="154"/>
      <c r="CH278" s="154"/>
      <c r="CQ278" s="149"/>
      <c r="CS278" s="147"/>
      <c r="CV278" s="150"/>
      <c r="CW278" s="150"/>
      <c r="CX278" s="150"/>
      <c r="CY278" s="150"/>
      <c r="CZ278" s="150"/>
      <c r="DA278" s="150"/>
      <c r="DB278" s="150"/>
      <c r="DC278" s="150"/>
      <c r="DD278" s="150"/>
      <c r="DE278" s="150"/>
      <c r="DF278" s="150"/>
      <c r="DG278" s="150"/>
      <c r="DH278" s="150"/>
      <c r="DI278" s="150"/>
      <c r="DJ278" s="150"/>
      <c r="DK278" s="150"/>
      <c r="DL278" s="150"/>
      <c r="DM278" s="150"/>
      <c r="DN278" s="150"/>
      <c r="DO278" s="150"/>
      <c r="DP278" s="150"/>
      <c r="DQ278" s="150"/>
      <c r="DR278" s="150"/>
      <c r="DS278" s="150"/>
      <c r="DT278" s="150"/>
      <c r="DU278" s="150"/>
      <c r="DV278" s="150"/>
      <c r="DW278" s="150"/>
      <c r="DX278" s="150"/>
      <c r="DY278" s="150"/>
      <c r="DZ278" s="150"/>
      <c r="EA278" s="150"/>
      <c r="EB278" s="150"/>
      <c r="EC278" s="150"/>
      <c r="ED278" s="150"/>
      <c r="EE278" s="150"/>
      <c r="EF278" s="150"/>
      <c r="EG278" s="150"/>
      <c r="EH278" s="150"/>
      <c r="EI278" s="150"/>
      <c r="EJ278" s="150"/>
      <c r="EK278" s="150"/>
      <c r="EL278" s="150"/>
      <c r="EM278" s="150"/>
      <c r="EN278" s="150"/>
      <c r="EO278" s="150"/>
      <c r="EP278" s="150"/>
      <c r="EQ278" s="150"/>
      <c r="ER278" s="150"/>
      <c r="ES278" s="150"/>
      <c r="ET278" s="150"/>
      <c r="EU278" s="150"/>
      <c r="EV278" s="150"/>
      <c r="EW278" s="150"/>
      <c r="EX278" s="150"/>
      <c r="EY278" s="150"/>
      <c r="EZ278" s="150"/>
      <c r="FA278" s="150"/>
      <c r="FB278" s="150"/>
      <c r="FC278" s="150"/>
      <c r="FD278" s="150"/>
      <c r="FE278" s="150"/>
      <c r="FF278" s="150"/>
      <c r="FG278" s="150"/>
      <c r="FH278" s="150"/>
      <c r="FI278" s="150"/>
      <c r="FJ278" s="150"/>
      <c r="FK278" s="150"/>
      <c r="FL278" s="150"/>
      <c r="FM278" s="150"/>
      <c r="FN278" s="150"/>
      <c r="FO278" s="150"/>
      <c r="FP278" s="150"/>
      <c r="FQ278" s="150"/>
      <c r="FR278" s="150"/>
      <c r="FS278" s="150"/>
      <c r="FT278" s="150"/>
      <c r="FU278" s="150"/>
      <c r="FV278" s="150"/>
      <c r="FW278" s="150"/>
      <c r="FX278" s="150"/>
      <c r="FY278" s="150"/>
      <c r="FZ278" s="150"/>
      <c r="GA278" s="150"/>
      <c r="GB278" s="150"/>
      <c r="GC278" s="150"/>
      <c r="GD278" s="150"/>
      <c r="GE278" s="150"/>
      <c r="GF278" s="150"/>
      <c r="GG278" s="150"/>
      <c r="GH278" s="150"/>
      <c r="GI278" s="150"/>
      <c r="GJ278" s="150"/>
      <c r="GK278" s="150"/>
      <c r="GL278" s="150"/>
      <c r="GM278" s="150"/>
      <c r="GN278" s="150"/>
      <c r="GO278" s="150"/>
      <c r="GP278" s="150"/>
      <c r="GQ278" s="150"/>
      <c r="GR278" s="150"/>
      <c r="GS278" s="150"/>
      <c r="GT278" s="150"/>
      <c r="GU278" s="150"/>
      <c r="GV278" s="150"/>
      <c r="GW278" s="150"/>
      <c r="GX278" s="150"/>
      <c r="GY278" s="150"/>
      <c r="GZ278" s="150"/>
      <c r="HA278" s="150"/>
      <c r="HB278" s="150"/>
      <c r="HC278" s="150"/>
      <c r="HD278" s="150"/>
      <c r="HE278" s="150"/>
      <c r="HF278" s="150"/>
      <c r="HG278" s="150"/>
      <c r="HH278" s="150"/>
      <c r="HI278" s="150"/>
      <c r="HJ278" s="150"/>
      <c r="HK278" s="150"/>
      <c r="HL278" s="150"/>
    </row>
    <row r="279" spans="1:220" s="152" customFormat="1" ht="14.25">
      <c r="A279" s="153"/>
      <c r="C279" s="154"/>
      <c r="D279" s="155"/>
      <c r="F279" s="194"/>
      <c r="H279" s="155"/>
      <c r="AJ279" s="156"/>
      <c r="AK279" s="156"/>
      <c r="AQ279" s="154"/>
      <c r="AW279" s="157"/>
      <c r="AX279" s="154"/>
      <c r="AY279" s="158"/>
      <c r="BA279" s="279"/>
      <c r="CH279" s="154"/>
      <c r="CQ279" s="149"/>
      <c r="CS279" s="147"/>
      <c r="CV279" s="150"/>
      <c r="CW279" s="150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/>
      <c r="EN279" s="150"/>
      <c r="EO279" s="150"/>
      <c r="EP279" s="150"/>
      <c r="EQ279" s="150"/>
      <c r="ER279" s="150"/>
      <c r="ES279" s="150"/>
      <c r="ET279" s="150"/>
      <c r="EU279" s="150"/>
      <c r="EV279" s="150"/>
      <c r="EW279" s="150"/>
      <c r="EX279" s="150"/>
      <c r="EY279" s="150"/>
      <c r="EZ279" s="150"/>
      <c r="FA279" s="150"/>
      <c r="FB279" s="150"/>
      <c r="FC279" s="150"/>
      <c r="FD279" s="150"/>
      <c r="FE279" s="150"/>
      <c r="FF279" s="150"/>
      <c r="FG279" s="150"/>
      <c r="FH279" s="150"/>
      <c r="FI279" s="150"/>
      <c r="FJ279" s="150"/>
      <c r="FK279" s="150"/>
      <c r="FL279" s="150"/>
      <c r="FM279" s="150"/>
      <c r="FN279" s="150"/>
      <c r="FO279" s="150"/>
      <c r="FP279" s="150"/>
      <c r="FQ279" s="150"/>
      <c r="FR279" s="150"/>
      <c r="FS279" s="150"/>
      <c r="FT279" s="150"/>
      <c r="FU279" s="150"/>
      <c r="FV279" s="150"/>
      <c r="FW279" s="150"/>
      <c r="FX279" s="150"/>
      <c r="FY279" s="150"/>
      <c r="FZ279" s="150"/>
      <c r="GA279" s="150"/>
      <c r="GB279" s="150"/>
      <c r="GC279" s="150"/>
      <c r="GD279" s="150"/>
      <c r="GE279" s="150"/>
      <c r="GF279" s="150"/>
      <c r="GG279" s="150"/>
      <c r="GH279" s="150"/>
      <c r="GI279" s="150"/>
      <c r="GJ279" s="150"/>
      <c r="GK279" s="150"/>
      <c r="GL279" s="150"/>
      <c r="GM279" s="150"/>
      <c r="GN279" s="150"/>
      <c r="GO279" s="150"/>
      <c r="GP279" s="150"/>
      <c r="GQ279" s="150"/>
      <c r="GR279" s="150"/>
      <c r="GS279" s="150"/>
      <c r="GT279" s="150"/>
      <c r="GU279" s="150"/>
      <c r="GV279" s="150"/>
      <c r="GW279" s="150"/>
      <c r="GX279" s="150"/>
      <c r="GY279" s="150"/>
      <c r="GZ279" s="150"/>
      <c r="HA279" s="150"/>
      <c r="HB279" s="150"/>
      <c r="HC279" s="150"/>
      <c r="HD279" s="150"/>
      <c r="HE279" s="150"/>
      <c r="HF279" s="150"/>
      <c r="HG279" s="150"/>
      <c r="HH279" s="150"/>
      <c r="HI279" s="150"/>
      <c r="HJ279" s="150"/>
      <c r="HK279" s="150"/>
      <c r="HL279" s="150"/>
    </row>
    <row r="280" spans="1:220" s="152" customFormat="1" ht="14.25">
      <c r="A280" s="153"/>
      <c r="C280" s="154"/>
      <c r="D280" s="155"/>
      <c r="F280" s="194"/>
      <c r="H280" s="155"/>
      <c r="AJ280" s="156"/>
      <c r="AK280" s="156"/>
      <c r="AQ280" s="154"/>
      <c r="AW280" s="157"/>
      <c r="AX280" s="154"/>
      <c r="AY280" s="158"/>
      <c r="BA280" s="279"/>
      <c r="CH280" s="154"/>
      <c r="CQ280" s="149"/>
      <c r="CS280" s="147"/>
      <c r="CV280" s="150"/>
      <c r="CW280" s="150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/>
      <c r="EN280" s="150"/>
      <c r="EO280" s="150"/>
      <c r="EP280" s="150"/>
      <c r="EQ280" s="150"/>
      <c r="ER280" s="150"/>
      <c r="ES280" s="150"/>
      <c r="ET280" s="150"/>
      <c r="EU280" s="150"/>
      <c r="EV280" s="150"/>
      <c r="EW280" s="150"/>
      <c r="EX280" s="150"/>
      <c r="EY280" s="150"/>
      <c r="EZ280" s="150"/>
      <c r="FA280" s="150"/>
      <c r="FB280" s="150"/>
      <c r="FC280" s="150"/>
      <c r="FD280" s="150"/>
      <c r="FE280" s="150"/>
      <c r="FF280" s="150"/>
      <c r="FG280" s="150"/>
      <c r="FH280" s="150"/>
      <c r="FI280" s="150"/>
      <c r="FJ280" s="150"/>
      <c r="FK280" s="150"/>
      <c r="FL280" s="150"/>
      <c r="FM280" s="150"/>
      <c r="FN280" s="150"/>
      <c r="FO280" s="150"/>
      <c r="FP280" s="150"/>
      <c r="FQ280" s="150"/>
      <c r="FR280" s="150"/>
      <c r="FS280" s="150"/>
      <c r="FT280" s="150"/>
      <c r="FU280" s="150"/>
      <c r="FV280" s="150"/>
      <c r="FW280" s="150"/>
      <c r="FX280" s="150"/>
      <c r="FY280" s="150"/>
      <c r="FZ280" s="150"/>
      <c r="GA280" s="150"/>
      <c r="GB280" s="150"/>
      <c r="GC280" s="150"/>
      <c r="GD280" s="150"/>
      <c r="GE280" s="150"/>
      <c r="GF280" s="150"/>
      <c r="GG280" s="150"/>
      <c r="GH280" s="150"/>
      <c r="GI280" s="150"/>
      <c r="GJ280" s="150"/>
      <c r="GK280" s="150"/>
      <c r="GL280" s="150"/>
      <c r="GM280" s="150"/>
      <c r="GN280" s="150"/>
      <c r="GO280" s="150"/>
      <c r="GP280" s="150"/>
      <c r="GQ280" s="150"/>
      <c r="GR280" s="150"/>
      <c r="GS280" s="150"/>
      <c r="GT280" s="150"/>
      <c r="GU280" s="150"/>
      <c r="GV280" s="150"/>
      <c r="GW280" s="150"/>
      <c r="GX280" s="150"/>
      <c r="GY280" s="150"/>
      <c r="GZ280" s="150"/>
      <c r="HA280" s="150"/>
      <c r="HB280" s="150"/>
      <c r="HC280" s="150"/>
      <c r="HD280" s="150"/>
      <c r="HE280" s="150"/>
      <c r="HF280" s="150"/>
      <c r="HG280" s="150"/>
      <c r="HH280" s="150"/>
      <c r="HI280" s="150"/>
      <c r="HJ280" s="150"/>
      <c r="HK280" s="150"/>
      <c r="HL280" s="150"/>
    </row>
    <row r="281" spans="1:220" s="152" customFormat="1" ht="14.25">
      <c r="A281" s="153"/>
      <c r="C281" s="154"/>
      <c r="D281" s="155"/>
      <c r="F281" s="194"/>
      <c r="H281" s="155"/>
      <c r="AJ281" s="156"/>
      <c r="AK281" s="156"/>
      <c r="AQ281" s="154"/>
      <c r="AW281" s="157"/>
      <c r="AX281" s="154"/>
      <c r="AY281" s="158"/>
      <c r="BA281" s="279"/>
      <c r="CH281" s="154"/>
      <c r="CQ281" s="149"/>
      <c r="CS281" s="147"/>
      <c r="CV281" s="150"/>
      <c r="CW281" s="150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/>
      <c r="EN281" s="150"/>
      <c r="EO281" s="150"/>
      <c r="EP281" s="150"/>
      <c r="EQ281" s="150"/>
      <c r="ER281" s="150"/>
      <c r="ES281" s="150"/>
      <c r="ET281" s="150"/>
      <c r="EU281" s="150"/>
      <c r="EV281" s="150"/>
      <c r="EW281" s="150"/>
      <c r="EX281" s="150"/>
      <c r="EY281" s="150"/>
      <c r="EZ281" s="150"/>
      <c r="FA281" s="150"/>
      <c r="FB281" s="150"/>
      <c r="FC281" s="150"/>
      <c r="FD281" s="150"/>
      <c r="FE281" s="150"/>
      <c r="FF281" s="150"/>
      <c r="FG281" s="150"/>
      <c r="FH281" s="150"/>
      <c r="FI281" s="150"/>
      <c r="FJ281" s="150"/>
      <c r="FK281" s="150"/>
      <c r="FL281" s="150"/>
      <c r="FM281" s="150"/>
      <c r="FN281" s="150"/>
      <c r="FO281" s="150"/>
      <c r="FP281" s="150"/>
      <c r="FQ281" s="150"/>
      <c r="FR281" s="150"/>
      <c r="FS281" s="150"/>
      <c r="FT281" s="150"/>
      <c r="FU281" s="150"/>
      <c r="FV281" s="150"/>
      <c r="FW281" s="150"/>
      <c r="FX281" s="150"/>
      <c r="FY281" s="150"/>
      <c r="FZ281" s="150"/>
      <c r="GA281" s="150"/>
      <c r="GB281" s="150"/>
      <c r="GC281" s="150"/>
      <c r="GD281" s="150"/>
      <c r="GE281" s="150"/>
      <c r="GF281" s="150"/>
      <c r="GG281" s="150"/>
      <c r="GH281" s="150"/>
      <c r="GI281" s="150"/>
      <c r="GJ281" s="150"/>
      <c r="GK281" s="150"/>
      <c r="GL281" s="150"/>
      <c r="GM281" s="150"/>
      <c r="GN281" s="150"/>
      <c r="GO281" s="150"/>
      <c r="GP281" s="150"/>
      <c r="GQ281" s="150"/>
      <c r="GR281" s="150"/>
      <c r="GS281" s="150"/>
      <c r="GT281" s="150"/>
      <c r="GU281" s="150"/>
      <c r="GV281" s="150"/>
      <c r="GW281" s="150"/>
      <c r="GX281" s="150"/>
      <c r="GY281" s="150"/>
      <c r="GZ281" s="150"/>
      <c r="HA281" s="150"/>
      <c r="HB281" s="150"/>
      <c r="HC281" s="150"/>
      <c r="HD281" s="150"/>
      <c r="HE281" s="150"/>
      <c r="HF281" s="150"/>
      <c r="HG281" s="150"/>
      <c r="HH281" s="150"/>
      <c r="HI281" s="150"/>
      <c r="HJ281" s="150"/>
      <c r="HK281" s="150"/>
      <c r="HL281" s="150"/>
    </row>
    <row r="282" spans="1:220" s="152" customFormat="1" ht="14.25">
      <c r="A282" s="153"/>
      <c r="C282" s="154"/>
      <c r="D282" s="155"/>
      <c r="F282" s="194"/>
      <c r="H282" s="155"/>
      <c r="AJ282" s="156"/>
      <c r="AK282" s="156"/>
      <c r="AQ282" s="154"/>
      <c r="AW282" s="157"/>
      <c r="AX282" s="154"/>
      <c r="AY282" s="158"/>
      <c r="BA282" s="279"/>
      <c r="CH282" s="154"/>
      <c r="CQ282" s="149"/>
      <c r="CS282" s="147"/>
      <c r="CV282" s="150"/>
      <c r="CW282" s="150"/>
      <c r="CX282" s="150"/>
      <c r="CY282" s="150"/>
      <c r="CZ282" s="150"/>
      <c r="DA282" s="150"/>
      <c r="DB282" s="150"/>
      <c r="DC282" s="150"/>
      <c r="DD282" s="150"/>
      <c r="DE282" s="150"/>
      <c r="DF282" s="150"/>
      <c r="DG282" s="150"/>
      <c r="DH282" s="150"/>
      <c r="DI282" s="150"/>
      <c r="DJ282" s="150"/>
      <c r="DK282" s="150"/>
      <c r="DL282" s="150"/>
      <c r="DM282" s="150"/>
      <c r="DN282" s="150"/>
      <c r="DO282" s="150"/>
      <c r="DP282" s="150"/>
      <c r="DQ282" s="150"/>
      <c r="DR282" s="150"/>
      <c r="DS282" s="150"/>
      <c r="DT282" s="150"/>
      <c r="DU282" s="150"/>
      <c r="DV282" s="150"/>
      <c r="DW282" s="150"/>
      <c r="DX282" s="150"/>
      <c r="DY282" s="150"/>
      <c r="DZ282" s="150"/>
      <c r="EA282" s="150"/>
      <c r="EB282" s="150"/>
      <c r="EC282" s="150"/>
      <c r="ED282" s="150"/>
      <c r="EE282" s="150"/>
      <c r="EF282" s="150"/>
      <c r="EG282" s="150"/>
      <c r="EH282" s="150"/>
      <c r="EI282" s="150"/>
      <c r="EJ282" s="150"/>
      <c r="EK282" s="150"/>
      <c r="EL282" s="150"/>
      <c r="EM282" s="150"/>
      <c r="EN282" s="150"/>
      <c r="EO282" s="150"/>
      <c r="EP282" s="150"/>
      <c r="EQ282" s="150"/>
      <c r="ER282" s="150"/>
      <c r="ES282" s="150"/>
      <c r="ET282" s="150"/>
      <c r="EU282" s="150"/>
      <c r="EV282" s="150"/>
      <c r="EW282" s="150"/>
      <c r="EX282" s="150"/>
      <c r="EY282" s="150"/>
      <c r="EZ282" s="150"/>
      <c r="FA282" s="150"/>
      <c r="FB282" s="150"/>
      <c r="FC282" s="150"/>
      <c r="FD282" s="150"/>
      <c r="FE282" s="150"/>
      <c r="FF282" s="150"/>
      <c r="FG282" s="150"/>
      <c r="FH282" s="150"/>
      <c r="FI282" s="150"/>
      <c r="FJ282" s="150"/>
      <c r="FK282" s="150"/>
      <c r="FL282" s="150"/>
      <c r="FM282" s="150"/>
      <c r="FN282" s="150"/>
      <c r="FO282" s="150"/>
      <c r="FP282" s="150"/>
      <c r="FQ282" s="150"/>
      <c r="FR282" s="150"/>
      <c r="FS282" s="150"/>
      <c r="FT282" s="150"/>
      <c r="FU282" s="150"/>
      <c r="FV282" s="150"/>
      <c r="FW282" s="150"/>
      <c r="FX282" s="150"/>
      <c r="FY282" s="150"/>
      <c r="FZ282" s="150"/>
      <c r="GA282" s="150"/>
      <c r="GB282" s="150"/>
      <c r="GC282" s="150"/>
      <c r="GD282" s="150"/>
      <c r="GE282" s="150"/>
      <c r="GF282" s="150"/>
      <c r="GG282" s="150"/>
      <c r="GH282" s="150"/>
      <c r="GI282" s="150"/>
      <c r="GJ282" s="150"/>
      <c r="GK282" s="150"/>
      <c r="GL282" s="150"/>
      <c r="GM282" s="150"/>
      <c r="GN282" s="150"/>
      <c r="GO282" s="150"/>
      <c r="GP282" s="150"/>
      <c r="GQ282" s="150"/>
      <c r="GR282" s="150"/>
      <c r="GS282" s="150"/>
      <c r="GT282" s="150"/>
      <c r="GU282" s="150"/>
      <c r="GV282" s="150"/>
      <c r="GW282" s="150"/>
      <c r="GX282" s="150"/>
      <c r="GY282" s="150"/>
      <c r="GZ282" s="150"/>
      <c r="HA282" s="150"/>
      <c r="HB282" s="150"/>
      <c r="HC282" s="150"/>
      <c r="HD282" s="150"/>
      <c r="HE282" s="150"/>
      <c r="HF282" s="150"/>
      <c r="HG282" s="150"/>
      <c r="HH282" s="150"/>
      <c r="HI282" s="150"/>
      <c r="HJ282" s="150"/>
      <c r="HK282" s="150"/>
      <c r="HL282" s="150"/>
    </row>
    <row r="283" spans="1:220" s="152" customFormat="1" ht="14.25">
      <c r="A283" s="153"/>
      <c r="C283" s="154"/>
      <c r="D283" s="155"/>
      <c r="F283" s="194"/>
      <c r="H283" s="155"/>
      <c r="AJ283" s="156"/>
      <c r="AK283" s="156"/>
      <c r="AQ283" s="154"/>
      <c r="AW283" s="157"/>
      <c r="AX283" s="154"/>
      <c r="AY283" s="158"/>
      <c r="BA283" s="279"/>
      <c r="CH283" s="154"/>
      <c r="CQ283" s="149"/>
      <c r="CS283" s="147"/>
      <c r="CV283" s="150"/>
      <c r="CW283" s="150"/>
      <c r="CX283" s="150"/>
      <c r="CY283" s="150"/>
      <c r="CZ283" s="150"/>
      <c r="DA283" s="150"/>
      <c r="DB283" s="150"/>
      <c r="DC283" s="150"/>
      <c r="DD283" s="150"/>
      <c r="DE283" s="150"/>
      <c r="DF283" s="150"/>
      <c r="DG283" s="150"/>
      <c r="DH283" s="150"/>
      <c r="DI283" s="150"/>
      <c r="DJ283" s="150"/>
      <c r="DK283" s="150"/>
      <c r="DL283" s="150"/>
      <c r="DM283" s="150"/>
      <c r="DN283" s="150"/>
      <c r="DO283" s="150"/>
      <c r="DP283" s="150"/>
      <c r="DQ283" s="150"/>
      <c r="DR283" s="150"/>
      <c r="DS283" s="150"/>
      <c r="DT283" s="150"/>
      <c r="DU283" s="150"/>
      <c r="DV283" s="150"/>
      <c r="DW283" s="150"/>
      <c r="DX283" s="150"/>
      <c r="DY283" s="150"/>
      <c r="DZ283" s="150"/>
      <c r="EA283" s="150"/>
      <c r="EB283" s="150"/>
      <c r="EC283" s="150"/>
      <c r="ED283" s="150"/>
      <c r="EE283" s="150"/>
      <c r="EF283" s="150"/>
      <c r="EG283" s="150"/>
      <c r="EH283" s="150"/>
      <c r="EI283" s="150"/>
      <c r="EJ283" s="150"/>
      <c r="EK283" s="150"/>
      <c r="EL283" s="150"/>
      <c r="EM283" s="150"/>
      <c r="EN283" s="150"/>
      <c r="EO283" s="150"/>
      <c r="EP283" s="150"/>
      <c r="EQ283" s="150"/>
      <c r="ER283" s="150"/>
      <c r="ES283" s="150"/>
      <c r="ET283" s="150"/>
      <c r="EU283" s="150"/>
      <c r="EV283" s="150"/>
      <c r="EW283" s="150"/>
      <c r="EX283" s="150"/>
      <c r="EY283" s="150"/>
      <c r="EZ283" s="150"/>
      <c r="FA283" s="150"/>
      <c r="FB283" s="150"/>
      <c r="FC283" s="150"/>
      <c r="FD283" s="150"/>
      <c r="FE283" s="150"/>
      <c r="FF283" s="150"/>
      <c r="FG283" s="150"/>
      <c r="FH283" s="150"/>
      <c r="FI283" s="150"/>
      <c r="FJ283" s="150"/>
      <c r="FK283" s="150"/>
      <c r="FL283" s="150"/>
      <c r="FM283" s="150"/>
      <c r="FN283" s="150"/>
      <c r="FO283" s="150"/>
      <c r="FP283" s="150"/>
      <c r="FQ283" s="150"/>
      <c r="FR283" s="150"/>
      <c r="FS283" s="150"/>
      <c r="FT283" s="150"/>
      <c r="FU283" s="150"/>
      <c r="FV283" s="150"/>
      <c r="FW283" s="150"/>
      <c r="FX283" s="150"/>
      <c r="FY283" s="150"/>
      <c r="FZ283" s="150"/>
      <c r="GA283" s="150"/>
      <c r="GB283" s="150"/>
      <c r="GC283" s="150"/>
      <c r="GD283" s="150"/>
      <c r="GE283" s="150"/>
      <c r="GF283" s="150"/>
      <c r="GG283" s="150"/>
      <c r="GH283" s="150"/>
      <c r="GI283" s="150"/>
      <c r="GJ283" s="150"/>
      <c r="GK283" s="150"/>
      <c r="GL283" s="150"/>
      <c r="GM283" s="150"/>
      <c r="GN283" s="150"/>
      <c r="GO283" s="150"/>
      <c r="GP283" s="150"/>
      <c r="GQ283" s="150"/>
      <c r="GR283" s="150"/>
      <c r="GS283" s="150"/>
      <c r="GT283" s="150"/>
      <c r="GU283" s="150"/>
      <c r="GV283" s="150"/>
      <c r="GW283" s="150"/>
      <c r="GX283" s="150"/>
      <c r="GY283" s="150"/>
      <c r="GZ283" s="150"/>
      <c r="HA283" s="150"/>
      <c r="HB283" s="150"/>
      <c r="HC283" s="150"/>
      <c r="HD283" s="150"/>
      <c r="HE283" s="150"/>
      <c r="HF283" s="150"/>
      <c r="HG283" s="150"/>
      <c r="HH283" s="150"/>
      <c r="HI283" s="150"/>
      <c r="HJ283" s="150"/>
      <c r="HK283" s="150"/>
      <c r="HL283" s="150"/>
    </row>
    <row r="284" spans="1:220" s="152" customFormat="1" ht="14.25">
      <c r="A284" s="153"/>
      <c r="C284" s="154"/>
      <c r="D284" s="155"/>
      <c r="F284" s="194"/>
      <c r="H284" s="155"/>
      <c r="AJ284" s="156"/>
      <c r="AK284" s="156"/>
      <c r="AQ284" s="154"/>
      <c r="AW284" s="157"/>
      <c r="AX284" s="154"/>
      <c r="AY284" s="158"/>
      <c r="BA284" s="279"/>
      <c r="CH284" s="154"/>
      <c r="CQ284" s="149"/>
      <c r="CS284" s="147"/>
      <c r="CV284" s="150"/>
      <c r="CW284" s="150"/>
      <c r="CX284" s="150"/>
      <c r="CY284" s="150"/>
      <c r="CZ284" s="150"/>
      <c r="DA284" s="150"/>
      <c r="DB284" s="150"/>
      <c r="DC284" s="150"/>
      <c r="DD284" s="150"/>
      <c r="DE284" s="150"/>
      <c r="DF284" s="150"/>
      <c r="DG284" s="150"/>
      <c r="DH284" s="150"/>
      <c r="DI284" s="150"/>
      <c r="DJ284" s="150"/>
      <c r="DK284" s="150"/>
      <c r="DL284" s="150"/>
      <c r="DM284" s="150"/>
      <c r="DN284" s="150"/>
      <c r="DO284" s="150"/>
      <c r="DP284" s="150"/>
      <c r="DQ284" s="150"/>
      <c r="DR284" s="150"/>
      <c r="DS284" s="150"/>
      <c r="DT284" s="150"/>
      <c r="DU284" s="150"/>
      <c r="DV284" s="150"/>
      <c r="DW284" s="150"/>
      <c r="DX284" s="150"/>
      <c r="DY284" s="150"/>
      <c r="DZ284" s="150"/>
      <c r="EA284" s="150"/>
      <c r="EB284" s="150"/>
      <c r="EC284" s="150"/>
      <c r="ED284" s="150"/>
      <c r="EE284" s="150"/>
      <c r="EF284" s="150"/>
      <c r="EG284" s="150"/>
      <c r="EH284" s="150"/>
      <c r="EI284" s="150"/>
      <c r="EJ284" s="150"/>
      <c r="EK284" s="150"/>
      <c r="EL284" s="150"/>
      <c r="EM284" s="150"/>
      <c r="EN284" s="150"/>
      <c r="EO284" s="150"/>
      <c r="EP284" s="150"/>
      <c r="EQ284" s="150"/>
      <c r="ER284" s="150"/>
      <c r="ES284" s="150"/>
      <c r="ET284" s="150"/>
      <c r="EU284" s="150"/>
      <c r="EV284" s="150"/>
      <c r="EW284" s="150"/>
      <c r="EX284" s="150"/>
      <c r="EY284" s="150"/>
      <c r="EZ284" s="150"/>
      <c r="FA284" s="150"/>
      <c r="FB284" s="150"/>
      <c r="FC284" s="150"/>
      <c r="FD284" s="150"/>
      <c r="FE284" s="150"/>
      <c r="FF284" s="150"/>
      <c r="FG284" s="150"/>
      <c r="FH284" s="150"/>
      <c r="FI284" s="150"/>
      <c r="FJ284" s="150"/>
      <c r="FK284" s="150"/>
      <c r="FL284" s="150"/>
      <c r="FM284" s="150"/>
      <c r="FN284" s="150"/>
      <c r="FO284" s="150"/>
      <c r="FP284" s="150"/>
      <c r="FQ284" s="150"/>
      <c r="FR284" s="150"/>
      <c r="FS284" s="150"/>
      <c r="FT284" s="150"/>
      <c r="FU284" s="150"/>
      <c r="FV284" s="150"/>
      <c r="FW284" s="150"/>
      <c r="FX284" s="150"/>
      <c r="FY284" s="150"/>
      <c r="FZ284" s="150"/>
      <c r="GA284" s="150"/>
      <c r="GB284" s="150"/>
      <c r="GC284" s="150"/>
      <c r="GD284" s="150"/>
      <c r="GE284" s="150"/>
      <c r="GF284" s="150"/>
      <c r="GG284" s="150"/>
      <c r="GH284" s="150"/>
      <c r="GI284" s="150"/>
      <c r="GJ284" s="150"/>
      <c r="GK284" s="150"/>
      <c r="GL284" s="150"/>
      <c r="GM284" s="150"/>
      <c r="GN284" s="150"/>
      <c r="GO284" s="150"/>
      <c r="GP284" s="150"/>
      <c r="GQ284" s="150"/>
      <c r="GR284" s="150"/>
      <c r="GS284" s="150"/>
      <c r="GT284" s="150"/>
      <c r="GU284" s="150"/>
      <c r="GV284" s="150"/>
      <c r="GW284" s="150"/>
      <c r="GX284" s="150"/>
      <c r="GY284" s="150"/>
      <c r="GZ284" s="150"/>
      <c r="HA284" s="150"/>
      <c r="HB284" s="150"/>
      <c r="HC284" s="150"/>
      <c r="HD284" s="150"/>
      <c r="HE284" s="150"/>
      <c r="HF284" s="150"/>
      <c r="HG284" s="150"/>
      <c r="HH284" s="150"/>
      <c r="HI284" s="150"/>
      <c r="HJ284" s="150"/>
      <c r="HK284" s="150"/>
      <c r="HL284" s="150"/>
    </row>
    <row r="285" spans="1:220" s="152" customFormat="1" ht="14.25">
      <c r="A285" s="153"/>
      <c r="C285" s="154"/>
      <c r="D285" s="155"/>
      <c r="F285" s="194"/>
      <c r="H285" s="155"/>
      <c r="AJ285" s="156"/>
      <c r="AK285" s="156"/>
      <c r="AQ285" s="154"/>
      <c r="AW285" s="157"/>
      <c r="AX285" s="154"/>
      <c r="AY285" s="158"/>
      <c r="BA285" s="279"/>
      <c r="CH285" s="154"/>
      <c r="CQ285" s="149"/>
      <c r="CS285" s="147"/>
      <c r="CV285" s="150"/>
      <c r="CW285" s="150"/>
      <c r="CX285" s="150"/>
      <c r="CY285" s="150"/>
      <c r="CZ285" s="150"/>
      <c r="DA285" s="150"/>
      <c r="DB285" s="150"/>
      <c r="DC285" s="150"/>
      <c r="DD285" s="150"/>
      <c r="DE285" s="150"/>
      <c r="DF285" s="150"/>
      <c r="DG285" s="150"/>
      <c r="DH285" s="150"/>
      <c r="DI285" s="150"/>
      <c r="DJ285" s="150"/>
      <c r="DK285" s="150"/>
      <c r="DL285" s="150"/>
      <c r="DM285" s="150"/>
      <c r="DN285" s="150"/>
      <c r="DO285" s="150"/>
      <c r="DP285" s="150"/>
      <c r="DQ285" s="150"/>
      <c r="DR285" s="150"/>
      <c r="DS285" s="150"/>
      <c r="DT285" s="150"/>
      <c r="DU285" s="150"/>
      <c r="DV285" s="150"/>
      <c r="DW285" s="150"/>
      <c r="DX285" s="150"/>
      <c r="DY285" s="150"/>
      <c r="DZ285" s="150"/>
      <c r="EA285" s="150"/>
      <c r="EB285" s="150"/>
      <c r="EC285" s="150"/>
      <c r="ED285" s="150"/>
      <c r="EE285" s="150"/>
      <c r="EF285" s="150"/>
      <c r="EG285" s="150"/>
      <c r="EH285" s="150"/>
      <c r="EI285" s="150"/>
      <c r="EJ285" s="150"/>
      <c r="EK285" s="150"/>
      <c r="EL285" s="150"/>
      <c r="EM285" s="150"/>
      <c r="EN285" s="150"/>
      <c r="EO285" s="150"/>
      <c r="EP285" s="150"/>
      <c r="EQ285" s="150"/>
      <c r="ER285" s="150"/>
      <c r="ES285" s="150"/>
      <c r="ET285" s="150"/>
      <c r="EU285" s="150"/>
      <c r="EV285" s="150"/>
      <c r="EW285" s="150"/>
      <c r="EX285" s="150"/>
      <c r="EY285" s="150"/>
      <c r="EZ285" s="150"/>
      <c r="FA285" s="150"/>
      <c r="FB285" s="150"/>
      <c r="FC285" s="150"/>
      <c r="FD285" s="150"/>
      <c r="FE285" s="150"/>
      <c r="FF285" s="150"/>
      <c r="FG285" s="150"/>
      <c r="FH285" s="150"/>
      <c r="FI285" s="150"/>
      <c r="FJ285" s="150"/>
      <c r="FK285" s="150"/>
      <c r="FL285" s="150"/>
      <c r="FM285" s="150"/>
      <c r="FN285" s="150"/>
      <c r="FO285" s="150"/>
      <c r="FP285" s="150"/>
      <c r="FQ285" s="150"/>
      <c r="FR285" s="150"/>
      <c r="FS285" s="150"/>
      <c r="FT285" s="150"/>
      <c r="FU285" s="150"/>
      <c r="FV285" s="150"/>
      <c r="FW285" s="150"/>
      <c r="FX285" s="150"/>
      <c r="FY285" s="150"/>
      <c r="FZ285" s="150"/>
      <c r="GA285" s="150"/>
      <c r="GB285" s="150"/>
      <c r="GC285" s="150"/>
      <c r="GD285" s="150"/>
      <c r="GE285" s="150"/>
      <c r="GF285" s="150"/>
      <c r="GG285" s="150"/>
      <c r="GH285" s="150"/>
      <c r="GI285" s="150"/>
      <c r="GJ285" s="150"/>
      <c r="GK285" s="150"/>
      <c r="GL285" s="150"/>
      <c r="GM285" s="150"/>
      <c r="GN285" s="150"/>
      <c r="GO285" s="150"/>
      <c r="GP285" s="150"/>
      <c r="GQ285" s="150"/>
      <c r="GR285" s="150"/>
      <c r="GS285" s="150"/>
      <c r="GT285" s="150"/>
      <c r="GU285" s="150"/>
      <c r="GV285" s="150"/>
      <c r="GW285" s="150"/>
      <c r="GX285" s="150"/>
      <c r="GY285" s="150"/>
      <c r="GZ285" s="150"/>
      <c r="HA285" s="150"/>
      <c r="HB285" s="150"/>
      <c r="HC285" s="150"/>
      <c r="HD285" s="150"/>
      <c r="HE285" s="150"/>
      <c r="HF285" s="150"/>
      <c r="HG285" s="150"/>
      <c r="HH285" s="150"/>
      <c r="HI285" s="150"/>
      <c r="HJ285" s="150"/>
      <c r="HK285" s="150"/>
      <c r="HL285" s="150"/>
    </row>
    <row r="286" spans="1:220" s="152" customFormat="1" ht="14.25">
      <c r="A286" s="153"/>
      <c r="C286" s="154"/>
      <c r="D286" s="155"/>
      <c r="F286" s="194"/>
      <c r="H286" s="155"/>
      <c r="AJ286" s="156"/>
      <c r="AK286" s="156"/>
      <c r="AQ286" s="154"/>
      <c r="AW286" s="157"/>
      <c r="AX286" s="154"/>
      <c r="AY286" s="158"/>
      <c r="BA286" s="279"/>
      <c r="CH286" s="154"/>
      <c r="CQ286" s="149"/>
      <c r="CS286" s="147"/>
      <c r="CV286" s="150"/>
      <c r="CW286" s="150"/>
      <c r="CX286" s="150"/>
      <c r="CY286" s="150"/>
      <c r="CZ286" s="150"/>
      <c r="DA286" s="150"/>
      <c r="DB286" s="150"/>
      <c r="DC286" s="150"/>
      <c r="DD286" s="150"/>
      <c r="DE286" s="150"/>
      <c r="DF286" s="150"/>
      <c r="DG286" s="150"/>
      <c r="DH286" s="150"/>
      <c r="DI286" s="150"/>
      <c r="DJ286" s="150"/>
      <c r="DK286" s="150"/>
      <c r="DL286" s="150"/>
      <c r="DM286" s="150"/>
      <c r="DN286" s="150"/>
      <c r="DO286" s="150"/>
      <c r="DP286" s="150"/>
      <c r="DQ286" s="150"/>
      <c r="DR286" s="150"/>
      <c r="DS286" s="150"/>
      <c r="DT286" s="150"/>
      <c r="DU286" s="150"/>
      <c r="DV286" s="150"/>
      <c r="DW286" s="150"/>
      <c r="DX286" s="150"/>
      <c r="DY286" s="150"/>
      <c r="DZ286" s="150"/>
      <c r="EA286" s="150"/>
      <c r="EB286" s="150"/>
      <c r="EC286" s="150"/>
      <c r="ED286" s="150"/>
      <c r="EE286" s="150"/>
      <c r="EF286" s="150"/>
      <c r="EG286" s="150"/>
      <c r="EH286" s="150"/>
      <c r="EI286" s="150"/>
      <c r="EJ286" s="150"/>
      <c r="EK286" s="150"/>
      <c r="EL286" s="150"/>
      <c r="EM286" s="150"/>
      <c r="EN286" s="150"/>
      <c r="EO286" s="150"/>
      <c r="EP286" s="150"/>
      <c r="EQ286" s="150"/>
      <c r="ER286" s="150"/>
      <c r="ES286" s="150"/>
      <c r="ET286" s="150"/>
      <c r="EU286" s="150"/>
      <c r="EV286" s="150"/>
      <c r="EW286" s="150"/>
      <c r="EX286" s="150"/>
      <c r="EY286" s="150"/>
      <c r="EZ286" s="150"/>
      <c r="FA286" s="150"/>
      <c r="FB286" s="150"/>
      <c r="FC286" s="150"/>
      <c r="FD286" s="150"/>
      <c r="FE286" s="150"/>
      <c r="FF286" s="150"/>
      <c r="FG286" s="150"/>
      <c r="FH286" s="150"/>
      <c r="FI286" s="150"/>
      <c r="FJ286" s="150"/>
      <c r="FK286" s="150"/>
      <c r="FL286" s="150"/>
      <c r="FM286" s="150"/>
      <c r="FN286" s="150"/>
      <c r="FO286" s="150"/>
      <c r="FP286" s="150"/>
      <c r="FQ286" s="150"/>
      <c r="FR286" s="150"/>
      <c r="FS286" s="150"/>
      <c r="FT286" s="150"/>
      <c r="FU286" s="150"/>
      <c r="FV286" s="150"/>
      <c r="FW286" s="150"/>
      <c r="FX286" s="150"/>
      <c r="FY286" s="150"/>
      <c r="FZ286" s="150"/>
      <c r="GA286" s="150"/>
      <c r="GB286" s="150"/>
      <c r="GC286" s="150"/>
      <c r="GD286" s="150"/>
      <c r="GE286" s="150"/>
      <c r="GF286" s="150"/>
      <c r="GG286" s="150"/>
      <c r="GH286" s="150"/>
      <c r="GI286" s="150"/>
      <c r="GJ286" s="150"/>
      <c r="GK286" s="150"/>
      <c r="GL286" s="150"/>
      <c r="GM286" s="150"/>
      <c r="GN286" s="150"/>
      <c r="GO286" s="150"/>
      <c r="GP286" s="150"/>
      <c r="GQ286" s="150"/>
      <c r="GR286" s="150"/>
      <c r="GS286" s="150"/>
      <c r="GT286" s="150"/>
      <c r="GU286" s="150"/>
      <c r="GV286" s="150"/>
      <c r="GW286" s="150"/>
      <c r="GX286" s="150"/>
      <c r="GY286" s="150"/>
      <c r="GZ286" s="150"/>
      <c r="HA286" s="150"/>
      <c r="HB286" s="150"/>
      <c r="HC286" s="150"/>
      <c r="HD286" s="150"/>
      <c r="HE286" s="150"/>
      <c r="HF286" s="150"/>
      <c r="HG286" s="150"/>
      <c r="HH286" s="150"/>
      <c r="HI286" s="150"/>
      <c r="HJ286" s="150"/>
      <c r="HK286" s="150"/>
      <c r="HL286" s="150"/>
    </row>
    <row r="287" spans="1:220" s="152" customFormat="1" ht="14.25">
      <c r="A287" s="153"/>
      <c r="C287" s="154"/>
      <c r="D287" s="155"/>
      <c r="F287" s="194"/>
      <c r="H287" s="155"/>
      <c r="AJ287" s="156"/>
      <c r="AK287" s="156"/>
      <c r="AQ287" s="154"/>
      <c r="AW287" s="157"/>
      <c r="AX287" s="154"/>
      <c r="AY287" s="158"/>
      <c r="BA287" s="279"/>
      <c r="CH287" s="154"/>
      <c r="CQ287" s="149"/>
      <c r="CS287" s="147"/>
      <c r="CV287" s="150"/>
      <c r="CW287" s="150"/>
      <c r="CX287" s="150"/>
      <c r="CY287" s="150"/>
      <c r="CZ287" s="150"/>
      <c r="DA287" s="150"/>
      <c r="DB287" s="150"/>
      <c r="DC287" s="150"/>
      <c r="DD287" s="150"/>
      <c r="DE287" s="150"/>
      <c r="DF287" s="150"/>
      <c r="DG287" s="150"/>
      <c r="DH287" s="150"/>
      <c r="DI287" s="150"/>
      <c r="DJ287" s="150"/>
      <c r="DK287" s="150"/>
      <c r="DL287" s="150"/>
      <c r="DM287" s="150"/>
      <c r="DN287" s="150"/>
      <c r="DO287" s="150"/>
      <c r="DP287" s="150"/>
      <c r="DQ287" s="150"/>
      <c r="DR287" s="150"/>
      <c r="DS287" s="150"/>
      <c r="DT287" s="150"/>
      <c r="DU287" s="150"/>
      <c r="DV287" s="150"/>
      <c r="DW287" s="150"/>
      <c r="DX287" s="150"/>
      <c r="DY287" s="150"/>
      <c r="DZ287" s="150"/>
      <c r="EA287" s="150"/>
      <c r="EB287" s="150"/>
      <c r="EC287" s="150"/>
      <c r="ED287" s="150"/>
      <c r="EE287" s="150"/>
      <c r="EF287" s="150"/>
      <c r="EG287" s="150"/>
      <c r="EH287" s="150"/>
      <c r="EI287" s="150"/>
      <c r="EJ287" s="150"/>
      <c r="EK287" s="150"/>
      <c r="EL287" s="150"/>
      <c r="EM287" s="150"/>
      <c r="EN287" s="150"/>
      <c r="EO287" s="150"/>
      <c r="EP287" s="150"/>
      <c r="EQ287" s="150"/>
      <c r="ER287" s="150"/>
      <c r="ES287" s="150"/>
      <c r="ET287" s="150"/>
      <c r="EU287" s="150"/>
      <c r="EV287" s="150"/>
      <c r="EW287" s="150"/>
      <c r="EX287" s="150"/>
      <c r="EY287" s="150"/>
      <c r="EZ287" s="150"/>
      <c r="FA287" s="150"/>
      <c r="FB287" s="150"/>
      <c r="FC287" s="150"/>
      <c r="FD287" s="150"/>
      <c r="FE287" s="150"/>
      <c r="FF287" s="150"/>
      <c r="FG287" s="150"/>
      <c r="FH287" s="150"/>
      <c r="FI287" s="150"/>
      <c r="FJ287" s="150"/>
      <c r="FK287" s="150"/>
      <c r="FL287" s="150"/>
      <c r="FM287" s="150"/>
      <c r="FN287" s="150"/>
      <c r="FO287" s="150"/>
      <c r="FP287" s="150"/>
      <c r="FQ287" s="150"/>
      <c r="FR287" s="150"/>
      <c r="FS287" s="150"/>
      <c r="FT287" s="150"/>
      <c r="FU287" s="150"/>
      <c r="FV287" s="150"/>
      <c r="FW287" s="150"/>
      <c r="FX287" s="150"/>
      <c r="FY287" s="150"/>
      <c r="FZ287" s="150"/>
      <c r="GA287" s="150"/>
      <c r="GB287" s="150"/>
      <c r="GC287" s="150"/>
      <c r="GD287" s="150"/>
      <c r="GE287" s="150"/>
      <c r="GF287" s="150"/>
      <c r="GG287" s="150"/>
      <c r="GH287" s="150"/>
      <c r="GI287" s="150"/>
      <c r="GJ287" s="150"/>
      <c r="GK287" s="150"/>
      <c r="GL287" s="150"/>
      <c r="GM287" s="150"/>
      <c r="GN287" s="150"/>
      <c r="GO287" s="150"/>
      <c r="GP287" s="150"/>
      <c r="GQ287" s="150"/>
      <c r="GR287" s="150"/>
      <c r="GS287" s="150"/>
      <c r="GT287" s="150"/>
      <c r="GU287" s="150"/>
      <c r="GV287" s="150"/>
      <c r="GW287" s="150"/>
      <c r="GX287" s="150"/>
      <c r="GY287" s="150"/>
      <c r="GZ287" s="150"/>
      <c r="HA287" s="150"/>
      <c r="HB287" s="150"/>
      <c r="HC287" s="150"/>
      <c r="HD287" s="150"/>
      <c r="HE287" s="150"/>
      <c r="HF287" s="150"/>
      <c r="HG287" s="150"/>
      <c r="HH287" s="150"/>
      <c r="HI287" s="150"/>
      <c r="HJ287" s="150"/>
      <c r="HK287" s="150"/>
      <c r="HL287" s="150"/>
    </row>
    <row r="288" spans="1:220" s="152" customFormat="1" ht="14.25">
      <c r="A288" s="153"/>
      <c r="C288" s="154"/>
      <c r="D288" s="155"/>
      <c r="F288" s="194"/>
      <c r="H288" s="155"/>
      <c r="AJ288" s="156"/>
      <c r="AK288" s="156"/>
      <c r="AQ288" s="154"/>
      <c r="AW288" s="157"/>
      <c r="AX288" s="154"/>
      <c r="AY288" s="158"/>
      <c r="BA288" s="279"/>
      <c r="CH288" s="154"/>
      <c r="CQ288" s="149"/>
      <c r="CS288" s="147"/>
      <c r="CV288" s="150"/>
      <c r="CW288" s="150"/>
      <c r="CX288" s="150"/>
      <c r="CY288" s="150"/>
      <c r="CZ288" s="150"/>
      <c r="DA288" s="150"/>
      <c r="DB288" s="150"/>
      <c r="DC288" s="150"/>
      <c r="DD288" s="150"/>
      <c r="DE288" s="150"/>
      <c r="DF288" s="150"/>
      <c r="DG288" s="150"/>
      <c r="DH288" s="150"/>
      <c r="DI288" s="150"/>
      <c r="DJ288" s="150"/>
      <c r="DK288" s="150"/>
      <c r="DL288" s="150"/>
      <c r="DM288" s="150"/>
      <c r="DN288" s="150"/>
      <c r="DO288" s="150"/>
      <c r="DP288" s="150"/>
      <c r="DQ288" s="150"/>
      <c r="DR288" s="150"/>
      <c r="DS288" s="150"/>
      <c r="DT288" s="150"/>
      <c r="DU288" s="150"/>
      <c r="DV288" s="150"/>
      <c r="DW288" s="150"/>
      <c r="DX288" s="150"/>
      <c r="DY288" s="150"/>
      <c r="DZ288" s="150"/>
      <c r="EA288" s="150"/>
      <c r="EB288" s="150"/>
      <c r="EC288" s="150"/>
      <c r="ED288" s="150"/>
      <c r="EE288" s="150"/>
      <c r="EF288" s="150"/>
      <c r="EG288" s="150"/>
      <c r="EH288" s="150"/>
      <c r="EI288" s="150"/>
      <c r="EJ288" s="150"/>
      <c r="EK288" s="150"/>
      <c r="EL288" s="150"/>
      <c r="EM288" s="150"/>
      <c r="EN288" s="150"/>
      <c r="EO288" s="150"/>
      <c r="EP288" s="150"/>
      <c r="EQ288" s="150"/>
      <c r="ER288" s="150"/>
      <c r="ES288" s="150"/>
      <c r="ET288" s="150"/>
      <c r="EU288" s="150"/>
      <c r="EV288" s="150"/>
      <c r="EW288" s="150"/>
      <c r="EX288" s="150"/>
      <c r="EY288" s="150"/>
      <c r="EZ288" s="150"/>
      <c r="FA288" s="150"/>
      <c r="FB288" s="150"/>
      <c r="FC288" s="150"/>
      <c r="FD288" s="150"/>
      <c r="FE288" s="150"/>
      <c r="FF288" s="150"/>
      <c r="FG288" s="150"/>
      <c r="FH288" s="150"/>
      <c r="FI288" s="150"/>
      <c r="FJ288" s="150"/>
      <c r="FK288" s="150"/>
      <c r="FL288" s="150"/>
      <c r="FM288" s="150"/>
      <c r="FN288" s="150"/>
      <c r="FO288" s="150"/>
      <c r="FP288" s="150"/>
      <c r="FQ288" s="150"/>
      <c r="FR288" s="150"/>
      <c r="FS288" s="150"/>
      <c r="FT288" s="150"/>
      <c r="FU288" s="150"/>
      <c r="FV288" s="150"/>
      <c r="FW288" s="150"/>
      <c r="FX288" s="150"/>
      <c r="FY288" s="150"/>
      <c r="FZ288" s="150"/>
      <c r="GA288" s="150"/>
      <c r="GB288" s="150"/>
      <c r="GC288" s="150"/>
      <c r="GD288" s="150"/>
      <c r="GE288" s="150"/>
      <c r="GF288" s="150"/>
      <c r="GG288" s="150"/>
      <c r="GH288" s="150"/>
      <c r="GI288" s="150"/>
      <c r="GJ288" s="150"/>
      <c r="GK288" s="150"/>
      <c r="GL288" s="150"/>
      <c r="GM288" s="150"/>
      <c r="GN288" s="150"/>
      <c r="GO288" s="150"/>
      <c r="GP288" s="150"/>
      <c r="GQ288" s="150"/>
      <c r="GR288" s="150"/>
      <c r="GS288" s="150"/>
      <c r="GT288" s="150"/>
      <c r="GU288" s="150"/>
      <c r="GV288" s="150"/>
      <c r="GW288" s="150"/>
      <c r="GX288" s="150"/>
      <c r="GY288" s="150"/>
      <c r="GZ288" s="150"/>
      <c r="HA288" s="150"/>
      <c r="HB288" s="150"/>
      <c r="HC288" s="150"/>
      <c r="HD288" s="150"/>
      <c r="HE288" s="150"/>
      <c r="HF288" s="150"/>
      <c r="HG288" s="150"/>
      <c r="HH288" s="150"/>
      <c r="HI288" s="150"/>
      <c r="HJ288" s="150"/>
      <c r="HK288" s="150"/>
      <c r="HL288" s="150"/>
    </row>
    <row r="289" spans="1:220" s="152" customFormat="1" ht="14.25">
      <c r="A289" s="153"/>
      <c r="C289" s="154"/>
      <c r="D289" s="155"/>
      <c r="F289" s="194"/>
      <c r="H289" s="155"/>
      <c r="AJ289" s="156"/>
      <c r="AK289" s="156"/>
      <c r="AQ289" s="154"/>
      <c r="AW289" s="157"/>
      <c r="AX289" s="154"/>
      <c r="AY289" s="158"/>
      <c r="BA289" s="279"/>
      <c r="CH289" s="154"/>
      <c r="CQ289" s="149"/>
      <c r="CS289" s="147"/>
      <c r="CV289" s="150"/>
      <c r="CW289" s="150"/>
      <c r="CX289" s="150"/>
      <c r="CY289" s="150"/>
      <c r="CZ289" s="150"/>
      <c r="DA289" s="150"/>
      <c r="DB289" s="150"/>
      <c r="DC289" s="150"/>
      <c r="DD289" s="150"/>
      <c r="DE289" s="150"/>
      <c r="DF289" s="150"/>
      <c r="DG289" s="150"/>
      <c r="DH289" s="150"/>
      <c r="DI289" s="150"/>
      <c r="DJ289" s="150"/>
      <c r="DK289" s="150"/>
      <c r="DL289" s="150"/>
      <c r="DM289" s="150"/>
      <c r="DN289" s="150"/>
      <c r="DO289" s="150"/>
      <c r="DP289" s="150"/>
      <c r="DQ289" s="150"/>
      <c r="DR289" s="150"/>
      <c r="DS289" s="150"/>
      <c r="DT289" s="150"/>
      <c r="DU289" s="150"/>
      <c r="DV289" s="150"/>
      <c r="DW289" s="150"/>
      <c r="DX289" s="150"/>
      <c r="DY289" s="150"/>
      <c r="DZ289" s="150"/>
      <c r="EA289" s="150"/>
      <c r="EB289" s="150"/>
      <c r="EC289" s="150"/>
      <c r="ED289" s="150"/>
      <c r="EE289" s="150"/>
      <c r="EF289" s="150"/>
      <c r="EG289" s="150"/>
      <c r="EH289" s="150"/>
      <c r="EI289" s="150"/>
      <c r="EJ289" s="150"/>
      <c r="EK289" s="150"/>
      <c r="EL289" s="150"/>
      <c r="EM289" s="150"/>
      <c r="EN289" s="150"/>
      <c r="EO289" s="150"/>
      <c r="EP289" s="150"/>
      <c r="EQ289" s="150"/>
      <c r="ER289" s="150"/>
      <c r="ES289" s="150"/>
      <c r="ET289" s="150"/>
      <c r="EU289" s="150"/>
      <c r="EV289" s="150"/>
      <c r="EW289" s="150"/>
      <c r="EX289" s="150"/>
      <c r="EY289" s="150"/>
      <c r="EZ289" s="150"/>
      <c r="FA289" s="150"/>
      <c r="FB289" s="150"/>
      <c r="FC289" s="150"/>
      <c r="FD289" s="150"/>
      <c r="FE289" s="150"/>
      <c r="FF289" s="150"/>
      <c r="FG289" s="150"/>
      <c r="FH289" s="150"/>
      <c r="FI289" s="150"/>
      <c r="FJ289" s="150"/>
      <c r="FK289" s="150"/>
      <c r="FL289" s="150"/>
      <c r="FM289" s="150"/>
      <c r="FN289" s="150"/>
      <c r="FO289" s="150"/>
      <c r="FP289" s="150"/>
      <c r="FQ289" s="150"/>
      <c r="FR289" s="150"/>
      <c r="FS289" s="150"/>
      <c r="FT289" s="150"/>
      <c r="FU289" s="150"/>
      <c r="FV289" s="150"/>
      <c r="FW289" s="150"/>
      <c r="FX289" s="150"/>
      <c r="FY289" s="150"/>
      <c r="FZ289" s="150"/>
      <c r="GA289" s="150"/>
      <c r="GB289" s="150"/>
      <c r="GC289" s="150"/>
      <c r="GD289" s="150"/>
      <c r="GE289" s="150"/>
      <c r="GF289" s="150"/>
      <c r="GG289" s="150"/>
      <c r="GH289" s="150"/>
      <c r="GI289" s="150"/>
      <c r="GJ289" s="150"/>
      <c r="GK289" s="150"/>
      <c r="GL289" s="150"/>
      <c r="GM289" s="150"/>
      <c r="GN289" s="150"/>
      <c r="GO289" s="150"/>
      <c r="GP289" s="150"/>
      <c r="GQ289" s="150"/>
      <c r="GR289" s="150"/>
      <c r="GS289" s="150"/>
      <c r="GT289" s="150"/>
      <c r="GU289" s="150"/>
      <c r="GV289" s="150"/>
      <c r="GW289" s="150"/>
      <c r="GX289" s="150"/>
      <c r="GY289" s="150"/>
      <c r="GZ289" s="150"/>
      <c r="HA289" s="150"/>
      <c r="HB289" s="150"/>
      <c r="HC289" s="150"/>
      <c r="HD289" s="150"/>
      <c r="HE289" s="150"/>
      <c r="HF289" s="150"/>
      <c r="HG289" s="150"/>
      <c r="HH289" s="150"/>
      <c r="HI289" s="150"/>
      <c r="HJ289" s="150"/>
      <c r="HK289" s="150"/>
      <c r="HL289" s="150"/>
    </row>
    <row r="290" spans="1:220" s="152" customFormat="1" ht="14.25">
      <c r="A290" s="153"/>
      <c r="C290" s="154"/>
      <c r="D290" s="155"/>
      <c r="F290" s="194"/>
      <c r="H290" s="155"/>
      <c r="AJ290" s="156"/>
      <c r="AK290" s="156"/>
      <c r="AQ290" s="154"/>
      <c r="AW290" s="157"/>
      <c r="AX290" s="154"/>
      <c r="AY290" s="158"/>
      <c r="BA290" s="279"/>
      <c r="CH290" s="154"/>
      <c r="CQ290" s="149"/>
      <c r="CS290" s="147"/>
      <c r="CV290" s="150"/>
      <c r="CW290" s="150"/>
      <c r="CX290" s="150"/>
      <c r="CY290" s="150"/>
      <c r="CZ290" s="150"/>
      <c r="DA290" s="150"/>
      <c r="DB290" s="150"/>
      <c r="DC290" s="150"/>
      <c r="DD290" s="150"/>
      <c r="DE290" s="150"/>
      <c r="DF290" s="150"/>
      <c r="DG290" s="150"/>
      <c r="DH290" s="150"/>
      <c r="DI290" s="150"/>
      <c r="DJ290" s="150"/>
      <c r="DK290" s="150"/>
      <c r="DL290" s="150"/>
      <c r="DM290" s="150"/>
      <c r="DN290" s="150"/>
      <c r="DO290" s="150"/>
      <c r="DP290" s="150"/>
      <c r="DQ290" s="150"/>
      <c r="DR290" s="150"/>
      <c r="DS290" s="150"/>
      <c r="DT290" s="150"/>
      <c r="DU290" s="150"/>
      <c r="DV290" s="150"/>
      <c r="DW290" s="150"/>
      <c r="DX290" s="150"/>
      <c r="DY290" s="150"/>
      <c r="DZ290" s="150"/>
      <c r="EA290" s="150"/>
      <c r="EB290" s="150"/>
      <c r="EC290" s="150"/>
      <c r="ED290" s="150"/>
      <c r="EE290" s="150"/>
      <c r="EF290" s="150"/>
      <c r="EG290" s="150"/>
      <c r="EH290" s="150"/>
      <c r="EI290" s="150"/>
      <c r="EJ290" s="150"/>
      <c r="EK290" s="150"/>
      <c r="EL290" s="150"/>
      <c r="EM290" s="150"/>
      <c r="EN290" s="150"/>
      <c r="EO290" s="150"/>
      <c r="EP290" s="150"/>
      <c r="EQ290" s="150"/>
      <c r="ER290" s="150"/>
      <c r="ES290" s="150"/>
      <c r="ET290" s="150"/>
      <c r="EU290" s="150"/>
      <c r="EV290" s="150"/>
      <c r="EW290" s="150"/>
      <c r="EX290" s="150"/>
      <c r="EY290" s="150"/>
      <c r="EZ290" s="150"/>
      <c r="FA290" s="150"/>
      <c r="FB290" s="150"/>
      <c r="FC290" s="150"/>
      <c r="FD290" s="150"/>
      <c r="FE290" s="150"/>
      <c r="FF290" s="150"/>
      <c r="FG290" s="150"/>
      <c r="FH290" s="150"/>
      <c r="FI290" s="150"/>
      <c r="FJ290" s="150"/>
      <c r="FK290" s="150"/>
      <c r="FL290" s="150"/>
      <c r="FM290" s="150"/>
      <c r="FN290" s="150"/>
      <c r="FO290" s="150"/>
      <c r="FP290" s="150"/>
      <c r="FQ290" s="150"/>
      <c r="FR290" s="150"/>
      <c r="FS290" s="150"/>
      <c r="FT290" s="150"/>
      <c r="FU290" s="150"/>
      <c r="FV290" s="150"/>
      <c r="FW290" s="150"/>
      <c r="FX290" s="150"/>
      <c r="FY290" s="150"/>
      <c r="FZ290" s="150"/>
      <c r="GA290" s="150"/>
      <c r="GB290" s="150"/>
      <c r="GC290" s="150"/>
      <c r="GD290" s="150"/>
      <c r="GE290" s="150"/>
      <c r="GF290" s="150"/>
      <c r="GG290" s="150"/>
      <c r="GH290" s="150"/>
      <c r="GI290" s="150"/>
      <c r="GJ290" s="150"/>
      <c r="GK290" s="150"/>
      <c r="GL290" s="150"/>
      <c r="GM290" s="150"/>
      <c r="GN290" s="150"/>
      <c r="GO290" s="150"/>
      <c r="GP290" s="150"/>
      <c r="GQ290" s="150"/>
      <c r="GR290" s="150"/>
      <c r="GS290" s="150"/>
      <c r="GT290" s="150"/>
      <c r="GU290" s="150"/>
      <c r="GV290" s="150"/>
      <c r="GW290" s="150"/>
      <c r="GX290" s="150"/>
      <c r="GY290" s="150"/>
      <c r="GZ290" s="150"/>
      <c r="HA290" s="150"/>
      <c r="HB290" s="150"/>
      <c r="HC290" s="150"/>
      <c r="HD290" s="150"/>
      <c r="HE290" s="150"/>
      <c r="HF290" s="150"/>
      <c r="HG290" s="150"/>
      <c r="HH290" s="150"/>
      <c r="HI290" s="150"/>
      <c r="HJ290" s="150"/>
      <c r="HK290" s="150"/>
      <c r="HL290" s="150"/>
    </row>
    <row r="291" spans="1:220" s="152" customFormat="1" ht="14.25">
      <c r="A291" s="153"/>
      <c r="C291" s="154"/>
      <c r="D291" s="155"/>
      <c r="F291" s="194"/>
      <c r="H291" s="155"/>
      <c r="AJ291" s="156"/>
      <c r="AK291" s="156"/>
      <c r="AQ291" s="154"/>
      <c r="AW291" s="157"/>
      <c r="AX291" s="154"/>
      <c r="AY291" s="158"/>
      <c r="BA291" s="279"/>
      <c r="CH291" s="154"/>
      <c r="CQ291" s="149"/>
      <c r="CS291" s="147"/>
      <c r="CV291" s="150"/>
      <c r="CW291" s="150"/>
      <c r="CX291" s="150"/>
      <c r="CY291" s="150"/>
      <c r="CZ291" s="150"/>
      <c r="DA291" s="150"/>
      <c r="DB291" s="150"/>
      <c r="DC291" s="150"/>
      <c r="DD291" s="150"/>
      <c r="DE291" s="150"/>
      <c r="DF291" s="150"/>
      <c r="DG291" s="150"/>
      <c r="DH291" s="150"/>
      <c r="DI291" s="150"/>
      <c r="DJ291" s="150"/>
      <c r="DK291" s="150"/>
      <c r="DL291" s="150"/>
      <c r="DM291" s="150"/>
      <c r="DN291" s="150"/>
      <c r="DO291" s="150"/>
      <c r="DP291" s="150"/>
      <c r="DQ291" s="150"/>
      <c r="DR291" s="150"/>
      <c r="DS291" s="150"/>
      <c r="DT291" s="150"/>
      <c r="DU291" s="150"/>
      <c r="DV291" s="150"/>
      <c r="DW291" s="150"/>
      <c r="DX291" s="150"/>
      <c r="DY291" s="150"/>
      <c r="DZ291" s="150"/>
      <c r="EA291" s="150"/>
      <c r="EB291" s="150"/>
      <c r="EC291" s="150"/>
      <c r="ED291" s="150"/>
      <c r="EE291" s="150"/>
      <c r="EF291" s="150"/>
      <c r="EG291" s="150"/>
      <c r="EH291" s="150"/>
      <c r="EI291" s="150"/>
      <c r="EJ291" s="150"/>
      <c r="EK291" s="150"/>
      <c r="EL291" s="150"/>
      <c r="EM291" s="150"/>
      <c r="EN291" s="150"/>
      <c r="EO291" s="150"/>
      <c r="EP291" s="150"/>
      <c r="EQ291" s="150"/>
      <c r="ER291" s="150"/>
      <c r="ES291" s="150"/>
      <c r="ET291" s="150"/>
      <c r="EU291" s="150"/>
      <c r="EV291" s="150"/>
      <c r="EW291" s="150"/>
      <c r="EX291" s="150"/>
      <c r="EY291" s="150"/>
      <c r="EZ291" s="150"/>
      <c r="FA291" s="150"/>
      <c r="FB291" s="150"/>
      <c r="FC291" s="150"/>
      <c r="FD291" s="150"/>
      <c r="FE291" s="150"/>
      <c r="FF291" s="150"/>
      <c r="FG291" s="150"/>
      <c r="FH291" s="150"/>
      <c r="FI291" s="150"/>
      <c r="FJ291" s="150"/>
      <c r="FK291" s="150"/>
      <c r="FL291" s="150"/>
      <c r="FM291" s="150"/>
      <c r="FN291" s="150"/>
      <c r="FO291" s="150"/>
      <c r="FP291" s="150"/>
      <c r="FQ291" s="150"/>
      <c r="FR291" s="150"/>
      <c r="FS291" s="150"/>
      <c r="FT291" s="150"/>
      <c r="FU291" s="150"/>
      <c r="FV291" s="150"/>
      <c r="FW291" s="150"/>
      <c r="FX291" s="150"/>
      <c r="FY291" s="150"/>
      <c r="FZ291" s="150"/>
      <c r="GA291" s="150"/>
      <c r="GB291" s="150"/>
      <c r="GC291" s="150"/>
      <c r="GD291" s="150"/>
      <c r="GE291" s="150"/>
      <c r="GF291" s="150"/>
      <c r="GG291" s="150"/>
      <c r="GH291" s="150"/>
      <c r="GI291" s="150"/>
      <c r="GJ291" s="150"/>
      <c r="GK291" s="150"/>
      <c r="GL291" s="150"/>
      <c r="GM291" s="150"/>
      <c r="GN291" s="150"/>
      <c r="GO291" s="150"/>
      <c r="GP291" s="150"/>
      <c r="GQ291" s="150"/>
      <c r="GR291" s="150"/>
      <c r="GS291" s="150"/>
      <c r="GT291" s="150"/>
      <c r="GU291" s="150"/>
      <c r="GV291" s="150"/>
      <c r="GW291" s="150"/>
      <c r="GX291" s="150"/>
      <c r="GY291" s="150"/>
      <c r="GZ291" s="150"/>
      <c r="HA291" s="150"/>
      <c r="HB291" s="150"/>
      <c r="HC291" s="150"/>
      <c r="HD291" s="150"/>
      <c r="HE291" s="150"/>
      <c r="HF291" s="150"/>
      <c r="HG291" s="150"/>
      <c r="HH291" s="150"/>
      <c r="HI291" s="150"/>
      <c r="HJ291" s="150"/>
      <c r="HK291" s="150"/>
      <c r="HL291" s="150"/>
    </row>
    <row r="292" spans="1:220" s="152" customFormat="1" ht="14.25">
      <c r="A292" s="153"/>
      <c r="C292" s="154"/>
      <c r="D292" s="155"/>
      <c r="F292" s="194"/>
      <c r="H292" s="155"/>
      <c r="AJ292" s="156"/>
      <c r="AK292" s="156"/>
      <c r="AQ292" s="154"/>
      <c r="AW292" s="157"/>
      <c r="AX292" s="154"/>
      <c r="AY292" s="158"/>
      <c r="BA292" s="279"/>
      <c r="CH292" s="154"/>
      <c r="CQ292" s="149"/>
      <c r="CS292" s="147"/>
      <c r="CV292" s="150"/>
      <c r="CW292" s="150"/>
      <c r="CX292" s="150"/>
      <c r="CY292" s="150"/>
      <c r="CZ292" s="150"/>
      <c r="DA292" s="150"/>
      <c r="DB292" s="150"/>
      <c r="DC292" s="150"/>
      <c r="DD292" s="150"/>
      <c r="DE292" s="150"/>
      <c r="DF292" s="150"/>
      <c r="DG292" s="150"/>
      <c r="DH292" s="150"/>
      <c r="DI292" s="150"/>
      <c r="DJ292" s="150"/>
      <c r="DK292" s="150"/>
      <c r="DL292" s="150"/>
      <c r="DM292" s="150"/>
      <c r="DN292" s="150"/>
      <c r="DO292" s="150"/>
      <c r="DP292" s="150"/>
      <c r="DQ292" s="150"/>
      <c r="DR292" s="150"/>
      <c r="DS292" s="150"/>
      <c r="DT292" s="150"/>
      <c r="DU292" s="150"/>
      <c r="DV292" s="150"/>
      <c r="DW292" s="150"/>
      <c r="DX292" s="150"/>
      <c r="DY292" s="150"/>
      <c r="DZ292" s="150"/>
      <c r="EA292" s="150"/>
      <c r="EB292" s="150"/>
      <c r="EC292" s="150"/>
      <c r="ED292" s="150"/>
      <c r="EE292" s="150"/>
      <c r="EF292" s="150"/>
      <c r="EG292" s="150"/>
      <c r="EH292" s="150"/>
      <c r="EI292" s="150"/>
      <c r="EJ292" s="150"/>
      <c r="EK292" s="150"/>
      <c r="EL292" s="150"/>
      <c r="EM292" s="150"/>
      <c r="EN292" s="150"/>
      <c r="EO292" s="150"/>
      <c r="EP292" s="150"/>
      <c r="EQ292" s="150"/>
      <c r="ER292" s="150"/>
      <c r="ES292" s="150"/>
      <c r="ET292" s="150"/>
      <c r="EU292" s="150"/>
      <c r="EV292" s="150"/>
      <c r="EW292" s="150"/>
      <c r="EX292" s="150"/>
      <c r="EY292" s="150"/>
      <c r="EZ292" s="150"/>
      <c r="FA292" s="150"/>
      <c r="FB292" s="150"/>
      <c r="FC292" s="150"/>
      <c r="FD292" s="150"/>
      <c r="FE292" s="150"/>
      <c r="FF292" s="150"/>
      <c r="FG292" s="150"/>
      <c r="FH292" s="150"/>
      <c r="FI292" s="150"/>
      <c r="FJ292" s="150"/>
      <c r="FK292" s="150"/>
      <c r="FL292" s="150"/>
      <c r="FM292" s="150"/>
      <c r="FN292" s="150"/>
      <c r="FO292" s="150"/>
      <c r="FP292" s="150"/>
      <c r="FQ292" s="150"/>
      <c r="FR292" s="150"/>
      <c r="FS292" s="150"/>
      <c r="FT292" s="150"/>
      <c r="FU292" s="150"/>
      <c r="FV292" s="150"/>
      <c r="FW292" s="150"/>
      <c r="FX292" s="150"/>
      <c r="FY292" s="150"/>
      <c r="FZ292" s="150"/>
      <c r="GA292" s="150"/>
      <c r="GB292" s="150"/>
      <c r="GC292" s="150"/>
      <c r="GD292" s="150"/>
      <c r="GE292" s="150"/>
      <c r="GF292" s="150"/>
      <c r="GG292" s="150"/>
      <c r="GH292" s="150"/>
      <c r="GI292" s="150"/>
      <c r="GJ292" s="150"/>
      <c r="GK292" s="150"/>
      <c r="GL292" s="150"/>
      <c r="GM292" s="150"/>
      <c r="GN292" s="150"/>
      <c r="GO292" s="150"/>
      <c r="GP292" s="150"/>
      <c r="GQ292" s="150"/>
      <c r="GR292" s="150"/>
      <c r="GS292" s="150"/>
      <c r="GT292" s="150"/>
      <c r="GU292" s="150"/>
      <c r="GV292" s="150"/>
      <c r="GW292" s="150"/>
      <c r="GX292" s="150"/>
      <c r="GY292" s="150"/>
      <c r="GZ292" s="150"/>
      <c r="HA292" s="150"/>
      <c r="HB292" s="150"/>
      <c r="HC292" s="150"/>
      <c r="HD292" s="150"/>
      <c r="HE292" s="150"/>
      <c r="HF292" s="150"/>
      <c r="HG292" s="150"/>
      <c r="HH292" s="150"/>
      <c r="HI292" s="150"/>
      <c r="HJ292" s="150"/>
      <c r="HK292" s="150"/>
      <c r="HL292" s="150"/>
    </row>
    <row r="293" spans="1:220" s="152" customFormat="1" ht="14.25">
      <c r="A293" s="153"/>
      <c r="C293" s="154"/>
      <c r="D293" s="155"/>
      <c r="F293" s="194"/>
      <c r="H293" s="155"/>
      <c r="AJ293" s="156"/>
      <c r="AK293" s="156"/>
      <c r="AQ293" s="154"/>
      <c r="AW293" s="157"/>
      <c r="AX293" s="154"/>
      <c r="AY293" s="158"/>
      <c r="BA293" s="279"/>
      <c r="CH293" s="154"/>
      <c r="CQ293" s="149"/>
      <c r="CS293" s="147"/>
      <c r="CV293" s="150"/>
      <c r="CW293" s="150"/>
      <c r="CX293" s="150"/>
      <c r="CY293" s="150"/>
      <c r="CZ293" s="150"/>
      <c r="DA293" s="150"/>
      <c r="DB293" s="150"/>
      <c r="DC293" s="150"/>
      <c r="DD293" s="150"/>
      <c r="DE293" s="150"/>
      <c r="DF293" s="150"/>
      <c r="DG293" s="150"/>
      <c r="DH293" s="150"/>
      <c r="DI293" s="150"/>
      <c r="DJ293" s="150"/>
      <c r="DK293" s="150"/>
      <c r="DL293" s="150"/>
      <c r="DM293" s="150"/>
      <c r="DN293" s="150"/>
      <c r="DO293" s="150"/>
      <c r="DP293" s="150"/>
      <c r="DQ293" s="150"/>
      <c r="DR293" s="150"/>
      <c r="DS293" s="150"/>
      <c r="DT293" s="150"/>
      <c r="DU293" s="150"/>
      <c r="DV293" s="150"/>
      <c r="DW293" s="150"/>
      <c r="DX293" s="150"/>
      <c r="DY293" s="150"/>
      <c r="DZ293" s="150"/>
      <c r="EA293" s="150"/>
      <c r="EB293" s="150"/>
      <c r="EC293" s="150"/>
      <c r="ED293" s="150"/>
      <c r="EE293" s="150"/>
      <c r="EF293" s="150"/>
      <c r="EG293" s="150"/>
      <c r="EH293" s="150"/>
      <c r="EI293" s="150"/>
      <c r="EJ293" s="150"/>
      <c r="EK293" s="150"/>
      <c r="EL293" s="150"/>
      <c r="EM293" s="150"/>
      <c r="EN293" s="150"/>
      <c r="EO293" s="150"/>
      <c r="EP293" s="150"/>
      <c r="EQ293" s="150"/>
      <c r="ER293" s="150"/>
      <c r="ES293" s="150"/>
      <c r="ET293" s="150"/>
      <c r="EU293" s="150"/>
      <c r="EV293" s="150"/>
      <c r="EW293" s="150"/>
      <c r="EX293" s="150"/>
      <c r="EY293" s="150"/>
      <c r="EZ293" s="150"/>
      <c r="FA293" s="150"/>
      <c r="FB293" s="150"/>
      <c r="FC293" s="150"/>
      <c r="FD293" s="150"/>
      <c r="FE293" s="150"/>
      <c r="FF293" s="150"/>
      <c r="FG293" s="150"/>
      <c r="FH293" s="150"/>
      <c r="FI293" s="150"/>
      <c r="FJ293" s="150"/>
      <c r="FK293" s="150"/>
      <c r="FL293" s="150"/>
      <c r="FM293" s="150"/>
      <c r="FN293" s="150"/>
      <c r="FO293" s="150"/>
      <c r="FP293" s="150"/>
      <c r="FQ293" s="150"/>
      <c r="FR293" s="150"/>
      <c r="FS293" s="150"/>
      <c r="FT293" s="150"/>
      <c r="FU293" s="150"/>
      <c r="FV293" s="150"/>
      <c r="FW293" s="150"/>
      <c r="FX293" s="150"/>
      <c r="FY293" s="150"/>
      <c r="FZ293" s="150"/>
      <c r="GA293" s="150"/>
      <c r="GB293" s="150"/>
      <c r="GC293" s="150"/>
      <c r="GD293" s="150"/>
      <c r="GE293" s="150"/>
      <c r="GF293" s="150"/>
      <c r="GG293" s="150"/>
      <c r="GH293" s="150"/>
      <c r="GI293" s="150"/>
      <c r="GJ293" s="150"/>
      <c r="GK293" s="150"/>
      <c r="GL293" s="150"/>
      <c r="GM293" s="150"/>
      <c r="GN293" s="150"/>
      <c r="GO293" s="150"/>
      <c r="GP293" s="150"/>
      <c r="GQ293" s="150"/>
      <c r="GR293" s="150"/>
      <c r="GS293" s="150"/>
      <c r="GT293" s="150"/>
      <c r="GU293" s="150"/>
      <c r="GV293" s="150"/>
      <c r="GW293" s="150"/>
      <c r="GX293" s="150"/>
      <c r="GY293" s="150"/>
      <c r="GZ293" s="150"/>
      <c r="HA293" s="150"/>
      <c r="HB293" s="150"/>
      <c r="HC293" s="150"/>
      <c r="HD293" s="150"/>
      <c r="HE293" s="150"/>
      <c r="HF293" s="150"/>
      <c r="HG293" s="150"/>
      <c r="HH293" s="150"/>
      <c r="HI293" s="150"/>
      <c r="HJ293" s="150"/>
      <c r="HK293" s="150"/>
      <c r="HL293" s="150"/>
    </row>
    <row r="294" spans="1:220" s="152" customFormat="1" ht="14.25">
      <c r="A294" s="153"/>
      <c r="C294" s="154"/>
      <c r="D294" s="155"/>
      <c r="F294" s="194"/>
      <c r="H294" s="155"/>
      <c r="AJ294" s="156"/>
      <c r="AK294" s="156"/>
      <c r="AQ294" s="154"/>
      <c r="AW294" s="157"/>
      <c r="AX294" s="154"/>
      <c r="AY294" s="158"/>
      <c r="BA294" s="279"/>
      <c r="CH294" s="154"/>
      <c r="CQ294" s="149"/>
      <c r="CS294" s="147"/>
      <c r="CV294" s="150"/>
      <c r="CW294" s="150"/>
      <c r="CX294" s="150"/>
      <c r="CY294" s="150"/>
      <c r="CZ294" s="150"/>
      <c r="DA294" s="150"/>
      <c r="DB294" s="150"/>
      <c r="DC294" s="150"/>
      <c r="DD294" s="150"/>
      <c r="DE294" s="150"/>
      <c r="DF294" s="150"/>
      <c r="DG294" s="150"/>
      <c r="DH294" s="150"/>
      <c r="DI294" s="150"/>
      <c r="DJ294" s="150"/>
      <c r="DK294" s="150"/>
      <c r="DL294" s="150"/>
      <c r="DM294" s="150"/>
      <c r="DN294" s="150"/>
      <c r="DO294" s="150"/>
      <c r="DP294" s="150"/>
      <c r="DQ294" s="150"/>
      <c r="DR294" s="150"/>
      <c r="DS294" s="150"/>
      <c r="DT294" s="150"/>
      <c r="DU294" s="150"/>
      <c r="DV294" s="150"/>
      <c r="DW294" s="150"/>
      <c r="DX294" s="150"/>
      <c r="DY294" s="150"/>
      <c r="DZ294" s="150"/>
      <c r="EA294" s="150"/>
      <c r="EB294" s="150"/>
      <c r="EC294" s="150"/>
      <c r="ED294" s="150"/>
      <c r="EE294" s="150"/>
      <c r="EF294" s="150"/>
      <c r="EG294" s="150"/>
      <c r="EH294" s="150"/>
      <c r="EI294" s="150"/>
      <c r="EJ294" s="150"/>
      <c r="EK294" s="150"/>
      <c r="EL294" s="150"/>
      <c r="EM294" s="150"/>
      <c r="EN294" s="150"/>
      <c r="EO294" s="150"/>
      <c r="EP294" s="150"/>
      <c r="EQ294" s="150"/>
      <c r="ER294" s="150"/>
      <c r="ES294" s="150"/>
      <c r="ET294" s="150"/>
      <c r="EU294" s="150"/>
      <c r="EV294" s="150"/>
      <c r="EW294" s="150"/>
      <c r="EX294" s="150"/>
      <c r="EY294" s="150"/>
      <c r="EZ294" s="150"/>
      <c r="FA294" s="150"/>
      <c r="FB294" s="150"/>
      <c r="FC294" s="150"/>
      <c r="FD294" s="150"/>
      <c r="FE294" s="150"/>
      <c r="FF294" s="150"/>
      <c r="FG294" s="150"/>
      <c r="FH294" s="150"/>
      <c r="FI294" s="150"/>
      <c r="FJ294" s="150"/>
      <c r="FK294" s="150"/>
      <c r="FL294" s="150"/>
      <c r="FM294" s="150"/>
      <c r="FN294" s="150"/>
      <c r="FO294" s="150"/>
      <c r="FP294" s="150"/>
      <c r="FQ294" s="150"/>
      <c r="FR294" s="150"/>
      <c r="FS294" s="150"/>
      <c r="FT294" s="150"/>
      <c r="FU294" s="150"/>
      <c r="FV294" s="150"/>
      <c r="FW294" s="150"/>
      <c r="FX294" s="150"/>
      <c r="FY294" s="150"/>
      <c r="FZ294" s="150"/>
      <c r="GA294" s="150"/>
      <c r="GB294" s="150"/>
      <c r="GC294" s="150"/>
      <c r="GD294" s="150"/>
      <c r="GE294" s="150"/>
      <c r="GF294" s="150"/>
      <c r="GG294" s="150"/>
      <c r="GH294" s="150"/>
      <c r="GI294" s="150"/>
      <c r="GJ294" s="150"/>
      <c r="GK294" s="150"/>
      <c r="GL294" s="150"/>
      <c r="GM294" s="150"/>
      <c r="GN294" s="150"/>
      <c r="GO294" s="150"/>
      <c r="GP294" s="150"/>
      <c r="GQ294" s="150"/>
      <c r="GR294" s="150"/>
      <c r="GS294" s="150"/>
      <c r="GT294" s="150"/>
      <c r="GU294" s="150"/>
      <c r="GV294" s="150"/>
      <c r="GW294" s="150"/>
      <c r="GX294" s="150"/>
      <c r="GY294" s="150"/>
      <c r="GZ294" s="150"/>
      <c r="HA294" s="150"/>
      <c r="HB294" s="150"/>
      <c r="HC294" s="150"/>
      <c r="HD294" s="150"/>
      <c r="HE294" s="150"/>
      <c r="HF294" s="150"/>
      <c r="HG294" s="150"/>
      <c r="HH294" s="150"/>
      <c r="HI294" s="150"/>
      <c r="HJ294" s="150"/>
      <c r="HK294" s="150"/>
      <c r="HL294" s="150"/>
    </row>
    <row r="295" spans="1:220" s="152" customFormat="1" ht="14.25">
      <c r="A295" s="153"/>
      <c r="C295" s="154"/>
      <c r="D295" s="155"/>
      <c r="F295" s="194"/>
      <c r="H295" s="155"/>
      <c r="AJ295" s="156"/>
      <c r="AK295" s="156"/>
      <c r="AQ295" s="154"/>
      <c r="AW295" s="157"/>
      <c r="AX295" s="154"/>
      <c r="AY295" s="158"/>
      <c r="BA295" s="279"/>
      <c r="CH295" s="154"/>
      <c r="CQ295" s="149"/>
      <c r="CS295" s="147"/>
      <c r="CV295" s="150"/>
      <c r="CW295" s="150"/>
      <c r="CX295" s="150"/>
      <c r="CY295" s="150"/>
      <c r="CZ295" s="150"/>
      <c r="DA295" s="150"/>
      <c r="DB295" s="150"/>
      <c r="DC295" s="150"/>
      <c r="DD295" s="150"/>
      <c r="DE295" s="150"/>
      <c r="DF295" s="150"/>
      <c r="DG295" s="150"/>
      <c r="DH295" s="150"/>
      <c r="DI295" s="150"/>
      <c r="DJ295" s="150"/>
      <c r="DK295" s="150"/>
      <c r="DL295" s="150"/>
      <c r="DM295" s="150"/>
      <c r="DN295" s="150"/>
      <c r="DO295" s="150"/>
      <c r="DP295" s="150"/>
      <c r="DQ295" s="150"/>
      <c r="DR295" s="150"/>
      <c r="DS295" s="150"/>
      <c r="DT295" s="150"/>
      <c r="DU295" s="150"/>
      <c r="DV295" s="150"/>
      <c r="DW295" s="150"/>
      <c r="DX295" s="150"/>
      <c r="DY295" s="150"/>
      <c r="DZ295" s="150"/>
      <c r="EA295" s="150"/>
      <c r="EB295" s="150"/>
      <c r="EC295" s="150"/>
      <c r="ED295" s="150"/>
      <c r="EE295" s="150"/>
      <c r="EF295" s="150"/>
      <c r="EG295" s="150"/>
      <c r="EH295" s="150"/>
      <c r="EI295" s="150"/>
      <c r="EJ295" s="150"/>
      <c r="EK295" s="150"/>
      <c r="EL295" s="150"/>
      <c r="EM295" s="150"/>
      <c r="EN295" s="150"/>
      <c r="EO295" s="150"/>
      <c r="EP295" s="150"/>
      <c r="EQ295" s="150"/>
      <c r="ER295" s="150"/>
      <c r="ES295" s="150"/>
      <c r="ET295" s="150"/>
      <c r="EU295" s="150"/>
      <c r="EV295" s="150"/>
      <c r="EW295" s="150"/>
      <c r="EX295" s="150"/>
      <c r="EY295" s="150"/>
      <c r="EZ295" s="150"/>
      <c r="FA295" s="150"/>
      <c r="FB295" s="150"/>
      <c r="FC295" s="150"/>
      <c r="FD295" s="150"/>
      <c r="FE295" s="150"/>
      <c r="FF295" s="150"/>
      <c r="FG295" s="150"/>
      <c r="FH295" s="150"/>
      <c r="FI295" s="150"/>
      <c r="FJ295" s="150"/>
      <c r="FK295" s="150"/>
      <c r="FL295" s="150"/>
      <c r="FM295" s="150"/>
      <c r="FN295" s="150"/>
      <c r="FO295" s="150"/>
      <c r="FP295" s="150"/>
      <c r="FQ295" s="150"/>
      <c r="FR295" s="150"/>
      <c r="FS295" s="150"/>
      <c r="FT295" s="150"/>
      <c r="FU295" s="150"/>
      <c r="FV295" s="150"/>
      <c r="FW295" s="150"/>
      <c r="FX295" s="150"/>
      <c r="FY295" s="150"/>
      <c r="FZ295" s="150"/>
      <c r="GA295" s="150"/>
      <c r="GB295" s="150"/>
      <c r="GC295" s="150"/>
      <c r="GD295" s="150"/>
      <c r="GE295" s="150"/>
      <c r="GF295" s="150"/>
      <c r="GG295" s="150"/>
      <c r="GH295" s="150"/>
      <c r="GI295" s="150"/>
      <c r="GJ295" s="150"/>
      <c r="GK295" s="150"/>
      <c r="GL295" s="150"/>
      <c r="GM295" s="150"/>
      <c r="GN295" s="150"/>
      <c r="GO295" s="150"/>
      <c r="GP295" s="150"/>
      <c r="GQ295" s="150"/>
      <c r="GR295" s="150"/>
      <c r="GS295" s="150"/>
      <c r="GT295" s="150"/>
      <c r="GU295" s="150"/>
      <c r="GV295" s="150"/>
      <c r="GW295" s="150"/>
      <c r="GX295" s="150"/>
      <c r="GY295" s="150"/>
      <c r="GZ295" s="150"/>
      <c r="HA295" s="150"/>
      <c r="HB295" s="150"/>
      <c r="HC295" s="150"/>
      <c r="HD295" s="150"/>
      <c r="HE295" s="150"/>
      <c r="HF295" s="150"/>
      <c r="HG295" s="150"/>
      <c r="HH295" s="150"/>
      <c r="HI295" s="150"/>
      <c r="HJ295" s="150"/>
      <c r="HK295" s="150"/>
      <c r="HL295" s="150"/>
    </row>
    <row r="296" spans="1:220" s="152" customFormat="1" ht="14.25">
      <c r="A296" s="153"/>
      <c r="C296" s="154"/>
      <c r="D296" s="155"/>
      <c r="F296" s="194"/>
      <c r="H296" s="155"/>
      <c r="AJ296" s="156"/>
      <c r="AK296" s="156"/>
      <c r="AQ296" s="154"/>
      <c r="AW296" s="157"/>
      <c r="AX296" s="154"/>
      <c r="AY296" s="158"/>
      <c r="BA296" s="279"/>
      <c r="CH296" s="154"/>
      <c r="CQ296" s="149"/>
      <c r="CS296" s="147"/>
      <c r="CV296" s="150"/>
      <c r="CW296" s="150"/>
      <c r="CX296" s="150"/>
      <c r="CY296" s="150"/>
      <c r="CZ296" s="150"/>
      <c r="DA296" s="150"/>
      <c r="DB296" s="150"/>
      <c r="DC296" s="150"/>
      <c r="DD296" s="150"/>
      <c r="DE296" s="150"/>
      <c r="DF296" s="150"/>
      <c r="DG296" s="150"/>
      <c r="DH296" s="150"/>
      <c r="DI296" s="150"/>
      <c r="DJ296" s="150"/>
      <c r="DK296" s="150"/>
      <c r="DL296" s="150"/>
      <c r="DM296" s="150"/>
      <c r="DN296" s="150"/>
      <c r="DO296" s="150"/>
      <c r="DP296" s="150"/>
      <c r="DQ296" s="150"/>
      <c r="DR296" s="150"/>
      <c r="DS296" s="150"/>
      <c r="DT296" s="150"/>
      <c r="DU296" s="150"/>
      <c r="DV296" s="150"/>
      <c r="DW296" s="150"/>
      <c r="DX296" s="150"/>
      <c r="DY296" s="150"/>
      <c r="DZ296" s="150"/>
      <c r="EA296" s="150"/>
      <c r="EB296" s="150"/>
      <c r="EC296" s="150"/>
      <c r="ED296" s="150"/>
      <c r="EE296" s="150"/>
      <c r="EF296" s="150"/>
      <c r="EG296" s="150"/>
      <c r="EH296" s="150"/>
      <c r="EI296" s="150"/>
      <c r="EJ296" s="150"/>
      <c r="EK296" s="150"/>
      <c r="EL296" s="150"/>
      <c r="EM296" s="150"/>
      <c r="EN296" s="150"/>
      <c r="EO296" s="150"/>
      <c r="EP296" s="150"/>
      <c r="EQ296" s="150"/>
      <c r="ER296" s="150"/>
      <c r="ES296" s="150"/>
      <c r="ET296" s="150"/>
      <c r="EU296" s="150"/>
      <c r="EV296" s="150"/>
      <c r="EW296" s="150"/>
      <c r="EX296" s="150"/>
      <c r="EY296" s="150"/>
      <c r="EZ296" s="150"/>
      <c r="FA296" s="150"/>
      <c r="FB296" s="150"/>
      <c r="FC296" s="150"/>
      <c r="FD296" s="150"/>
      <c r="FE296" s="150"/>
      <c r="FF296" s="150"/>
      <c r="FG296" s="150"/>
      <c r="FH296" s="150"/>
      <c r="FI296" s="150"/>
      <c r="FJ296" s="150"/>
      <c r="FK296" s="150"/>
      <c r="FL296" s="150"/>
      <c r="FM296" s="150"/>
      <c r="FN296" s="150"/>
      <c r="FO296" s="150"/>
      <c r="FP296" s="150"/>
      <c r="FQ296" s="150"/>
      <c r="FR296" s="150"/>
      <c r="FS296" s="150"/>
      <c r="FT296" s="150"/>
      <c r="FU296" s="150"/>
      <c r="FV296" s="150"/>
      <c r="FW296" s="150"/>
      <c r="FX296" s="150"/>
      <c r="FY296" s="150"/>
      <c r="FZ296" s="150"/>
      <c r="GA296" s="150"/>
      <c r="GB296" s="150"/>
      <c r="GC296" s="150"/>
      <c r="GD296" s="150"/>
      <c r="GE296" s="150"/>
      <c r="GF296" s="150"/>
      <c r="GG296" s="150"/>
      <c r="GH296" s="150"/>
      <c r="GI296" s="150"/>
      <c r="GJ296" s="150"/>
      <c r="GK296" s="150"/>
      <c r="GL296" s="150"/>
      <c r="GM296" s="150"/>
      <c r="GN296" s="150"/>
      <c r="GO296" s="150"/>
      <c r="GP296" s="150"/>
      <c r="GQ296" s="150"/>
      <c r="GR296" s="150"/>
      <c r="GS296" s="150"/>
      <c r="GT296" s="150"/>
      <c r="GU296" s="150"/>
      <c r="GV296" s="150"/>
      <c r="GW296" s="150"/>
      <c r="GX296" s="150"/>
      <c r="GY296" s="150"/>
      <c r="GZ296" s="150"/>
      <c r="HA296" s="150"/>
      <c r="HB296" s="150"/>
      <c r="HC296" s="150"/>
      <c r="HD296" s="150"/>
      <c r="HE296" s="150"/>
      <c r="HF296" s="150"/>
      <c r="HG296" s="150"/>
      <c r="HH296" s="150"/>
      <c r="HI296" s="150"/>
      <c r="HJ296" s="150"/>
      <c r="HK296" s="150"/>
      <c r="HL296" s="150"/>
    </row>
    <row r="297" spans="1:220" s="152" customFormat="1" ht="14.25">
      <c r="A297" s="153"/>
      <c r="C297" s="154"/>
      <c r="D297" s="155"/>
      <c r="F297" s="194"/>
      <c r="H297" s="155"/>
      <c r="AJ297" s="156"/>
      <c r="AK297" s="156"/>
      <c r="AQ297" s="154"/>
      <c r="AW297" s="157"/>
      <c r="AX297" s="154"/>
      <c r="AY297" s="158"/>
      <c r="BA297" s="279"/>
      <c r="CH297" s="154"/>
      <c r="CQ297" s="149"/>
      <c r="CS297" s="147"/>
      <c r="CV297" s="150"/>
      <c r="CW297" s="150"/>
      <c r="CX297" s="150"/>
      <c r="CY297" s="150"/>
      <c r="CZ297" s="150"/>
      <c r="DA297" s="150"/>
      <c r="DB297" s="150"/>
      <c r="DC297" s="150"/>
      <c r="DD297" s="150"/>
      <c r="DE297" s="150"/>
      <c r="DF297" s="150"/>
      <c r="DG297" s="150"/>
      <c r="DH297" s="150"/>
      <c r="DI297" s="150"/>
      <c r="DJ297" s="150"/>
      <c r="DK297" s="150"/>
      <c r="DL297" s="150"/>
      <c r="DM297" s="150"/>
      <c r="DN297" s="150"/>
      <c r="DO297" s="150"/>
      <c r="DP297" s="150"/>
      <c r="DQ297" s="150"/>
      <c r="DR297" s="150"/>
      <c r="DS297" s="150"/>
      <c r="DT297" s="150"/>
      <c r="DU297" s="150"/>
      <c r="DV297" s="150"/>
      <c r="DW297" s="150"/>
      <c r="DX297" s="150"/>
      <c r="DY297" s="150"/>
      <c r="DZ297" s="150"/>
      <c r="EA297" s="150"/>
      <c r="EB297" s="150"/>
      <c r="EC297" s="150"/>
      <c r="ED297" s="150"/>
      <c r="EE297" s="150"/>
      <c r="EF297" s="150"/>
      <c r="EG297" s="150"/>
      <c r="EH297" s="150"/>
      <c r="EI297" s="150"/>
      <c r="EJ297" s="150"/>
      <c r="EK297" s="150"/>
      <c r="EL297" s="150"/>
      <c r="EM297" s="150"/>
      <c r="EN297" s="150"/>
      <c r="EO297" s="150"/>
      <c r="EP297" s="150"/>
      <c r="EQ297" s="150"/>
      <c r="ER297" s="150"/>
      <c r="ES297" s="150"/>
      <c r="ET297" s="150"/>
      <c r="EU297" s="150"/>
      <c r="EV297" s="150"/>
      <c r="EW297" s="150"/>
      <c r="EX297" s="150"/>
      <c r="EY297" s="150"/>
      <c r="EZ297" s="150"/>
      <c r="FA297" s="150"/>
      <c r="FB297" s="150"/>
      <c r="FC297" s="150"/>
      <c r="FD297" s="150"/>
      <c r="FE297" s="150"/>
      <c r="FF297" s="150"/>
      <c r="FG297" s="150"/>
      <c r="FH297" s="150"/>
      <c r="FI297" s="150"/>
      <c r="FJ297" s="150"/>
      <c r="FK297" s="150"/>
      <c r="FL297" s="150"/>
      <c r="FM297" s="150"/>
      <c r="FN297" s="150"/>
      <c r="FO297" s="150"/>
      <c r="FP297" s="150"/>
      <c r="FQ297" s="150"/>
      <c r="FR297" s="150"/>
      <c r="FS297" s="150"/>
      <c r="FT297" s="150"/>
      <c r="FU297" s="150"/>
      <c r="FV297" s="150"/>
      <c r="FW297" s="150"/>
      <c r="FX297" s="150"/>
      <c r="FY297" s="150"/>
      <c r="FZ297" s="150"/>
      <c r="GA297" s="150"/>
      <c r="GB297" s="150"/>
      <c r="GC297" s="150"/>
      <c r="GD297" s="150"/>
      <c r="GE297" s="150"/>
      <c r="GF297" s="150"/>
      <c r="GG297" s="150"/>
      <c r="GH297" s="150"/>
      <c r="GI297" s="150"/>
      <c r="GJ297" s="150"/>
      <c r="GK297" s="150"/>
      <c r="GL297" s="150"/>
      <c r="GM297" s="150"/>
      <c r="GN297" s="150"/>
      <c r="GO297" s="150"/>
      <c r="GP297" s="150"/>
      <c r="GQ297" s="150"/>
      <c r="GR297" s="150"/>
      <c r="GS297" s="150"/>
      <c r="GT297" s="150"/>
      <c r="GU297" s="150"/>
      <c r="GV297" s="150"/>
      <c r="GW297" s="150"/>
      <c r="GX297" s="150"/>
      <c r="GY297" s="150"/>
      <c r="GZ297" s="150"/>
      <c r="HA297" s="150"/>
      <c r="HB297" s="150"/>
      <c r="HC297" s="150"/>
      <c r="HD297" s="150"/>
      <c r="HE297" s="150"/>
      <c r="HF297" s="150"/>
      <c r="HG297" s="150"/>
      <c r="HH297" s="150"/>
      <c r="HI297" s="150"/>
      <c r="HJ297" s="150"/>
      <c r="HK297" s="150"/>
      <c r="HL297" s="150"/>
    </row>
    <row r="298" spans="1:220" s="152" customFormat="1" ht="14.25">
      <c r="A298" s="153"/>
      <c r="C298" s="154"/>
      <c r="D298" s="155"/>
      <c r="F298" s="194"/>
      <c r="H298" s="155"/>
      <c r="AJ298" s="156"/>
      <c r="AK298" s="156"/>
      <c r="AQ298" s="154"/>
      <c r="AW298" s="157"/>
      <c r="AX298" s="154"/>
      <c r="AY298" s="158"/>
      <c r="BA298" s="279"/>
      <c r="CH298" s="154"/>
      <c r="CQ298" s="149"/>
      <c r="CS298" s="147"/>
      <c r="CV298" s="150"/>
      <c r="CW298" s="150"/>
      <c r="CX298" s="150"/>
      <c r="CY298" s="150"/>
      <c r="CZ298" s="150"/>
      <c r="DA298" s="150"/>
      <c r="DB298" s="150"/>
      <c r="DC298" s="150"/>
      <c r="DD298" s="150"/>
      <c r="DE298" s="150"/>
      <c r="DF298" s="150"/>
      <c r="DG298" s="150"/>
      <c r="DH298" s="150"/>
      <c r="DI298" s="150"/>
      <c r="DJ298" s="150"/>
      <c r="DK298" s="150"/>
      <c r="DL298" s="150"/>
      <c r="DM298" s="150"/>
      <c r="DN298" s="150"/>
      <c r="DO298" s="150"/>
      <c r="DP298" s="150"/>
      <c r="DQ298" s="150"/>
      <c r="DR298" s="150"/>
      <c r="DS298" s="150"/>
      <c r="DT298" s="150"/>
      <c r="DU298" s="150"/>
      <c r="DV298" s="150"/>
      <c r="DW298" s="150"/>
      <c r="DX298" s="150"/>
      <c r="DY298" s="150"/>
      <c r="DZ298" s="150"/>
      <c r="EA298" s="150"/>
      <c r="EB298" s="150"/>
      <c r="EC298" s="150"/>
      <c r="ED298" s="150"/>
      <c r="EE298" s="150"/>
      <c r="EF298" s="150"/>
      <c r="EG298" s="150"/>
      <c r="EH298" s="150"/>
      <c r="EI298" s="150"/>
      <c r="EJ298" s="150"/>
      <c r="EK298" s="150"/>
      <c r="EL298" s="150"/>
      <c r="EM298" s="150"/>
      <c r="EN298" s="150"/>
      <c r="EO298" s="150"/>
      <c r="EP298" s="150"/>
      <c r="EQ298" s="150"/>
      <c r="ER298" s="150"/>
      <c r="ES298" s="150"/>
      <c r="ET298" s="150"/>
      <c r="EU298" s="150"/>
      <c r="EV298" s="150"/>
      <c r="EW298" s="150"/>
      <c r="EX298" s="150"/>
      <c r="EY298" s="150"/>
      <c r="EZ298" s="150"/>
      <c r="FA298" s="150"/>
      <c r="FB298" s="150"/>
      <c r="FC298" s="150"/>
      <c r="FD298" s="150"/>
      <c r="FE298" s="150"/>
      <c r="FF298" s="150"/>
      <c r="FG298" s="150"/>
      <c r="FH298" s="150"/>
      <c r="FI298" s="150"/>
      <c r="FJ298" s="150"/>
      <c r="FK298" s="150"/>
      <c r="FL298" s="150"/>
      <c r="FM298" s="150"/>
      <c r="FN298" s="150"/>
      <c r="FO298" s="150"/>
      <c r="FP298" s="150"/>
      <c r="FQ298" s="150"/>
      <c r="FR298" s="150"/>
      <c r="FS298" s="150"/>
      <c r="FT298" s="150"/>
      <c r="FU298" s="150"/>
      <c r="FV298" s="150"/>
      <c r="FW298" s="150"/>
      <c r="FX298" s="150"/>
      <c r="FY298" s="150"/>
      <c r="FZ298" s="150"/>
      <c r="GA298" s="150"/>
      <c r="GB298" s="150"/>
      <c r="GC298" s="150"/>
      <c r="GD298" s="150"/>
      <c r="GE298" s="150"/>
      <c r="GF298" s="150"/>
      <c r="GG298" s="150"/>
      <c r="GH298" s="150"/>
      <c r="GI298" s="150"/>
      <c r="GJ298" s="150"/>
      <c r="GK298" s="150"/>
      <c r="GL298" s="150"/>
      <c r="GM298" s="150"/>
      <c r="GN298" s="150"/>
      <c r="GO298" s="150"/>
      <c r="GP298" s="150"/>
      <c r="GQ298" s="150"/>
      <c r="GR298" s="150"/>
      <c r="GS298" s="150"/>
      <c r="GT298" s="150"/>
      <c r="GU298" s="150"/>
      <c r="GV298" s="150"/>
      <c r="GW298" s="150"/>
      <c r="GX298" s="150"/>
      <c r="GY298" s="150"/>
      <c r="GZ298" s="150"/>
      <c r="HA298" s="150"/>
      <c r="HB298" s="150"/>
      <c r="HC298" s="150"/>
      <c r="HD298" s="150"/>
      <c r="HE298" s="150"/>
      <c r="HF298" s="150"/>
      <c r="HG298" s="150"/>
      <c r="HH298" s="150"/>
      <c r="HI298" s="150"/>
      <c r="HJ298" s="150"/>
      <c r="HK298" s="150"/>
      <c r="HL298" s="150"/>
    </row>
    <row r="299" spans="1:220" s="152" customFormat="1" ht="14.25">
      <c r="A299" s="153"/>
      <c r="C299" s="154"/>
      <c r="D299" s="155"/>
      <c r="F299" s="194"/>
      <c r="H299" s="155"/>
      <c r="AJ299" s="156"/>
      <c r="AK299" s="156"/>
      <c r="AQ299" s="154"/>
      <c r="AW299" s="157"/>
      <c r="AX299" s="154"/>
      <c r="AY299" s="158"/>
      <c r="BA299" s="279"/>
      <c r="CH299" s="154"/>
      <c r="CQ299" s="149"/>
      <c r="CS299" s="147"/>
      <c r="CV299" s="150"/>
      <c r="CW299" s="150"/>
      <c r="CX299" s="150"/>
      <c r="CY299" s="150"/>
      <c r="CZ299" s="150"/>
      <c r="DA299" s="150"/>
      <c r="DB299" s="150"/>
      <c r="DC299" s="150"/>
      <c r="DD299" s="150"/>
      <c r="DE299" s="150"/>
      <c r="DF299" s="150"/>
      <c r="DG299" s="150"/>
      <c r="DH299" s="150"/>
      <c r="DI299" s="150"/>
      <c r="DJ299" s="150"/>
      <c r="DK299" s="150"/>
      <c r="DL299" s="150"/>
      <c r="DM299" s="150"/>
      <c r="DN299" s="150"/>
      <c r="DO299" s="150"/>
      <c r="DP299" s="150"/>
      <c r="DQ299" s="150"/>
      <c r="DR299" s="150"/>
      <c r="DS299" s="150"/>
      <c r="DT299" s="150"/>
      <c r="DU299" s="150"/>
      <c r="DV299" s="150"/>
      <c r="DW299" s="150"/>
      <c r="DX299" s="150"/>
      <c r="DY299" s="150"/>
      <c r="DZ299" s="150"/>
      <c r="EA299" s="150"/>
      <c r="EB299" s="150"/>
      <c r="EC299" s="150"/>
      <c r="ED299" s="150"/>
      <c r="EE299" s="150"/>
      <c r="EF299" s="150"/>
      <c r="EG299" s="150"/>
      <c r="EH299" s="150"/>
      <c r="EI299" s="150"/>
      <c r="EJ299" s="150"/>
      <c r="EK299" s="150"/>
      <c r="EL299" s="150"/>
      <c r="EM299" s="150"/>
      <c r="EN299" s="150"/>
      <c r="EO299" s="150"/>
      <c r="EP299" s="150"/>
      <c r="EQ299" s="150"/>
      <c r="ER299" s="150"/>
      <c r="ES299" s="150"/>
      <c r="ET299" s="150"/>
      <c r="EU299" s="150"/>
      <c r="EV299" s="150"/>
      <c r="EW299" s="150"/>
      <c r="EX299" s="150"/>
      <c r="EY299" s="150"/>
      <c r="EZ299" s="150"/>
      <c r="FA299" s="150"/>
      <c r="FB299" s="150"/>
      <c r="FC299" s="150"/>
      <c r="FD299" s="150"/>
      <c r="FE299" s="150"/>
      <c r="FF299" s="150"/>
      <c r="FG299" s="150"/>
      <c r="FH299" s="150"/>
      <c r="FI299" s="150"/>
      <c r="FJ299" s="150"/>
      <c r="FK299" s="150"/>
      <c r="FL299" s="150"/>
      <c r="FM299" s="150"/>
      <c r="FN299" s="150"/>
      <c r="FO299" s="150"/>
      <c r="FP299" s="150"/>
      <c r="FQ299" s="150"/>
      <c r="FR299" s="150"/>
      <c r="FS299" s="150"/>
      <c r="FT299" s="150"/>
      <c r="FU299" s="150"/>
      <c r="FV299" s="150"/>
      <c r="FW299" s="150"/>
      <c r="FX299" s="150"/>
      <c r="FY299" s="150"/>
      <c r="FZ299" s="150"/>
      <c r="GA299" s="150"/>
      <c r="GB299" s="150"/>
      <c r="GC299" s="150"/>
      <c r="GD299" s="150"/>
      <c r="GE299" s="150"/>
      <c r="GF299" s="150"/>
      <c r="GG299" s="150"/>
      <c r="GH299" s="150"/>
      <c r="GI299" s="150"/>
      <c r="GJ299" s="150"/>
      <c r="GK299" s="150"/>
      <c r="GL299" s="150"/>
      <c r="GM299" s="150"/>
      <c r="GN299" s="150"/>
      <c r="GO299" s="150"/>
      <c r="GP299" s="150"/>
      <c r="GQ299" s="150"/>
      <c r="GR299" s="150"/>
      <c r="GS299" s="150"/>
      <c r="GT299" s="150"/>
      <c r="GU299" s="150"/>
      <c r="GV299" s="150"/>
      <c r="GW299" s="150"/>
      <c r="GX299" s="150"/>
      <c r="GY299" s="150"/>
      <c r="GZ299" s="150"/>
      <c r="HA299" s="150"/>
      <c r="HB299" s="150"/>
      <c r="HC299" s="150"/>
      <c r="HD299" s="150"/>
      <c r="HE299" s="150"/>
      <c r="HF299" s="150"/>
      <c r="HG299" s="150"/>
      <c r="HH299" s="150"/>
      <c r="HI299" s="150"/>
      <c r="HJ299" s="150"/>
      <c r="HK299" s="150"/>
      <c r="HL299" s="150"/>
    </row>
    <row r="300" spans="1:220" s="152" customFormat="1" ht="14.25">
      <c r="A300" s="153"/>
      <c r="C300" s="154"/>
      <c r="D300" s="155"/>
      <c r="F300" s="194"/>
      <c r="H300" s="155"/>
      <c r="AJ300" s="156"/>
      <c r="AK300" s="156"/>
      <c r="AQ300" s="154"/>
      <c r="AW300" s="157"/>
      <c r="AX300" s="154"/>
      <c r="AY300" s="158"/>
      <c r="BA300" s="279"/>
      <c r="CH300" s="154"/>
      <c r="CQ300" s="149"/>
      <c r="CS300" s="147"/>
      <c r="CV300" s="150"/>
      <c r="CW300" s="150"/>
      <c r="CX300" s="150"/>
      <c r="CY300" s="150"/>
      <c r="CZ300" s="150"/>
      <c r="DA300" s="150"/>
      <c r="DB300" s="150"/>
      <c r="DC300" s="150"/>
      <c r="DD300" s="150"/>
      <c r="DE300" s="150"/>
      <c r="DF300" s="150"/>
      <c r="DG300" s="150"/>
      <c r="DH300" s="150"/>
      <c r="DI300" s="150"/>
      <c r="DJ300" s="150"/>
      <c r="DK300" s="150"/>
      <c r="DL300" s="150"/>
      <c r="DM300" s="150"/>
      <c r="DN300" s="150"/>
      <c r="DO300" s="150"/>
      <c r="DP300" s="150"/>
      <c r="DQ300" s="150"/>
      <c r="DR300" s="150"/>
      <c r="DS300" s="150"/>
      <c r="DT300" s="150"/>
      <c r="DU300" s="150"/>
      <c r="DV300" s="150"/>
      <c r="DW300" s="150"/>
      <c r="DX300" s="150"/>
      <c r="DY300" s="150"/>
      <c r="DZ300" s="150"/>
      <c r="EA300" s="150"/>
      <c r="EB300" s="150"/>
      <c r="EC300" s="150"/>
      <c r="ED300" s="150"/>
      <c r="EE300" s="150"/>
      <c r="EF300" s="150"/>
      <c r="EG300" s="150"/>
      <c r="EH300" s="150"/>
      <c r="EI300" s="150"/>
      <c r="EJ300" s="150"/>
      <c r="EK300" s="150"/>
      <c r="EL300" s="150"/>
      <c r="EM300" s="150"/>
      <c r="EN300" s="150"/>
      <c r="EO300" s="150"/>
      <c r="EP300" s="150"/>
      <c r="EQ300" s="150"/>
      <c r="ER300" s="150"/>
      <c r="ES300" s="150"/>
      <c r="ET300" s="150"/>
      <c r="EU300" s="150"/>
      <c r="EV300" s="150"/>
      <c r="EW300" s="150"/>
      <c r="EX300" s="150"/>
      <c r="EY300" s="150"/>
      <c r="EZ300" s="150"/>
      <c r="FA300" s="150"/>
      <c r="FB300" s="150"/>
      <c r="FC300" s="150"/>
      <c r="FD300" s="150"/>
      <c r="FE300" s="150"/>
      <c r="FF300" s="150"/>
      <c r="FG300" s="150"/>
      <c r="FH300" s="150"/>
      <c r="FI300" s="150"/>
      <c r="FJ300" s="150"/>
      <c r="FK300" s="150"/>
      <c r="FL300" s="150"/>
      <c r="FM300" s="150"/>
      <c r="FN300" s="150"/>
      <c r="FO300" s="150"/>
      <c r="FP300" s="150"/>
      <c r="FQ300" s="150"/>
      <c r="FR300" s="150"/>
      <c r="FS300" s="150"/>
      <c r="FT300" s="150"/>
      <c r="FU300" s="150"/>
      <c r="FV300" s="150"/>
      <c r="FW300" s="150"/>
      <c r="FX300" s="150"/>
      <c r="FY300" s="150"/>
      <c r="FZ300" s="150"/>
      <c r="GA300" s="150"/>
      <c r="GB300" s="150"/>
      <c r="GC300" s="150"/>
      <c r="GD300" s="150"/>
      <c r="GE300" s="150"/>
      <c r="GF300" s="150"/>
      <c r="GG300" s="150"/>
      <c r="GH300" s="150"/>
      <c r="GI300" s="150"/>
      <c r="GJ300" s="150"/>
      <c r="GK300" s="150"/>
      <c r="GL300" s="150"/>
      <c r="GM300" s="150"/>
      <c r="GN300" s="150"/>
      <c r="GO300" s="150"/>
      <c r="GP300" s="150"/>
      <c r="GQ300" s="150"/>
      <c r="GR300" s="150"/>
      <c r="GS300" s="150"/>
      <c r="GT300" s="150"/>
      <c r="GU300" s="150"/>
      <c r="GV300" s="150"/>
      <c r="GW300" s="150"/>
      <c r="GX300" s="150"/>
      <c r="GY300" s="150"/>
      <c r="GZ300" s="150"/>
      <c r="HA300" s="150"/>
      <c r="HB300" s="150"/>
      <c r="HC300" s="150"/>
      <c r="HD300" s="150"/>
      <c r="HE300" s="150"/>
      <c r="HF300" s="150"/>
      <c r="HG300" s="150"/>
      <c r="HH300" s="150"/>
      <c r="HI300" s="150"/>
      <c r="HJ300" s="150"/>
      <c r="HK300" s="150"/>
      <c r="HL300" s="150"/>
    </row>
    <row r="301" spans="1:220" s="152" customFormat="1" ht="14.25">
      <c r="A301" s="153"/>
      <c r="C301" s="154"/>
      <c r="D301" s="155"/>
      <c r="F301" s="194"/>
      <c r="H301" s="155"/>
      <c r="AJ301" s="156"/>
      <c r="AK301" s="156"/>
      <c r="AQ301" s="154"/>
      <c r="AW301" s="157"/>
      <c r="AX301" s="154"/>
      <c r="AY301" s="158"/>
      <c r="BA301" s="279"/>
      <c r="CH301" s="154"/>
      <c r="CQ301" s="149"/>
      <c r="CS301" s="147"/>
      <c r="CV301" s="150"/>
      <c r="CW301" s="150"/>
      <c r="CX301" s="150"/>
      <c r="CY301" s="150"/>
      <c r="CZ301" s="150"/>
      <c r="DA301" s="150"/>
      <c r="DB301" s="150"/>
      <c r="DC301" s="150"/>
      <c r="DD301" s="150"/>
      <c r="DE301" s="150"/>
      <c r="DF301" s="150"/>
      <c r="DG301" s="150"/>
      <c r="DH301" s="150"/>
      <c r="DI301" s="150"/>
      <c r="DJ301" s="150"/>
      <c r="DK301" s="150"/>
      <c r="DL301" s="150"/>
      <c r="DM301" s="150"/>
      <c r="DN301" s="150"/>
      <c r="DO301" s="150"/>
      <c r="DP301" s="150"/>
      <c r="DQ301" s="150"/>
      <c r="DR301" s="150"/>
      <c r="DS301" s="150"/>
      <c r="DT301" s="150"/>
      <c r="DU301" s="150"/>
      <c r="DV301" s="150"/>
      <c r="DW301" s="150"/>
      <c r="DX301" s="150"/>
      <c r="DY301" s="150"/>
      <c r="DZ301" s="150"/>
      <c r="EA301" s="150"/>
      <c r="EB301" s="150"/>
      <c r="EC301" s="150"/>
      <c r="ED301" s="150"/>
      <c r="EE301" s="150"/>
      <c r="EF301" s="150"/>
      <c r="EG301" s="150"/>
      <c r="EH301" s="150"/>
      <c r="EI301" s="150"/>
      <c r="EJ301" s="150"/>
      <c r="EK301" s="150"/>
      <c r="EL301" s="150"/>
      <c r="EM301" s="150"/>
      <c r="EN301" s="150"/>
      <c r="EO301" s="150"/>
      <c r="EP301" s="150"/>
      <c r="EQ301" s="150"/>
      <c r="ER301" s="150"/>
      <c r="ES301" s="150"/>
      <c r="ET301" s="150"/>
      <c r="EU301" s="150"/>
      <c r="EV301" s="150"/>
      <c r="EW301" s="150"/>
      <c r="EX301" s="150"/>
      <c r="EY301" s="150"/>
      <c r="EZ301" s="150"/>
      <c r="FA301" s="150"/>
      <c r="FB301" s="150"/>
      <c r="FC301" s="150"/>
      <c r="FD301" s="150"/>
      <c r="FE301" s="150"/>
      <c r="FF301" s="150"/>
      <c r="FG301" s="150"/>
      <c r="FH301" s="150"/>
      <c r="FI301" s="150"/>
      <c r="FJ301" s="150"/>
      <c r="FK301" s="150"/>
      <c r="FL301" s="150"/>
      <c r="FM301" s="150"/>
      <c r="FN301" s="150"/>
      <c r="FO301" s="150"/>
      <c r="FP301" s="150"/>
      <c r="FQ301" s="150"/>
      <c r="FR301" s="150"/>
      <c r="FS301" s="150"/>
      <c r="FT301" s="150"/>
      <c r="FU301" s="150"/>
      <c r="FV301" s="150"/>
      <c r="FW301" s="150"/>
      <c r="FX301" s="150"/>
      <c r="FY301" s="150"/>
      <c r="FZ301" s="150"/>
      <c r="GA301" s="150"/>
      <c r="GB301" s="150"/>
      <c r="GC301" s="150"/>
      <c r="GD301" s="150"/>
      <c r="GE301" s="150"/>
      <c r="GF301" s="150"/>
      <c r="GG301" s="150"/>
      <c r="GH301" s="150"/>
      <c r="GI301" s="150"/>
      <c r="GJ301" s="150"/>
      <c r="GK301" s="150"/>
      <c r="GL301" s="150"/>
      <c r="GM301" s="150"/>
      <c r="GN301" s="150"/>
      <c r="GO301" s="150"/>
      <c r="GP301" s="150"/>
      <c r="GQ301" s="150"/>
      <c r="GR301" s="150"/>
      <c r="GS301" s="150"/>
      <c r="GT301" s="150"/>
      <c r="GU301" s="150"/>
      <c r="GV301" s="150"/>
      <c r="GW301" s="150"/>
      <c r="GX301" s="150"/>
      <c r="GY301" s="150"/>
      <c r="GZ301" s="150"/>
      <c r="HA301" s="150"/>
      <c r="HB301" s="150"/>
      <c r="HC301" s="150"/>
      <c r="HD301" s="150"/>
      <c r="HE301" s="150"/>
      <c r="HF301" s="150"/>
      <c r="HG301" s="150"/>
      <c r="HH301" s="150"/>
      <c r="HI301" s="150"/>
      <c r="HJ301" s="150"/>
      <c r="HK301" s="150"/>
      <c r="HL301" s="150"/>
    </row>
    <row r="302" spans="1:220" s="152" customFormat="1" ht="14.25">
      <c r="A302" s="153"/>
      <c r="C302" s="154"/>
      <c r="D302" s="155"/>
      <c r="F302" s="194"/>
      <c r="H302" s="155"/>
      <c r="AJ302" s="156"/>
      <c r="AK302" s="156"/>
      <c r="AQ302" s="154"/>
      <c r="AW302" s="157"/>
      <c r="AX302" s="154"/>
      <c r="AY302" s="158"/>
      <c r="BA302" s="279"/>
      <c r="CH302" s="154"/>
      <c r="CQ302" s="149"/>
      <c r="CS302" s="147"/>
      <c r="CV302" s="150"/>
      <c r="CW302" s="150"/>
      <c r="CX302" s="150"/>
      <c r="CY302" s="150"/>
      <c r="CZ302" s="150"/>
      <c r="DA302" s="150"/>
      <c r="DB302" s="150"/>
      <c r="DC302" s="150"/>
      <c r="DD302" s="150"/>
      <c r="DE302" s="150"/>
      <c r="DF302" s="150"/>
      <c r="DG302" s="150"/>
      <c r="DH302" s="150"/>
      <c r="DI302" s="150"/>
      <c r="DJ302" s="150"/>
      <c r="DK302" s="150"/>
      <c r="DL302" s="150"/>
      <c r="DM302" s="150"/>
      <c r="DN302" s="150"/>
      <c r="DO302" s="150"/>
      <c r="DP302" s="150"/>
      <c r="DQ302" s="150"/>
      <c r="DR302" s="150"/>
      <c r="DS302" s="150"/>
      <c r="DT302" s="150"/>
      <c r="DU302" s="150"/>
      <c r="DV302" s="150"/>
      <c r="DW302" s="150"/>
      <c r="DX302" s="150"/>
      <c r="DY302" s="150"/>
      <c r="DZ302" s="150"/>
      <c r="EA302" s="150"/>
      <c r="EB302" s="150"/>
      <c r="EC302" s="150"/>
      <c r="ED302" s="150"/>
      <c r="EE302" s="150"/>
      <c r="EF302" s="150"/>
      <c r="EG302" s="150"/>
      <c r="EH302" s="150"/>
      <c r="EI302" s="150"/>
      <c r="EJ302" s="150"/>
      <c r="EK302" s="150"/>
      <c r="EL302" s="150"/>
      <c r="EM302" s="150"/>
      <c r="EN302" s="150"/>
      <c r="EO302" s="150"/>
      <c r="EP302" s="150"/>
      <c r="EQ302" s="150"/>
      <c r="ER302" s="150"/>
      <c r="ES302" s="150"/>
      <c r="ET302" s="150"/>
      <c r="EU302" s="150"/>
      <c r="EV302" s="150"/>
      <c r="EW302" s="150"/>
      <c r="EX302" s="150"/>
      <c r="EY302" s="150"/>
      <c r="EZ302" s="150"/>
      <c r="FA302" s="150"/>
      <c r="FB302" s="150"/>
      <c r="FC302" s="150"/>
      <c r="FD302" s="150"/>
      <c r="FE302" s="150"/>
      <c r="FF302" s="150"/>
      <c r="FG302" s="150"/>
      <c r="FH302" s="150"/>
      <c r="FI302" s="150"/>
      <c r="FJ302" s="150"/>
      <c r="FK302" s="150"/>
      <c r="FL302" s="150"/>
      <c r="FM302" s="150"/>
      <c r="FN302" s="150"/>
      <c r="FO302" s="150"/>
      <c r="FP302" s="150"/>
      <c r="FQ302" s="150"/>
      <c r="FR302" s="150"/>
      <c r="FS302" s="150"/>
      <c r="FT302" s="150"/>
      <c r="FU302" s="150"/>
      <c r="FV302" s="150"/>
      <c r="FW302" s="150"/>
      <c r="FX302" s="150"/>
      <c r="FY302" s="150"/>
      <c r="FZ302" s="150"/>
      <c r="GA302" s="150"/>
      <c r="GB302" s="150"/>
      <c r="GC302" s="150"/>
      <c r="GD302" s="150"/>
      <c r="GE302" s="150"/>
      <c r="GF302" s="150"/>
      <c r="GG302" s="150"/>
      <c r="GH302" s="150"/>
      <c r="GI302" s="150"/>
      <c r="GJ302" s="150"/>
      <c r="GK302" s="150"/>
      <c r="GL302" s="150"/>
      <c r="GM302" s="150"/>
      <c r="GN302" s="150"/>
      <c r="GO302" s="150"/>
      <c r="GP302" s="150"/>
      <c r="GQ302" s="150"/>
      <c r="GR302" s="150"/>
      <c r="GS302" s="150"/>
      <c r="GT302" s="150"/>
      <c r="GU302" s="150"/>
      <c r="GV302" s="150"/>
      <c r="GW302" s="150"/>
      <c r="GX302" s="150"/>
      <c r="GY302" s="150"/>
      <c r="GZ302" s="150"/>
      <c r="HA302" s="150"/>
      <c r="HB302" s="150"/>
      <c r="HC302" s="150"/>
      <c r="HD302" s="150"/>
      <c r="HE302" s="150"/>
      <c r="HF302" s="150"/>
      <c r="HG302" s="150"/>
      <c r="HH302" s="150"/>
      <c r="HI302" s="150"/>
      <c r="HJ302" s="150"/>
      <c r="HK302" s="150"/>
      <c r="HL302" s="150"/>
    </row>
    <row r="303" spans="1:220" s="152" customFormat="1" ht="14.25">
      <c r="A303" s="153"/>
      <c r="C303" s="154"/>
      <c r="D303" s="155"/>
      <c r="F303" s="194"/>
      <c r="H303" s="155"/>
      <c r="AJ303" s="156"/>
      <c r="AK303" s="156"/>
      <c r="AQ303" s="154"/>
      <c r="AW303" s="157"/>
      <c r="AX303" s="154"/>
      <c r="AY303" s="158"/>
      <c r="BA303" s="279"/>
      <c r="CH303" s="154"/>
      <c r="CQ303" s="149"/>
      <c r="CS303" s="147"/>
      <c r="CV303" s="150"/>
      <c r="CW303" s="150"/>
      <c r="CX303" s="150"/>
      <c r="CY303" s="150"/>
      <c r="CZ303" s="150"/>
      <c r="DA303" s="150"/>
      <c r="DB303" s="150"/>
      <c r="DC303" s="150"/>
      <c r="DD303" s="150"/>
      <c r="DE303" s="150"/>
      <c r="DF303" s="150"/>
      <c r="DG303" s="150"/>
      <c r="DH303" s="150"/>
      <c r="DI303" s="150"/>
      <c r="DJ303" s="150"/>
      <c r="DK303" s="150"/>
      <c r="DL303" s="150"/>
      <c r="DM303" s="150"/>
      <c r="DN303" s="150"/>
      <c r="DO303" s="150"/>
      <c r="DP303" s="150"/>
      <c r="DQ303" s="150"/>
      <c r="DR303" s="150"/>
      <c r="DS303" s="150"/>
      <c r="DT303" s="150"/>
      <c r="DU303" s="150"/>
      <c r="DV303" s="150"/>
      <c r="DW303" s="150"/>
      <c r="DX303" s="150"/>
      <c r="DY303" s="150"/>
      <c r="DZ303" s="150"/>
      <c r="EA303" s="150"/>
      <c r="EB303" s="150"/>
      <c r="EC303" s="150"/>
      <c r="ED303" s="150"/>
      <c r="EE303" s="150"/>
      <c r="EF303" s="150"/>
      <c r="EG303" s="150"/>
      <c r="EH303" s="150"/>
      <c r="EI303" s="150"/>
      <c r="EJ303" s="150"/>
      <c r="EK303" s="150"/>
      <c r="EL303" s="150"/>
      <c r="EM303" s="150"/>
      <c r="EN303" s="150"/>
      <c r="EO303" s="150"/>
      <c r="EP303" s="150"/>
      <c r="EQ303" s="150"/>
      <c r="ER303" s="150"/>
      <c r="ES303" s="150"/>
      <c r="ET303" s="150"/>
      <c r="EU303" s="150"/>
      <c r="EV303" s="150"/>
      <c r="EW303" s="150"/>
      <c r="EX303" s="150"/>
      <c r="EY303" s="150"/>
      <c r="EZ303" s="150"/>
      <c r="FA303" s="150"/>
      <c r="FB303" s="150"/>
      <c r="FC303" s="150"/>
      <c r="FD303" s="150"/>
      <c r="FE303" s="150"/>
      <c r="FF303" s="150"/>
      <c r="FG303" s="150"/>
      <c r="FH303" s="150"/>
      <c r="FI303" s="150"/>
      <c r="FJ303" s="150"/>
      <c r="FK303" s="150"/>
      <c r="FL303" s="150"/>
      <c r="FM303" s="150"/>
      <c r="FN303" s="150"/>
      <c r="FO303" s="150"/>
      <c r="FP303" s="150"/>
      <c r="FQ303" s="150"/>
      <c r="FR303" s="150"/>
      <c r="FS303" s="150"/>
      <c r="FT303" s="150"/>
      <c r="FU303" s="150"/>
      <c r="FV303" s="150"/>
      <c r="FW303" s="150"/>
      <c r="FX303" s="150"/>
      <c r="FY303" s="150"/>
      <c r="FZ303" s="150"/>
      <c r="GA303" s="150"/>
      <c r="GB303" s="150"/>
      <c r="GC303" s="150"/>
      <c r="GD303" s="150"/>
      <c r="GE303" s="150"/>
      <c r="GF303" s="150"/>
      <c r="GG303" s="150"/>
      <c r="GH303" s="150"/>
      <c r="GI303" s="150"/>
      <c r="GJ303" s="150"/>
      <c r="GK303" s="150"/>
      <c r="GL303" s="150"/>
      <c r="GM303" s="150"/>
      <c r="GN303" s="150"/>
      <c r="GO303" s="150"/>
      <c r="GP303" s="150"/>
      <c r="GQ303" s="150"/>
      <c r="GR303" s="150"/>
      <c r="GS303" s="150"/>
      <c r="GT303" s="150"/>
      <c r="GU303" s="150"/>
      <c r="GV303" s="150"/>
      <c r="GW303" s="150"/>
      <c r="GX303" s="150"/>
      <c r="GY303" s="150"/>
      <c r="GZ303" s="150"/>
      <c r="HA303" s="150"/>
      <c r="HB303" s="150"/>
      <c r="HC303" s="150"/>
      <c r="HD303" s="150"/>
      <c r="HE303" s="150"/>
      <c r="HF303" s="150"/>
      <c r="HG303" s="150"/>
      <c r="HH303" s="150"/>
      <c r="HI303" s="150"/>
      <c r="HJ303" s="150"/>
      <c r="HK303" s="150"/>
      <c r="HL303" s="150"/>
    </row>
    <row r="304" spans="1:220" s="152" customFormat="1" ht="14.25">
      <c r="A304" s="153"/>
      <c r="C304" s="154"/>
      <c r="D304" s="155"/>
      <c r="F304" s="194"/>
      <c r="H304" s="155"/>
      <c r="AJ304" s="156"/>
      <c r="AK304" s="156"/>
      <c r="AQ304" s="154"/>
      <c r="AW304" s="157"/>
      <c r="AX304" s="154"/>
      <c r="AY304" s="158"/>
      <c r="BA304" s="279"/>
      <c r="CH304" s="154"/>
      <c r="CQ304" s="149"/>
      <c r="CS304" s="147"/>
      <c r="CV304" s="150"/>
      <c r="CW304" s="150"/>
      <c r="CX304" s="150"/>
      <c r="CY304" s="150"/>
      <c r="CZ304" s="150"/>
      <c r="DA304" s="150"/>
      <c r="DB304" s="150"/>
      <c r="DC304" s="150"/>
      <c r="DD304" s="150"/>
      <c r="DE304" s="150"/>
      <c r="DF304" s="150"/>
      <c r="DG304" s="150"/>
      <c r="DH304" s="150"/>
      <c r="DI304" s="150"/>
      <c r="DJ304" s="150"/>
      <c r="DK304" s="150"/>
      <c r="DL304" s="150"/>
      <c r="DM304" s="150"/>
      <c r="DN304" s="150"/>
      <c r="DO304" s="150"/>
      <c r="DP304" s="150"/>
      <c r="DQ304" s="150"/>
      <c r="DR304" s="150"/>
      <c r="DS304" s="150"/>
      <c r="DT304" s="150"/>
      <c r="DU304" s="150"/>
      <c r="DV304" s="150"/>
      <c r="DW304" s="150"/>
      <c r="DX304" s="150"/>
      <c r="DY304" s="150"/>
      <c r="DZ304" s="150"/>
      <c r="EA304" s="150"/>
      <c r="EB304" s="150"/>
      <c r="EC304" s="150"/>
      <c r="ED304" s="150"/>
      <c r="EE304" s="150"/>
      <c r="EF304" s="150"/>
      <c r="EG304" s="150"/>
      <c r="EH304" s="150"/>
      <c r="EI304" s="150"/>
      <c r="EJ304" s="150"/>
      <c r="EK304" s="150"/>
      <c r="EL304" s="150"/>
      <c r="EM304" s="150"/>
      <c r="EN304" s="150"/>
      <c r="EO304" s="150"/>
      <c r="EP304" s="150"/>
      <c r="EQ304" s="150"/>
      <c r="ER304" s="150"/>
      <c r="ES304" s="150"/>
      <c r="ET304" s="150"/>
      <c r="EU304" s="150"/>
      <c r="EV304" s="150"/>
      <c r="EW304" s="150"/>
      <c r="EX304" s="150"/>
      <c r="EY304" s="150"/>
      <c r="EZ304" s="150"/>
      <c r="FA304" s="150"/>
      <c r="FB304" s="150"/>
      <c r="FC304" s="150"/>
      <c r="FD304" s="150"/>
      <c r="FE304" s="150"/>
      <c r="FF304" s="150"/>
      <c r="FG304" s="150"/>
      <c r="FH304" s="150"/>
      <c r="FI304" s="150"/>
      <c r="FJ304" s="150"/>
      <c r="FK304" s="150"/>
      <c r="FL304" s="150"/>
      <c r="FM304" s="150"/>
      <c r="FN304" s="150"/>
      <c r="FO304" s="150"/>
      <c r="FP304" s="150"/>
      <c r="FQ304" s="150"/>
      <c r="FR304" s="150"/>
      <c r="FS304" s="150"/>
      <c r="FT304" s="150"/>
      <c r="FU304" s="150"/>
      <c r="FV304" s="150"/>
      <c r="FW304" s="150"/>
      <c r="FX304" s="150"/>
      <c r="FY304" s="150"/>
      <c r="FZ304" s="150"/>
      <c r="GA304" s="150"/>
      <c r="GB304" s="150"/>
      <c r="GC304" s="150"/>
      <c r="GD304" s="150"/>
      <c r="GE304" s="150"/>
      <c r="GF304" s="150"/>
      <c r="GG304" s="150"/>
      <c r="GH304" s="150"/>
      <c r="GI304" s="150"/>
      <c r="GJ304" s="150"/>
      <c r="GK304" s="150"/>
      <c r="GL304" s="150"/>
      <c r="GM304" s="150"/>
      <c r="GN304" s="150"/>
      <c r="GO304" s="150"/>
      <c r="GP304" s="150"/>
      <c r="GQ304" s="150"/>
      <c r="GR304" s="150"/>
      <c r="GS304" s="150"/>
      <c r="GT304" s="150"/>
      <c r="GU304" s="150"/>
      <c r="GV304" s="150"/>
      <c r="GW304" s="150"/>
      <c r="GX304" s="150"/>
      <c r="GY304" s="150"/>
      <c r="GZ304" s="150"/>
      <c r="HA304" s="150"/>
      <c r="HB304" s="150"/>
      <c r="HC304" s="150"/>
      <c r="HD304" s="150"/>
      <c r="HE304" s="150"/>
      <c r="HF304" s="150"/>
      <c r="HG304" s="150"/>
      <c r="HH304" s="150"/>
      <c r="HI304" s="150"/>
      <c r="HJ304" s="150"/>
      <c r="HK304" s="150"/>
      <c r="HL304" s="150"/>
    </row>
    <row r="305" spans="1:220" s="152" customFormat="1" ht="14.25">
      <c r="A305" s="153"/>
      <c r="C305" s="154"/>
      <c r="D305" s="155"/>
      <c r="F305" s="194"/>
      <c r="H305" s="155"/>
      <c r="AJ305" s="156"/>
      <c r="AK305" s="156"/>
      <c r="AQ305" s="154"/>
      <c r="AW305" s="157"/>
      <c r="AX305" s="154"/>
      <c r="AY305" s="158"/>
      <c r="BA305" s="279"/>
      <c r="CH305" s="154"/>
      <c r="CQ305" s="149"/>
      <c r="CS305" s="147"/>
      <c r="CV305" s="150"/>
      <c r="CW305" s="150"/>
      <c r="CX305" s="150"/>
      <c r="CY305" s="150"/>
      <c r="CZ305" s="150"/>
      <c r="DA305" s="150"/>
      <c r="DB305" s="150"/>
      <c r="DC305" s="150"/>
      <c r="DD305" s="150"/>
      <c r="DE305" s="150"/>
      <c r="DF305" s="150"/>
      <c r="DG305" s="150"/>
      <c r="DH305" s="150"/>
      <c r="DI305" s="150"/>
      <c r="DJ305" s="150"/>
      <c r="DK305" s="150"/>
      <c r="DL305" s="150"/>
      <c r="DM305" s="150"/>
      <c r="DN305" s="150"/>
      <c r="DO305" s="150"/>
      <c r="DP305" s="150"/>
      <c r="DQ305" s="150"/>
      <c r="DR305" s="150"/>
      <c r="DS305" s="150"/>
      <c r="DT305" s="150"/>
      <c r="DU305" s="150"/>
      <c r="DV305" s="150"/>
      <c r="DW305" s="150"/>
      <c r="DX305" s="150"/>
      <c r="DY305" s="150"/>
      <c r="DZ305" s="150"/>
      <c r="EA305" s="150"/>
      <c r="EB305" s="150"/>
      <c r="EC305" s="150"/>
      <c r="ED305" s="150"/>
      <c r="EE305" s="150"/>
      <c r="EF305" s="150"/>
      <c r="EG305" s="150"/>
      <c r="EH305" s="150"/>
      <c r="EI305" s="150"/>
      <c r="EJ305" s="150"/>
      <c r="EK305" s="150"/>
      <c r="EL305" s="150"/>
      <c r="EM305" s="150"/>
      <c r="EN305" s="150"/>
      <c r="EO305" s="150"/>
      <c r="EP305" s="150"/>
      <c r="EQ305" s="150"/>
      <c r="ER305" s="150"/>
      <c r="ES305" s="150"/>
      <c r="ET305" s="150"/>
      <c r="EU305" s="150"/>
      <c r="EV305" s="150"/>
      <c r="EW305" s="150"/>
      <c r="EX305" s="150"/>
      <c r="EY305" s="150"/>
      <c r="EZ305" s="150"/>
      <c r="FA305" s="150"/>
      <c r="FB305" s="150"/>
      <c r="FC305" s="150"/>
      <c r="FD305" s="150"/>
      <c r="FE305" s="150"/>
      <c r="FF305" s="150"/>
      <c r="FG305" s="150"/>
      <c r="FH305" s="150"/>
      <c r="FI305" s="150"/>
      <c r="FJ305" s="150"/>
      <c r="FK305" s="150"/>
      <c r="FL305" s="150"/>
      <c r="FM305" s="150"/>
      <c r="FN305" s="150"/>
      <c r="FO305" s="150"/>
      <c r="FP305" s="150"/>
      <c r="FQ305" s="150"/>
      <c r="FR305" s="150"/>
      <c r="FS305" s="150"/>
      <c r="FT305" s="150"/>
      <c r="FU305" s="150"/>
      <c r="FV305" s="150"/>
      <c r="FW305" s="150"/>
      <c r="FX305" s="150"/>
      <c r="FY305" s="150"/>
      <c r="FZ305" s="150"/>
      <c r="GA305" s="150"/>
      <c r="GB305" s="150"/>
      <c r="GC305" s="150"/>
      <c r="GD305" s="150"/>
      <c r="GE305" s="150"/>
      <c r="GF305" s="150"/>
      <c r="GG305" s="150"/>
      <c r="GH305" s="150"/>
      <c r="GI305" s="150"/>
      <c r="GJ305" s="150"/>
      <c r="GK305" s="150"/>
      <c r="GL305" s="150"/>
      <c r="GM305" s="150"/>
      <c r="GN305" s="150"/>
      <c r="GO305" s="150"/>
      <c r="GP305" s="150"/>
      <c r="GQ305" s="150"/>
      <c r="GR305" s="150"/>
      <c r="GS305" s="150"/>
      <c r="GT305" s="150"/>
      <c r="GU305" s="150"/>
      <c r="GV305" s="150"/>
      <c r="GW305" s="150"/>
      <c r="GX305" s="150"/>
      <c r="GY305" s="150"/>
      <c r="GZ305" s="150"/>
      <c r="HA305" s="150"/>
      <c r="HB305" s="150"/>
      <c r="HC305" s="150"/>
      <c r="HD305" s="150"/>
      <c r="HE305" s="150"/>
      <c r="HF305" s="150"/>
      <c r="HG305" s="150"/>
      <c r="HH305" s="150"/>
      <c r="HI305" s="150"/>
      <c r="HJ305" s="150"/>
      <c r="HK305" s="150"/>
      <c r="HL305" s="150"/>
    </row>
    <row r="306" spans="1:220" s="152" customFormat="1" ht="14.25">
      <c r="A306" s="153"/>
      <c r="C306" s="154"/>
      <c r="D306" s="155"/>
      <c r="F306" s="194"/>
      <c r="H306" s="155"/>
      <c r="AJ306" s="156"/>
      <c r="AK306" s="156"/>
      <c r="AQ306" s="154"/>
      <c r="AW306" s="157"/>
      <c r="AX306" s="154"/>
      <c r="AY306" s="158"/>
      <c r="BA306" s="279"/>
      <c r="CH306" s="154"/>
      <c r="CQ306" s="149"/>
      <c r="CS306" s="147"/>
      <c r="CV306" s="150"/>
      <c r="CW306" s="150"/>
      <c r="CX306" s="150"/>
      <c r="CY306" s="150"/>
      <c r="CZ306" s="150"/>
      <c r="DA306" s="150"/>
      <c r="DB306" s="150"/>
      <c r="DC306" s="150"/>
      <c r="DD306" s="150"/>
      <c r="DE306" s="150"/>
      <c r="DF306" s="150"/>
      <c r="DG306" s="150"/>
      <c r="DH306" s="150"/>
      <c r="DI306" s="150"/>
      <c r="DJ306" s="150"/>
      <c r="DK306" s="150"/>
      <c r="DL306" s="150"/>
      <c r="DM306" s="150"/>
      <c r="DN306" s="150"/>
      <c r="DO306" s="150"/>
      <c r="DP306" s="150"/>
      <c r="DQ306" s="150"/>
      <c r="DR306" s="150"/>
      <c r="DS306" s="150"/>
      <c r="DT306" s="150"/>
      <c r="DU306" s="150"/>
      <c r="DV306" s="150"/>
      <c r="DW306" s="150"/>
      <c r="DX306" s="150"/>
      <c r="DY306" s="150"/>
      <c r="DZ306" s="150"/>
      <c r="EA306" s="150"/>
      <c r="EB306" s="150"/>
      <c r="EC306" s="150"/>
      <c r="ED306" s="150"/>
      <c r="EE306" s="150"/>
      <c r="EF306" s="150"/>
      <c r="EG306" s="150"/>
      <c r="EH306" s="150"/>
      <c r="EI306" s="150"/>
      <c r="EJ306" s="150"/>
      <c r="EK306" s="150"/>
      <c r="EL306" s="150"/>
      <c r="EM306" s="150"/>
      <c r="EN306" s="150"/>
      <c r="EO306" s="150"/>
      <c r="EP306" s="150"/>
      <c r="EQ306" s="150"/>
      <c r="ER306" s="150"/>
      <c r="ES306" s="150"/>
      <c r="ET306" s="150"/>
      <c r="EU306" s="150"/>
      <c r="EV306" s="150"/>
      <c r="EW306" s="150"/>
      <c r="EX306" s="150"/>
      <c r="EY306" s="150"/>
      <c r="EZ306" s="150"/>
      <c r="FA306" s="150"/>
      <c r="FB306" s="150"/>
      <c r="FC306" s="150"/>
      <c r="FD306" s="150"/>
      <c r="FE306" s="150"/>
      <c r="FF306" s="150"/>
      <c r="FG306" s="150"/>
      <c r="FH306" s="150"/>
      <c r="FI306" s="150"/>
      <c r="FJ306" s="150"/>
      <c r="FK306" s="150"/>
      <c r="FL306" s="150"/>
      <c r="FM306" s="150"/>
      <c r="FN306" s="150"/>
      <c r="FO306" s="150"/>
      <c r="FP306" s="150"/>
      <c r="FQ306" s="150"/>
      <c r="FR306" s="150"/>
      <c r="FS306" s="150"/>
      <c r="FT306" s="150"/>
      <c r="FU306" s="150"/>
      <c r="FV306" s="150"/>
      <c r="FW306" s="150"/>
      <c r="FX306" s="150"/>
      <c r="FY306" s="150"/>
      <c r="FZ306" s="150"/>
      <c r="GA306" s="150"/>
      <c r="GB306" s="150"/>
      <c r="GC306" s="150"/>
      <c r="GD306" s="150"/>
      <c r="GE306" s="150"/>
      <c r="GF306" s="150"/>
      <c r="GG306" s="150"/>
      <c r="GH306" s="150"/>
      <c r="GI306" s="150"/>
      <c r="GJ306" s="150"/>
      <c r="GK306" s="150"/>
      <c r="GL306" s="150"/>
      <c r="GM306" s="150"/>
      <c r="GN306" s="150"/>
      <c r="GO306" s="150"/>
      <c r="GP306" s="150"/>
      <c r="GQ306" s="150"/>
      <c r="GR306" s="150"/>
      <c r="GS306" s="150"/>
      <c r="GT306" s="150"/>
      <c r="GU306" s="150"/>
      <c r="GV306" s="150"/>
      <c r="GW306" s="150"/>
      <c r="GX306" s="150"/>
      <c r="GY306" s="150"/>
      <c r="GZ306" s="150"/>
      <c r="HA306" s="150"/>
      <c r="HB306" s="150"/>
      <c r="HC306" s="150"/>
      <c r="HD306" s="150"/>
      <c r="HE306" s="150"/>
      <c r="HF306" s="150"/>
      <c r="HG306" s="150"/>
      <c r="HH306" s="150"/>
      <c r="HI306" s="150"/>
      <c r="HJ306" s="150"/>
      <c r="HK306" s="150"/>
      <c r="HL306" s="150"/>
    </row>
    <row r="307" spans="1:220" s="152" customFormat="1" ht="14.25">
      <c r="A307" s="153"/>
      <c r="C307" s="154"/>
      <c r="D307" s="155"/>
      <c r="F307" s="194"/>
      <c r="H307" s="155"/>
      <c r="AJ307" s="156"/>
      <c r="AK307" s="156"/>
      <c r="AQ307" s="154"/>
      <c r="AW307" s="157"/>
      <c r="AX307" s="154"/>
      <c r="AY307" s="158"/>
      <c r="BA307" s="279"/>
      <c r="CH307" s="154"/>
      <c r="CQ307" s="149"/>
      <c r="CS307" s="147"/>
      <c r="CV307" s="150"/>
      <c r="CW307" s="150"/>
      <c r="CX307" s="150"/>
      <c r="CY307" s="150"/>
      <c r="CZ307" s="150"/>
      <c r="DA307" s="150"/>
      <c r="DB307" s="150"/>
      <c r="DC307" s="150"/>
      <c r="DD307" s="150"/>
      <c r="DE307" s="150"/>
      <c r="DF307" s="150"/>
      <c r="DG307" s="150"/>
      <c r="DH307" s="150"/>
      <c r="DI307" s="150"/>
      <c r="DJ307" s="150"/>
      <c r="DK307" s="150"/>
      <c r="DL307" s="150"/>
      <c r="DM307" s="150"/>
      <c r="DN307" s="150"/>
      <c r="DO307" s="150"/>
      <c r="DP307" s="150"/>
      <c r="DQ307" s="150"/>
      <c r="DR307" s="150"/>
      <c r="DS307" s="150"/>
      <c r="DT307" s="150"/>
      <c r="DU307" s="150"/>
      <c r="DV307" s="150"/>
      <c r="DW307" s="150"/>
      <c r="DX307" s="150"/>
      <c r="DY307" s="150"/>
      <c r="DZ307" s="150"/>
      <c r="EA307" s="150"/>
      <c r="EB307" s="150"/>
      <c r="EC307" s="150"/>
      <c r="ED307" s="150"/>
      <c r="EE307" s="150"/>
      <c r="EF307" s="150"/>
      <c r="EG307" s="150"/>
      <c r="EH307" s="150"/>
      <c r="EI307" s="150"/>
      <c r="EJ307" s="150"/>
      <c r="EK307" s="150"/>
      <c r="EL307" s="150"/>
      <c r="EM307" s="150"/>
      <c r="EN307" s="150"/>
      <c r="EO307" s="150"/>
      <c r="EP307" s="150"/>
      <c r="EQ307" s="150"/>
      <c r="ER307" s="150"/>
      <c r="ES307" s="150"/>
      <c r="ET307" s="150"/>
      <c r="EU307" s="150"/>
      <c r="EV307" s="150"/>
      <c r="EW307" s="150"/>
      <c r="EX307" s="150"/>
      <c r="EY307" s="150"/>
      <c r="EZ307" s="150"/>
      <c r="FA307" s="150"/>
      <c r="FB307" s="150"/>
      <c r="FC307" s="150"/>
      <c r="FD307" s="150"/>
      <c r="FE307" s="150"/>
      <c r="FF307" s="150"/>
      <c r="FG307" s="150"/>
      <c r="FH307" s="150"/>
      <c r="FI307" s="150"/>
      <c r="FJ307" s="150"/>
      <c r="FK307" s="150"/>
      <c r="FL307" s="150"/>
      <c r="FM307" s="150"/>
      <c r="FN307" s="150"/>
      <c r="FO307" s="150"/>
      <c r="FP307" s="150"/>
      <c r="FQ307" s="150"/>
      <c r="FR307" s="150"/>
      <c r="FS307" s="150"/>
      <c r="FT307" s="150"/>
      <c r="FU307" s="150"/>
      <c r="FV307" s="150"/>
      <c r="FW307" s="150"/>
      <c r="FX307" s="150"/>
      <c r="FY307" s="150"/>
      <c r="FZ307" s="150"/>
      <c r="GA307" s="150"/>
      <c r="GB307" s="150"/>
      <c r="GC307" s="150"/>
      <c r="GD307" s="150"/>
      <c r="GE307" s="150"/>
      <c r="GF307" s="150"/>
      <c r="GG307" s="150"/>
      <c r="GH307" s="150"/>
      <c r="GI307" s="150"/>
      <c r="GJ307" s="150"/>
      <c r="GK307" s="150"/>
      <c r="GL307" s="150"/>
      <c r="GM307" s="150"/>
      <c r="GN307" s="150"/>
      <c r="GO307" s="150"/>
      <c r="GP307" s="150"/>
      <c r="GQ307" s="150"/>
      <c r="GR307" s="150"/>
      <c r="GS307" s="150"/>
      <c r="GT307" s="150"/>
      <c r="GU307" s="150"/>
      <c r="GV307" s="150"/>
      <c r="GW307" s="150"/>
      <c r="GX307" s="150"/>
      <c r="GY307" s="150"/>
      <c r="GZ307" s="150"/>
      <c r="HA307" s="150"/>
      <c r="HB307" s="150"/>
      <c r="HC307" s="150"/>
      <c r="HD307" s="150"/>
      <c r="HE307" s="150"/>
      <c r="HF307" s="150"/>
      <c r="HG307" s="150"/>
      <c r="HH307" s="150"/>
      <c r="HI307" s="150"/>
      <c r="HJ307" s="150"/>
      <c r="HK307" s="150"/>
      <c r="HL307" s="150"/>
    </row>
    <row r="308" spans="1:220" s="152" customFormat="1" ht="14.25">
      <c r="A308" s="153"/>
      <c r="C308" s="154"/>
      <c r="D308" s="155"/>
      <c r="F308" s="194"/>
      <c r="H308" s="155"/>
      <c r="AJ308" s="156"/>
      <c r="AK308" s="156"/>
      <c r="AQ308" s="154"/>
      <c r="AW308" s="157"/>
      <c r="AX308" s="154"/>
      <c r="AY308" s="158"/>
      <c r="BA308" s="279"/>
      <c r="CH308" s="154"/>
      <c r="CQ308" s="149"/>
      <c r="CS308" s="147"/>
      <c r="CV308" s="150"/>
      <c r="CW308" s="150"/>
      <c r="CX308" s="150"/>
      <c r="CY308" s="150"/>
      <c r="CZ308" s="150"/>
      <c r="DA308" s="150"/>
      <c r="DB308" s="150"/>
      <c r="DC308" s="150"/>
      <c r="DD308" s="150"/>
      <c r="DE308" s="150"/>
      <c r="DF308" s="150"/>
      <c r="DG308" s="150"/>
      <c r="DH308" s="150"/>
      <c r="DI308" s="150"/>
      <c r="DJ308" s="150"/>
      <c r="DK308" s="150"/>
      <c r="DL308" s="150"/>
      <c r="DM308" s="150"/>
      <c r="DN308" s="150"/>
      <c r="DO308" s="150"/>
      <c r="DP308" s="150"/>
      <c r="DQ308" s="150"/>
      <c r="DR308" s="150"/>
      <c r="DS308" s="150"/>
      <c r="DT308" s="150"/>
      <c r="DU308" s="150"/>
      <c r="DV308" s="150"/>
      <c r="DW308" s="150"/>
      <c r="DX308" s="150"/>
      <c r="DY308" s="150"/>
      <c r="DZ308" s="150"/>
      <c r="EA308" s="150"/>
      <c r="EB308" s="150"/>
      <c r="EC308" s="150"/>
      <c r="ED308" s="150"/>
      <c r="EE308" s="150"/>
      <c r="EF308" s="150"/>
      <c r="EG308" s="150"/>
      <c r="EH308" s="150"/>
      <c r="EI308" s="150"/>
      <c r="EJ308" s="150"/>
      <c r="EK308" s="150"/>
      <c r="EL308" s="150"/>
      <c r="EM308" s="150"/>
      <c r="EN308" s="150"/>
      <c r="EO308" s="150"/>
      <c r="EP308" s="150"/>
      <c r="EQ308" s="150"/>
      <c r="ER308" s="150"/>
      <c r="ES308" s="150"/>
      <c r="ET308" s="150"/>
      <c r="EU308" s="150"/>
      <c r="EV308" s="150"/>
      <c r="EW308" s="150"/>
      <c r="EX308" s="150"/>
      <c r="EY308" s="150"/>
      <c r="EZ308" s="150"/>
      <c r="FA308" s="150"/>
      <c r="FB308" s="150"/>
      <c r="FC308" s="150"/>
      <c r="FD308" s="150"/>
      <c r="FE308" s="150"/>
      <c r="FF308" s="150"/>
      <c r="FG308" s="150"/>
      <c r="FH308" s="150"/>
      <c r="FI308" s="150"/>
      <c r="FJ308" s="150"/>
      <c r="FK308" s="150"/>
      <c r="FL308" s="150"/>
      <c r="FM308" s="150"/>
      <c r="FN308" s="150"/>
      <c r="FO308" s="150"/>
      <c r="FP308" s="150"/>
      <c r="FQ308" s="150"/>
      <c r="FR308" s="150"/>
      <c r="FS308" s="150"/>
      <c r="FT308" s="150"/>
      <c r="FU308" s="150"/>
      <c r="FV308" s="150"/>
      <c r="FW308" s="150"/>
      <c r="FX308" s="150"/>
      <c r="FY308" s="150"/>
      <c r="FZ308" s="150"/>
      <c r="GA308" s="150"/>
      <c r="GB308" s="150"/>
      <c r="GC308" s="150"/>
      <c r="GD308" s="150"/>
      <c r="GE308" s="150"/>
      <c r="GF308" s="150"/>
      <c r="GG308" s="150"/>
      <c r="GH308" s="150"/>
      <c r="GI308" s="150"/>
      <c r="GJ308" s="150"/>
      <c r="GK308" s="150"/>
      <c r="GL308" s="150"/>
      <c r="GM308" s="150"/>
      <c r="GN308" s="150"/>
      <c r="GO308" s="150"/>
      <c r="GP308" s="150"/>
      <c r="GQ308" s="150"/>
      <c r="GR308" s="150"/>
      <c r="GS308" s="150"/>
      <c r="GT308" s="150"/>
      <c r="GU308" s="150"/>
      <c r="GV308" s="150"/>
      <c r="GW308" s="150"/>
      <c r="GX308" s="150"/>
      <c r="GY308" s="150"/>
      <c r="GZ308" s="150"/>
      <c r="HA308" s="150"/>
      <c r="HB308" s="150"/>
      <c r="HC308" s="150"/>
      <c r="HD308" s="150"/>
      <c r="HE308" s="150"/>
      <c r="HF308" s="150"/>
      <c r="HG308" s="150"/>
      <c r="HH308" s="150"/>
      <c r="HI308" s="150"/>
      <c r="HJ308" s="150"/>
      <c r="HK308" s="150"/>
      <c r="HL308" s="150"/>
    </row>
    <row r="309" spans="1:220" s="152" customFormat="1" ht="14.25">
      <c r="A309" s="153"/>
      <c r="C309" s="154"/>
      <c r="D309" s="155"/>
      <c r="F309" s="194"/>
      <c r="H309" s="155"/>
      <c r="AJ309" s="156"/>
      <c r="AK309" s="156"/>
      <c r="AQ309" s="154"/>
      <c r="AW309" s="157"/>
      <c r="AX309" s="154"/>
      <c r="AY309" s="158"/>
      <c r="BA309" s="279"/>
      <c r="CH309" s="154"/>
      <c r="CQ309" s="149"/>
      <c r="CS309" s="147"/>
      <c r="CV309" s="150"/>
      <c r="CW309" s="150"/>
      <c r="CX309" s="150"/>
      <c r="CY309" s="150"/>
      <c r="CZ309" s="150"/>
      <c r="DA309" s="150"/>
      <c r="DB309" s="150"/>
      <c r="DC309" s="150"/>
      <c r="DD309" s="150"/>
      <c r="DE309" s="150"/>
      <c r="DF309" s="150"/>
      <c r="DG309" s="150"/>
      <c r="DH309" s="150"/>
      <c r="DI309" s="150"/>
      <c r="DJ309" s="150"/>
      <c r="DK309" s="150"/>
      <c r="DL309" s="150"/>
      <c r="DM309" s="150"/>
      <c r="DN309" s="150"/>
      <c r="DO309" s="150"/>
      <c r="DP309" s="150"/>
      <c r="DQ309" s="150"/>
      <c r="DR309" s="150"/>
      <c r="DS309" s="150"/>
      <c r="DT309" s="150"/>
      <c r="DU309" s="150"/>
      <c r="DV309" s="150"/>
      <c r="DW309" s="150"/>
      <c r="DX309" s="150"/>
      <c r="DY309" s="150"/>
      <c r="DZ309" s="150"/>
      <c r="EA309" s="150"/>
      <c r="EB309" s="150"/>
      <c r="EC309" s="150"/>
      <c r="ED309" s="150"/>
      <c r="EE309" s="150"/>
      <c r="EF309" s="150"/>
      <c r="EG309" s="150"/>
      <c r="EH309" s="150"/>
      <c r="EI309" s="150"/>
      <c r="EJ309" s="150"/>
      <c r="EK309" s="150"/>
      <c r="EL309" s="150"/>
      <c r="EM309" s="150"/>
      <c r="EN309" s="150"/>
      <c r="EO309" s="150"/>
      <c r="EP309" s="150"/>
      <c r="EQ309" s="150"/>
      <c r="ER309" s="150"/>
      <c r="ES309" s="150"/>
      <c r="ET309" s="150"/>
      <c r="EU309" s="150"/>
      <c r="EV309" s="150"/>
      <c r="EW309" s="150"/>
      <c r="EX309" s="150"/>
      <c r="EY309" s="150"/>
      <c r="EZ309" s="150"/>
      <c r="FA309" s="150"/>
      <c r="FB309" s="150"/>
      <c r="FC309" s="150"/>
      <c r="FD309" s="150"/>
      <c r="FE309" s="150"/>
      <c r="FF309" s="150"/>
      <c r="FG309" s="150"/>
      <c r="FH309" s="150"/>
      <c r="FI309" s="150"/>
      <c r="FJ309" s="150"/>
      <c r="FK309" s="150"/>
      <c r="FL309" s="150"/>
      <c r="FM309" s="150"/>
      <c r="FN309" s="150"/>
      <c r="FO309" s="150"/>
      <c r="FP309" s="150"/>
      <c r="FQ309" s="150"/>
      <c r="FR309" s="150"/>
      <c r="FS309" s="150"/>
      <c r="FT309" s="150"/>
      <c r="FU309" s="150"/>
      <c r="FV309" s="150"/>
      <c r="FW309" s="150"/>
      <c r="FX309" s="150"/>
      <c r="FY309" s="150"/>
      <c r="FZ309" s="150"/>
      <c r="GA309" s="150"/>
      <c r="GB309" s="150"/>
      <c r="GC309" s="150"/>
      <c r="GD309" s="150"/>
      <c r="GE309" s="150"/>
      <c r="GF309" s="150"/>
      <c r="GG309" s="150"/>
      <c r="GH309" s="150"/>
      <c r="GI309" s="150"/>
      <c r="GJ309" s="150"/>
      <c r="GK309" s="150"/>
      <c r="GL309" s="150"/>
      <c r="GM309" s="150"/>
      <c r="GN309" s="150"/>
      <c r="GO309" s="150"/>
      <c r="GP309" s="150"/>
      <c r="GQ309" s="150"/>
      <c r="GR309" s="150"/>
      <c r="GS309" s="150"/>
      <c r="GT309" s="150"/>
      <c r="GU309" s="150"/>
      <c r="GV309" s="150"/>
      <c r="GW309" s="150"/>
      <c r="GX309" s="150"/>
      <c r="GY309" s="150"/>
      <c r="GZ309" s="150"/>
      <c r="HA309" s="150"/>
      <c r="HB309" s="150"/>
      <c r="HC309" s="150"/>
      <c r="HD309" s="150"/>
      <c r="HE309" s="150"/>
      <c r="HF309" s="150"/>
      <c r="HG309" s="150"/>
      <c r="HH309" s="150"/>
      <c r="HI309" s="150"/>
      <c r="HJ309" s="150"/>
      <c r="HK309" s="150"/>
      <c r="HL309" s="150"/>
    </row>
    <row r="310" spans="1:220" s="152" customFormat="1" ht="14.25">
      <c r="A310" s="153"/>
      <c r="C310" s="154"/>
      <c r="D310" s="155"/>
      <c r="F310" s="194"/>
      <c r="H310" s="155"/>
      <c r="AJ310" s="156"/>
      <c r="AK310" s="156"/>
      <c r="AQ310" s="154"/>
      <c r="AW310" s="157"/>
      <c r="AX310" s="154"/>
      <c r="AY310" s="158"/>
      <c r="BA310" s="279"/>
      <c r="CH310" s="154"/>
      <c r="CQ310" s="149"/>
      <c r="CS310" s="147"/>
      <c r="CV310" s="150"/>
      <c r="CW310" s="150"/>
      <c r="CX310" s="150"/>
      <c r="CY310" s="150"/>
      <c r="CZ310" s="150"/>
      <c r="DA310" s="150"/>
      <c r="DB310" s="150"/>
      <c r="DC310" s="150"/>
      <c r="DD310" s="150"/>
      <c r="DE310" s="150"/>
      <c r="DF310" s="150"/>
      <c r="DG310" s="150"/>
      <c r="DH310" s="150"/>
      <c r="DI310" s="150"/>
      <c r="DJ310" s="150"/>
      <c r="DK310" s="150"/>
      <c r="DL310" s="150"/>
      <c r="DM310" s="150"/>
      <c r="DN310" s="150"/>
      <c r="DO310" s="150"/>
      <c r="DP310" s="150"/>
      <c r="DQ310" s="150"/>
      <c r="DR310" s="150"/>
      <c r="DS310" s="150"/>
      <c r="DT310" s="150"/>
      <c r="DU310" s="150"/>
      <c r="DV310" s="150"/>
      <c r="DW310" s="150"/>
      <c r="DX310" s="150"/>
      <c r="DY310" s="150"/>
      <c r="DZ310" s="150"/>
      <c r="EA310" s="150"/>
      <c r="EB310" s="150"/>
      <c r="EC310" s="150"/>
      <c r="ED310" s="150"/>
      <c r="EE310" s="150"/>
      <c r="EF310" s="150"/>
      <c r="EG310" s="150"/>
      <c r="EH310" s="150"/>
      <c r="EI310" s="150"/>
      <c r="EJ310" s="150"/>
      <c r="EK310" s="150"/>
      <c r="EL310" s="150"/>
      <c r="EM310" s="150"/>
      <c r="EN310" s="150"/>
      <c r="EO310" s="150"/>
      <c r="EP310" s="150"/>
      <c r="EQ310" s="150"/>
      <c r="ER310" s="150"/>
      <c r="ES310" s="150"/>
      <c r="ET310" s="150"/>
      <c r="EU310" s="150"/>
      <c r="EV310" s="150"/>
      <c r="EW310" s="150"/>
      <c r="EX310" s="150"/>
      <c r="EY310" s="150"/>
      <c r="EZ310" s="150"/>
      <c r="FA310" s="150"/>
      <c r="FB310" s="150"/>
      <c r="FC310" s="150"/>
      <c r="FD310" s="150"/>
      <c r="FE310" s="150"/>
      <c r="FF310" s="150"/>
      <c r="FG310" s="150"/>
      <c r="FH310" s="150"/>
      <c r="FI310" s="150"/>
      <c r="FJ310" s="150"/>
      <c r="FK310" s="150"/>
      <c r="FL310" s="150"/>
      <c r="FM310" s="150"/>
      <c r="FN310" s="150"/>
      <c r="FO310" s="150"/>
      <c r="FP310" s="150"/>
      <c r="FQ310" s="150"/>
      <c r="FR310" s="150"/>
      <c r="FS310" s="150"/>
      <c r="FT310" s="150"/>
      <c r="FU310" s="150"/>
      <c r="FV310" s="150"/>
      <c r="FW310" s="150"/>
      <c r="FX310" s="150"/>
      <c r="FY310" s="150"/>
      <c r="FZ310" s="150"/>
      <c r="GA310" s="150"/>
      <c r="GB310" s="150"/>
      <c r="GC310" s="150"/>
      <c r="GD310" s="150"/>
      <c r="GE310" s="150"/>
      <c r="GF310" s="150"/>
      <c r="GG310" s="150"/>
      <c r="GH310" s="150"/>
      <c r="GI310" s="150"/>
      <c r="GJ310" s="150"/>
      <c r="GK310" s="150"/>
      <c r="GL310" s="150"/>
      <c r="GM310" s="150"/>
      <c r="GN310" s="150"/>
      <c r="GO310" s="150"/>
      <c r="GP310" s="150"/>
      <c r="GQ310" s="150"/>
      <c r="GR310" s="150"/>
      <c r="GS310" s="150"/>
      <c r="GT310" s="150"/>
      <c r="GU310" s="150"/>
      <c r="GV310" s="150"/>
      <c r="GW310" s="150"/>
      <c r="GX310" s="150"/>
      <c r="GY310" s="150"/>
      <c r="GZ310" s="150"/>
      <c r="HA310" s="150"/>
      <c r="HB310" s="150"/>
      <c r="HC310" s="150"/>
      <c r="HD310" s="150"/>
      <c r="HE310" s="150"/>
      <c r="HF310" s="150"/>
      <c r="HG310" s="150"/>
      <c r="HH310" s="150"/>
      <c r="HI310" s="150"/>
      <c r="HJ310" s="150"/>
      <c r="HK310" s="150"/>
      <c r="HL310" s="150"/>
    </row>
    <row r="311" spans="1:220" s="152" customFormat="1" ht="14.25">
      <c r="A311" s="153"/>
      <c r="C311" s="154"/>
      <c r="D311" s="155"/>
      <c r="F311" s="194"/>
      <c r="H311" s="155"/>
      <c r="AJ311" s="156"/>
      <c r="AK311" s="156"/>
      <c r="AQ311" s="154"/>
      <c r="AW311" s="157"/>
      <c r="AX311" s="154"/>
      <c r="AY311" s="158"/>
      <c r="BA311" s="279"/>
      <c r="CH311" s="154"/>
      <c r="CQ311" s="149"/>
      <c r="CS311" s="147"/>
      <c r="CV311" s="150"/>
      <c r="CW311" s="150"/>
      <c r="CX311" s="150"/>
      <c r="CY311" s="150"/>
      <c r="CZ311" s="150"/>
      <c r="DA311" s="150"/>
      <c r="DB311" s="150"/>
      <c r="DC311" s="150"/>
      <c r="DD311" s="150"/>
      <c r="DE311" s="150"/>
      <c r="DF311" s="150"/>
      <c r="DG311" s="150"/>
      <c r="DH311" s="150"/>
      <c r="DI311" s="150"/>
      <c r="DJ311" s="150"/>
      <c r="DK311" s="150"/>
      <c r="DL311" s="150"/>
      <c r="DM311" s="150"/>
      <c r="DN311" s="150"/>
      <c r="DO311" s="150"/>
      <c r="DP311" s="150"/>
      <c r="DQ311" s="150"/>
      <c r="DR311" s="150"/>
      <c r="DS311" s="150"/>
      <c r="DT311" s="150"/>
      <c r="DU311" s="150"/>
      <c r="DV311" s="150"/>
      <c r="DW311" s="150"/>
      <c r="DX311" s="150"/>
      <c r="DY311" s="150"/>
      <c r="DZ311" s="150"/>
      <c r="EA311" s="150"/>
      <c r="EB311" s="150"/>
      <c r="EC311" s="150"/>
      <c r="ED311" s="150"/>
      <c r="EE311" s="150"/>
      <c r="EF311" s="150"/>
      <c r="EG311" s="150"/>
      <c r="EH311" s="150"/>
      <c r="EI311" s="150"/>
      <c r="EJ311" s="150"/>
      <c r="EK311" s="150"/>
      <c r="EL311" s="150"/>
      <c r="EM311" s="150"/>
      <c r="EN311" s="150"/>
      <c r="EO311" s="150"/>
      <c r="EP311" s="150"/>
      <c r="EQ311" s="150"/>
      <c r="ER311" s="150"/>
      <c r="ES311" s="150"/>
      <c r="ET311" s="150"/>
      <c r="EU311" s="150"/>
      <c r="EV311" s="150"/>
      <c r="EW311" s="150"/>
      <c r="EX311" s="150"/>
      <c r="EY311" s="150"/>
      <c r="EZ311" s="150"/>
      <c r="FA311" s="150"/>
      <c r="FB311" s="150"/>
      <c r="FC311" s="150"/>
      <c r="FD311" s="150"/>
      <c r="FE311" s="150"/>
      <c r="FF311" s="150"/>
      <c r="FG311" s="150"/>
      <c r="FH311" s="150"/>
      <c r="FI311" s="150"/>
      <c r="FJ311" s="150"/>
      <c r="FK311" s="150"/>
      <c r="FL311" s="150"/>
      <c r="FM311" s="150"/>
      <c r="FN311" s="150"/>
      <c r="FO311" s="150"/>
      <c r="FP311" s="150"/>
      <c r="FQ311" s="150"/>
      <c r="FR311" s="150"/>
      <c r="FS311" s="150"/>
      <c r="FT311" s="150"/>
      <c r="FU311" s="150"/>
      <c r="FV311" s="150"/>
      <c r="FW311" s="150"/>
      <c r="FX311" s="150"/>
      <c r="FY311" s="150"/>
      <c r="FZ311" s="150"/>
      <c r="GA311" s="150"/>
      <c r="GB311" s="150"/>
      <c r="GC311" s="150"/>
      <c r="GD311" s="150"/>
      <c r="GE311" s="150"/>
      <c r="GF311" s="150"/>
      <c r="GG311" s="150"/>
      <c r="GH311" s="150"/>
      <c r="GI311" s="150"/>
      <c r="GJ311" s="150"/>
      <c r="GK311" s="150"/>
      <c r="GL311" s="150"/>
      <c r="GM311" s="150"/>
      <c r="GN311" s="150"/>
      <c r="GO311" s="150"/>
      <c r="GP311" s="150"/>
      <c r="GQ311" s="150"/>
      <c r="GR311" s="150"/>
      <c r="GS311" s="150"/>
      <c r="GT311" s="150"/>
      <c r="GU311" s="150"/>
      <c r="GV311" s="150"/>
      <c r="GW311" s="150"/>
      <c r="GX311" s="150"/>
      <c r="GY311" s="150"/>
      <c r="GZ311" s="150"/>
      <c r="HA311" s="150"/>
      <c r="HB311" s="150"/>
      <c r="HC311" s="150"/>
      <c r="HD311" s="150"/>
      <c r="HE311" s="150"/>
      <c r="HF311" s="150"/>
      <c r="HG311" s="150"/>
      <c r="HH311" s="150"/>
      <c r="HI311" s="150"/>
      <c r="HJ311" s="150"/>
      <c r="HK311" s="150"/>
      <c r="HL311" s="150"/>
    </row>
    <row r="312" spans="1:220" s="152" customFormat="1" ht="14.25">
      <c r="A312" s="153"/>
      <c r="C312" s="154"/>
      <c r="D312" s="155"/>
      <c r="F312" s="194"/>
      <c r="H312" s="155"/>
      <c r="AJ312" s="156"/>
      <c r="AK312" s="156"/>
      <c r="AQ312" s="154"/>
      <c r="AW312" s="157"/>
      <c r="AX312" s="154"/>
      <c r="AY312" s="158"/>
      <c r="BA312" s="279"/>
      <c r="CH312" s="154"/>
      <c r="CQ312" s="149"/>
      <c r="CS312" s="147"/>
      <c r="CV312" s="150"/>
      <c r="CW312" s="150"/>
      <c r="CX312" s="150"/>
      <c r="CY312" s="150"/>
      <c r="CZ312" s="150"/>
      <c r="DA312" s="150"/>
      <c r="DB312" s="150"/>
      <c r="DC312" s="150"/>
      <c r="DD312" s="150"/>
      <c r="DE312" s="150"/>
      <c r="DF312" s="150"/>
      <c r="DG312" s="150"/>
      <c r="DH312" s="150"/>
      <c r="DI312" s="150"/>
      <c r="DJ312" s="150"/>
      <c r="DK312" s="150"/>
      <c r="DL312" s="150"/>
      <c r="DM312" s="150"/>
      <c r="DN312" s="150"/>
      <c r="DO312" s="150"/>
      <c r="DP312" s="150"/>
      <c r="DQ312" s="150"/>
      <c r="DR312" s="150"/>
      <c r="DS312" s="150"/>
      <c r="DT312" s="150"/>
      <c r="DU312" s="150"/>
      <c r="DV312" s="150"/>
      <c r="DW312" s="150"/>
      <c r="DX312" s="150"/>
      <c r="DY312" s="150"/>
      <c r="DZ312" s="150"/>
      <c r="EA312" s="150"/>
      <c r="EB312" s="150"/>
      <c r="EC312" s="150"/>
      <c r="ED312" s="150"/>
      <c r="EE312" s="150"/>
      <c r="EF312" s="150"/>
      <c r="EG312" s="150"/>
      <c r="EH312" s="150"/>
      <c r="EI312" s="150"/>
      <c r="EJ312" s="150"/>
      <c r="EK312" s="150"/>
      <c r="EL312" s="150"/>
      <c r="EM312" s="150"/>
      <c r="EN312" s="150"/>
      <c r="EO312" s="150"/>
      <c r="EP312" s="150"/>
      <c r="EQ312" s="150"/>
      <c r="ER312" s="150"/>
      <c r="ES312" s="150"/>
      <c r="ET312" s="150"/>
      <c r="EU312" s="150"/>
      <c r="EV312" s="150"/>
      <c r="EW312" s="150"/>
      <c r="EX312" s="150"/>
      <c r="EY312" s="150"/>
      <c r="EZ312" s="150"/>
      <c r="FA312" s="150"/>
      <c r="FB312" s="150"/>
      <c r="FC312" s="150"/>
      <c r="FD312" s="150"/>
      <c r="FE312" s="150"/>
      <c r="FF312" s="150"/>
      <c r="FG312" s="150"/>
      <c r="FH312" s="150"/>
      <c r="FI312" s="150"/>
      <c r="FJ312" s="150"/>
      <c r="FK312" s="150"/>
      <c r="FL312" s="150"/>
      <c r="FM312" s="150"/>
      <c r="FN312" s="150"/>
      <c r="FO312" s="150"/>
      <c r="FP312" s="150"/>
      <c r="FQ312" s="150"/>
      <c r="FR312" s="150"/>
      <c r="FS312" s="150"/>
      <c r="FT312" s="150"/>
      <c r="FU312" s="150"/>
      <c r="FV312" s="150"/>
      <c r="FW312" s="150"/>
      <c r="FX312" s="150"/>
      <c r="FY312" s="150"/>
      <c r="FZ312" s="150"/>
      <c r="GA312" s="150"/>
      <c r="GB312" s="150"/>
      <c r="GC312" s="150"/>
      <c r="GD312" s="150"/>
      <c r="GE312" s="150"/>
      <c r="GF312" s="150"/>
      <c r="GG312" s="150"/>
      <c r="GH312" s="150"/>
      <c r="GI312" s="150"/>
      <c r="GJ312" s="150"/>
      <c r="GK312" s="150"/>
      <c r="GL312" s="150"/>
      <c r="GM312" s="150"/>
      <c r="GN312" s="150"/>
      <c r="GO312" s="150"/>
      <c r="GP312" s="150"/>
      <c r="GQ312" s="150"/>
      <c r="GR312" s="150"/>
      <c r="GS312" s="150"/>
      <c r="GT312" s="150"/>
      <c r="GU312" s="150"/>
      <c r="GV312" s="150"/>
      <c r="GW312" s="150"/>
      <c r="GX312" s="150"/>
      <c r="GY312" s="150"/>
      <c r="GZ312" s="150"/>
      <c r="HA312" s="150"/>
      <c r="HB312" s="150"/>
      <c r="HC312" s="150"/>
      <c r="HD312" s="150"/>
      <c r="HE312" s="150"/>
      <c r="HF312" s="150"/>
      <c r="HG312" s="150"/>
      <c r="HH312" s="150"/>
      <c r="HI312" s="150"/>
      <c r="HJ312" s="150"/>
      <c r="HK312" s="150"/>
      <c r="HL312" s="150"/>
    </row>
    <row r="313" spans="1:220" s="152" customFormat="1" ht="14.25">
      <c r="A313" s="153"/>
      <c r="C313" s="154"/>
      <c r="D313" s="155"/>
      <c r="F313" s="194"/>
      <c r="H313" s="155"/>
      <c r="AJ313" s="156"/>
      <c r="AK313" s="156"/>
      <c r="AQ313" s="154"/>
      <c r="AW313" s="157"/>
      <c r="AX313" s="154"/>
      <c r="AY313" s="158"/>
      <c r="BA313" s="279"/>
      <c r="CH313" s="154"/>
      <c r="CQ313" s="149"/>
      <c r="CS313" s="147"/>
      <c r="CV313" s="150"/>
      <c r="CW313" s="150"/>
      <c r="CX313" s="150"/>
      <c r="CY313" s="150"/>
      <c r="CZ313" s="150"/>
      <c r="DA313" s="150"/>
      <c r="DB313" s="150"/>
      <c r="DC313" s="150"/>
      <c r="DD313" s="150"/>
      <c r="DE313" s="150"/>
      <c r="DF313" s="150"/>
      <c r="DG313" s="150"/>
      <c r="DH313" s="150"/>
      <c r="DI313" s="150"/>
      <c r="DJ313" s="150"/>
      <c r="DK313" s="150"/>
      <c r="DL313" s="150"/>
      <c r="DM313" s="150"/>
      <c r="DN313" s="150"/>
      <c r="DO313" s="150"/>
      <c r="DP313" s="150"/>
      <c r="DQ313" s="150"/>
      <c r="DR313" s="150"/>
      <c r="DS313" s="150"/>
      <c r="DT313" s="150"/>
      <c r="DU313" s="150"/>
      <c r="DV313" s="150"/>
      <c r="DW313" s="150"/>
      <c r="DX313" s="150"/>
      <c r="DY313" s="150"/>
      <c r="DZ313" s="150"/>
      <c r="EA313" s="150"/>
      <c r="EB313" s="150"/>
      <c r="EC313" s="150"/>
      <c r="ED313" s="150"/>
      <c r="EE313" s="150"/>
      <c r="EF313" s="150"/>
      <c r="EG313" s="150"/>
      <c r="EH313" s="150"/>
      <c r="EI313" s="150"/>
      <c r="EJ313" s="150"/>
      <c r="EK313" s="150"/>
      <c r="EL313" s="150"/>
      <c r="EM313" s="150"/>
      <c r="EN313" s="150"/>
      <c r="EO313" s="150"/>
      <c r="EP313" s="150"/>
      <c r="EQ313" s="150"/>
      <c r="ER313" s="150"/>
      <c r="ES313" s="150"/>
      <c r="ET313" s="150"/>
      <c r="EU313" s="150"/>
      <c r="EV313" s="150"/>
      <c r="EW313" s="150"/>
      <c r="EX313" s="150"/>
      <c r="EY313" s="150"/>
      <c r="EZ313" s="150"/>
      <c r="FA313" s="150"/>
      <c r="FB313" s="150"/>
      <c r="FC313" s="150"/>
      <c r="FD313" s="150"/>
      <c r="FE313" s="150"/>
      <c r="FF313" s="150"/>
      <c r="FG313" s="150"/>
      <c r="FH313" s="150"/>
      <c r="FI313" s="150"/>
      <c r="FJ313" s="150"/>
      <c r="FK313" s="150"/>
      <c r="FL313" s="150"/>
      <c r="FM313" s="150"/>
      <c r="FN313" s="150"/>
      <c r="FO313" s="150"/>
      <c r="FP313" s="150"/>
      <c r="FQ313" s="150"/>
      <c r="FR313" s="150"/>
      <c r="FS313" s="150"/>
      <c r="FT313" s="150"/>
      <c r="FU313" s="150"/>
      <c r="FV313" s="150"/>
      <c r="FW313" s="150"/>
      <c r="FX313" s="150"/>
      <c r="FY313" s="150"/>
      <c r="FZ313" s="150"/>
      <c r="GA313" s="150"/>
      <c r="GB313" s="150"/>
      <c r="GC313" s="150"/>
      <c r="GD313" s="150"/>
      <c r="GE313" s="150"/>
      <c r="GF313" s="150"/>
      <c r="GG313" s="150"/>
      <c r="GH313" s="150"/>
      <c r="GI313" s="150"/>
      <c r="GJ313" s="150"/>
      <c r="GK313" s="150"/>
      <c r="GL313" s="150"/>
      <c r="GM313" s="150"/>
      <c r="GN313" s="150"/>
      <c r="GO313" s="150"/>
      <c r="GP313" s="150"/>
      <c r="GQ313" s="150"/>
      <c r="GR313" s="150"/>
      <c r="GS313" s="150"/>
      <c r="GT313" s="150"/>
      <c r="GU313" s="150"/>
      <c r="GV313" s="150"/>
      <c r="GW313" s="150"/>
      <c r="GX313" s="150"/>
      <c r="GY313" s="150"/>
      <c r="GZ313" s="150"/>
      <c r="HA313" s="150"/>
      <c r="HB313" s="150"/>
      <c r="HC313" s="150"/>
      <c r="HD313" s="150"/>
      <c r="HE313" s="150"/>
      <c r="HF313" s="150"/>
      <c r="HG313" s="150"/>
      <c r="HH313" s="150"/>
      <c r="HI313" s="150"/>
      <c r="HJ313" s="150"/>
      <c r="HK313" s="150"/>
      <c r="HL313" s="150"/>
    </row>
    <row r="314" spans="1:220" s="152" customFormat="1" ht="14.25">
      <c r="A314" s="153"/>
      <c r="C314" s="154"/>
      <c r="D314" s="155"/>
      <c r="F314" s="194"/>
      <c r="H314" s="155"/>
      <c r="AJ314" s="156"/>
      <c r="AK314" s="156"/>
      <c r="AQ314" s="154"/>
      <c r="AW314" s="157"/>
      <c r="AX314" s="154"/>
      <c r="AY314" s="158"/>
      <c r="BA314" s="279"/>
      <c r="CH314" s="154"/>
      <c r="CQ314" s="149"/>
      <c r="CS314" s="147"/>
      <c r="CV314" s="150"/>
      <c r="CW314" s="150"/>
      <c r="CX314" s="150"/>
      <c r="CY314" s="150"/>
      <c r="CZ314" s="150"/>
      <c r="DA314" s="150"/>
      <c r="DB314" s="150"/>
      <c r="DC314" s="150"/>
      <c r="DD314" s="150"/>
      <c r="DE314" s="150"/>
      <c r="DF314" s="150"/>
      <c r="DG314" s="150"/>
      <c r="DH314" s="150"/>
      <c r="DI314" s="150"/>
      <c r="DJ314" s="150"/>
      <c r="DK314" s="150"/>
      <c r="DL314" s="150"/>
      <c r="DM314" s="150"/>
      <c r="DN314" s="150"/>
      <c r="DO314" s="150"/>
      <c r="DP314" s="150"/>
      <c r="DQ314" s="150"/>
      <c r="DR314" s="150"/>
      <c r="DS314" s="150"/>
      <c r="DT314" s="150"/>
      <c r="DU314" s="150"/>
      <c r="DV314" s="150"/>
      <c r="DW314" s="150"/>
      <c r="DX314" s="150"/>
      <c r="DY314" s="150"/>
      <c r="DZ314" s="150"/>
      <c r="EA314" s="150"/>
      <c r="EB314" s="150"/>
      <c r="EC314" s="150"/>
      <c r="ED314" s="150"/>
      <c r="EE314" s="150"/>
      <c r="EF314" s="150"/>
      <c r="EG314" s="150"/>
      <c r="EH314" s="150"/>
      <c r="EI314" s="150"/>
      <c r="EJ314" s="150"/>
      <c r="EK314" s="150"/>
      <c r="EL314" s="150"/>
      <c r="EM314" s="150"/>
      <c r="EN314" s="150"/>
      <c r="EO314" s="150"/>
      <c r="EP314" s="150"/>
      <c r="EQ314" s="150"/>
      <c r="ER314" s="150"/>
      <c r="ES314" s="150"/>
      <c r="ET314" s="150"/>
      <c r="EU314" s="150"/>
      <c r="EV314" s="150"/>
      <c r="EW314" s="150"/>
      <c r="EX314" s="150"/>
      <c r="EY314" s="150"/>
      <c r="EZ314" s="150"/>
      <c r="FA314" s="150"/>
      <c r="FB314" s="150"/>
      <c r="FC314" s="150"/>
      <c r="FD314" s="150"/>
      <c r="FE314" s="150"/>
      <c r="FF314" s="150"/>
      <c r="FG314" s="150"/>
      <c r="FH314" s="150"/>
      <c r="FI314" s="150"/>
      <c r="FJ314" s="150"/>
      <c r="FK314" s="150"/>
      <c r="FL314" s="150"/>
      <c r="FM314" s="150"/>
      <c r="FN314" s="150"/>
      <c r="FO314" s="150"/>
      <c r="FP314" s="150"/>
      <c r="FQ314" s="150"/>
      <c r="FR314" s="150"/>
      <c r="FS314" s="150"/>
      <c r="FT314" s="150"/>
      <c r="FU314" s="150"/>
      <c r="FV314" s="150"/>
      <c r="FW314" s="150"/>
      <c r="FX314" s="150"/>
      <c r="FY314" s="150"/>
      <c r="FZ314" s="150"/>
      <c r="GA314" s="150"/>
      <c r="GB314" s="150"/>
      <c r="GC314" s="150"/>
      <c r="GD314" s="150"/>
      <c r="GE314" s="150"/>
      <c r="GF314" s="150"/>
      <c r="GG314" s="150"/>
      <c r="GH314" s="150"/>
      <c r="GI314" s="150"/>
      <c r="GJ314" s="150"/>
      <c r="GK314" s="150"/>
      <c r="GL314" s="150"/>
      <c r="GM314" s="150"/>
      <c r="GN314" s="150"/>
      <c r="GO314" s="150"/>
      <c r="GP314" s="150"/>
      <c r="GQ314" s="150"/>
      <c r="GR314" s="150"/>
      <c r="GS314" s="150"/>
      <c r="GT314" s="150"/>
      <c r="GU314" s="150"/>
      <c r="GV314" s="150"/>
      <c r="GW314" s="150"/>
      <c r="GX314" s="150"/>
      <c r="GY314" s="150"/>
      <c r="GZ314" s="150"/>
      <c r="HA314" s="150"/>
      <c r="HB314" s="150"/>
      <c r="HC314" s="150"/>
      <c r="HD314" s="150"/>
      <c r="HE314" s="150"/>
      <c r="HF314" s="150"/>
      <c r="HG314" s="150"/>
      <c r="HH314" s="150"/>
      <c r="HI314" s="150"/>
      <c r="HJ314" s="150"/>
      <c r="HK314" s="150"/>
      <c r="HL314" s="150"/>
    </row>
    <row r="315" spans="1:220" s="152" customFormat="1" ht="14.25">
      <c r="A315" s="153"/>
      <c r="C315" s="154"/>
      <c r="D315" s="155"/>
      <c r="F315" s="194"/>
      <c r="H315" s="155"/>
      <c r="AJ315" s="156"/>
      <c r="AK315" s="156"/>
      <c r="AQ315" s="154"/>
      <c r="AW315" s="157"/>
      <c r="AX315" s="154"/>
      <c r="AY315" s="158"/>
      <c r="BA315" s="279"/>
      <c r="CH315" s="154"/>
      <c r="CQ315" s="149"/>
      <c r="CS315" s="147"/>
      <c r="CV315" s="150"/>
      <c r="CW315" s="150"/>
      <c r="CX315" s="150"/>
      <c r="CY315" s="150"/>
      <c r="CZ315" s="150"/>
      <c r="DA315" s="150"/>
      <c r="DB315" s="150"/>
      <c r="DC315" s="150"/>
      <c r="DD315" s="150"/>
      <c r="DE315" s="150"/>
      <c r="DF315" s="150"/>
      <c r="DG315" s="150"/>
      <c r="DH315" s="150"/>
      <c r="DI315" s="150"/>
      <c r="DJ315" s="150"/>
      <c r="DK315" s="150"/>
      <c r="DL315" s="150"/>
      <c r="DM315" s="150"/>
      <c r="DN315" s="150"/>
      <c r="DO315" s="150"/>
      <c r="DP315" s="150"/>
      <c r="DQ315" s="150"/>
      <c r="DR315" s="150"/>
      <c r="DS315" s="150"/>
      <c r="DT315" s="150"/>
      <c r="DU315" s="150"/>
      <c r="DV315" s="150"/>
      <c r="DW315" s="150"/>
      <c r="DX315" s="150"/>
      <c r="DY315" s="150"/>
      <c r="DZ315" s="150"/>
      <c r="EA315" s="150"/>
      <c r="EB315" s="150"/>
      <c r="EC315" s="150"/>
      <c r="ED315" s="150"/>
      <c r="EE315" s="150"/>
      <c r="EF315" s="150"/>
      <c r="EG315" s="150"/>
      <c r="EH315" s="150"/>
      <c r="EI315" s="150"/>
      <c r="EJ315" s="150"/>
      <c r="EK315" s="150"/>
      <c r="EL315" s="150"/>
      <c r="EM315" s="150"/>
      <c r="EN315" s="150"/>
      <c r="EO315" s="150"/>
      <c r="EP315" s="150"/>
      <c r="EQ315" s="150"/>
      <c r="ER315" s="150"/>
      <c r="ES315" s="150"/>
      <c r="ET315" s="150"/>
      <c r="EU315" s="150"/>
      <c r="EV315" s="150"/>
      <c r="EW315" s="150"/>
      <c r="EX315" s="150"/>
      <c r="EY315" s="150"/>
      <c r="EZ315" s="150"/>
      <c r="FA315" s="150"/>
      <c r="FB315" s="150"/>
      <c r="FC315" s="150"/>
      <c r="FD315" s="150"/>
      <c r="FE315" s="150"/>
      <c r="FF315" s="150"/>
      <c r="FG315" s="150"/>
      <c r="FH315" s="150"/>
      <c r="FI315" s="150"/>
      <c r="FJ315" s="150"/>
      <c r="FK315" s="150"/>
      <c r="FL315" s="150"/>
      <c r="FM315" s="150"/>
      <c r="FN315" s="150"/>
      <c r="FO315" s="150"/>
      <c r="FP315" s="150"/>
      <c r="FQ315" s="150"/>
      <c r="FR315" s="150"/>
      <c r="FS315" s="150"/>
      <c r="FT315" s="150"/>
      <c r="FU315" s="150"/>
      <c r="FV315" s="150"/>
      <c r="FW315" s="150"/>
      <c r="FX315" s="150"/>
      <c r="FY315" s="150"/>
      <c r="FZ315" s="150"/>
      <c r="GA315" s="150"/>
      <c r="GB315" s="150"/>
      <c r="GC315" s="150"/>
      <c r="GD315" s="150"/>
      <c r="GE315" s="150"/>
      <c r="GF315" s="150"/>
      <c r="GG315" s="150"/>
      <c r="GH315" s="150"/>
      <c r="GI315" s="150"/>
      <c r="GJ315" s="150"/>
      <c r="GK315" s="150"/>
      <c r="GL315" s="150"/>
      <c r="GM315" s="150"/>
      <c r="GN315" s="150"/>
      <c r="GO315" s="150"/>
      <c r="GP315" s="150"/>
      <c r="GQ315" s="150"/>
      <c r="GR315" s="150"/>
      <c r="GS315" s="150"/>
      <c r="GT315" s="150"/>
      <c r="GU315" s="150"/>
      <c r="GV315" s="150"/>
      <c r="GW315" s="150"/>
      <c r="GX315" s="150"/>
      <c r="GY315" s="150"/>
      <c r="GZ315" s="150"/>
      <c r="HA315" s="150"/>
      <c r="HB315" s="150"/>
      <c r="HC315" s="150"/>
      <c r="HD315" s="150"/>
      <c r="HE315" s="150"/>
      <c r="HF315" s="150"/>
      <c r="HG315" s="150"/>
      <c r="HH315" s="150"/>
      <c r="HI315" s="150"/>
      <c r="HJ315" s="150"/>
      <c r="HK315" s="150"/>
      <c r="HL315" s="150"/>
    </row>
    <row r="316" spans="1:220" s="152" customFormat="1" ht="14.25">
      <c r="A316" s="153"/>
      <c r="C316" s="154"/>
      <c r="D316" s="155"/>
      <c r="F316" s="194"/>
      <c r="H316" s="155"/>
      <c r="AJ316" s="156"/>
      <c r="AK316" s="156"/>
      <c r="AQ316" s="154"/>
      <c r="AW316" s="157"/>
      <c r="AX316" s="154"/>
      <c r="AY316" s="158"/>
      <c r="BA316" s="279"/>
      <c r="CH316" s="154"/>
      <c r="CQ316" s="149"/>
      <c r="CS316" s="147"/>
      <c r="CV316" s="150"/>
      <c r="CW316" s="150"/>
      <c r="CX316" s="150"/>
      <c r="CY316" s="150"/>
      <c r="CZ316" s="150"/>
      <c r="DA316" s="150"/>
      <c r="DB316" s="150"/>
      <c r="DC316" s="150"/>
      <c r="DD316" s="150"/>
      <c r="DE316" s="150"/>
      <c r="DF316" s="150"/>
      <c r="DG316" s="150"/>
      <c r="DH316" s="150"/>
      <c r="DI316" s="150"/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/>
      <c r="GE316" s="150"/>
      <c r="GF316" s="150"/>
      <c r="GG316" s="150"/>
      <c r="GH316" s="150"/>
      <c r="GI316" s="150"/>
      <c r="GJ316" s="150"/>
      <c r="GK316" s="150"/>
      <c r="GL316" s="150"/>
      <c r="GM316" s="150"/>
      <c r="GN316" s="150"/>
      <c r="GO316" s="150"/>
      <c r="GP316" s="150"/>
      <c r="GQ316" s="150"/>
      <c r="GR316" s="150"/>
      <c r="GS316" s="150"/>
      <c r="GT316" s="150"/>
      <c r="GU316" s="150"/>
      <c r="GV316" s="150"/>
      <c r="GW316" s="150"/>
      <c r="GX316" s="150"/>
      <c r="GY316" s="150"/>
      <c r="GZ316" s="150"/>
      <c r="HA316" s="150"/>
      <c r="HB316" s="150"/>
      <c r="HC316" s="150"/>
      <c r="HD316" s="150"/>
      <c r="HE316" s="150"/>
      <c r="HF316" s="150"/>
      <c r="HG316" s="150"/>
      <c r="HH316" s="150"/>
      <c r="HI316" s="150"/>
      <c r="HJ316" s="150"/>
      <c r="HK316" s="150"/>
      <c r="HL316" s="150"/>
    </row>
    <row r="317" spans="1:220" s="152" customFormat="1" ht="14.25">
      <c r="A317" s="153"/>
      <c r="C317" s="154"/>
      <c r="D317" s="155"/>
      <c r="F317" s="194"/>
      <c r="H317" s="155"/>
      <c r="AJ317" s="156"/>
      <c r="AK317" s="156"/>
      <c r="AQ317" s="154"/>
      <c r="AW317" s="157"/>
      <c r="AX317" s="154"/>
      <c r="AY317" s="158"/>
      <c r="BA317" s="279"/>
      <c r="CH317" s="154"/>
      <c r="CQ317" s="149"/>
      <c r="CS317" s="147"/>
      <c r="CV317" s="150"/>
      <c r="CW317" s="150"/>
      <c r="CX317" s="150"/>
      <c r="CY317" s="150"/>
      <c r="CZ317" s="150"/>
      <c r="DA317" s="150"/>
      <c r="DB317" s="150"/>
      <c r="DC317" s="150"/>
      <c r="DD317" s="150"/>
      <c r="DE317" s="150"/>
      <c r="DF317" s="150"/>
      <c r="DG317" s="150"/>
      <c r="DH317" s="150"/>
      <c r="DI317" s="150"/>
      <c r="DJ317" s="150"/>
      <c r="DK317" s="150"/>
      <c r="DL317" s="150"/>
      <c r="DM317" s="150"/>
      <c r="DN317" s="150"/>
      <c r="DO317" s="150"/>
      <c r="DP317" s="150"/>
      <c r="DQ317" s="150"/>
      <c r="DR317" s="150"/>
      <c r="DS317" s="150"/>
      <c r="DT317" s="150"/>
      <c r="DU317" s="150"/>
      <c r="DV317" s="150"/>
      <c r="DW317" s="150"/>
      <c r="DX317" s="150"/>
      <c r="DY317" s="150"/>
      <c r="DZ317" s="150"/>
      <c r="EA317" s="150"/>
      <c r="EB317" s="150"/>
      <c r="EC317" s="150"/>
      <c r="ED317" s="150"/>
      <c r="EE317" s="150"/>
      <c r="EF317" s="150"/>
      <c r="EG317" s="150"/>
      <c r="EH317" s="150"/>
      <c r="EI317" s="150"/>
      <c r="EJ317" s="150"/>
      <c r="EK317" s="150"/>
      <c r="EL317" s="150"/>
      <c r="EM317" s="150"/>
      <c r="EN317" s="150"/>
      <c r="EO317" s="150"/>
      <c r="EP317" s="150"/>
      <c r="EQ317" s="150"/>
      <c r="ER317" s="150"/>
      <c r="ES317" s="150"/>
      <c r="ET317" s="150"/>
      <c r="EU317" s="150"/>
      <c r="EV317" s="150"/>
      <c r="EW317" s="150"/>
      <c r="EX317" s="150"/>
      <c r="EY317" s="150"/>
      <c r="EZ317" s="150"/>
      <c r="FA317" s="150"/>
      <c r="FB317" s="150"/>
      <c r="FC317" s="150"/>
      <c r="FD317" s="150"/>
      <c r="FE317" s="150"/>
      <c r="FF317" s="150"/>
      <c r="FG317" s="150"/>
      <c r="FH317" s="150"/>
      <c r="FI317" s="150"/>
      <c r="FJ317" s="150"/>
      <c r="FK317" s="150"/>
      <c r="FL317" s="150"/>
      <c r="FM317" s="150"/>
      <c r="FN317" s="150"/>
      <c r="FO317" s="150"/>
      <c r="FP317" s="150"/>
      <c r="FQ317" s="150"/>
      <c r="FR317" s="150"/>
      <c r="FS317" s="150"/>
      <c r="FT317" s="150"/>
      <c r="FU317" s="150"/>
      <c r="FV317" s="150"/>
      <c r="FW317" s="150"/>
      <c r="FX317" s="150"/>
      <c r="FY317" s="150"/>
      <c r="FZ317" s="150"/>
      <c r="GA317" s="150"/>
      <c r="GB317" s="150"/>
      <c r="GC317" s="150"/>
      <c r="GD317" s="150"/>
      <c r="GE317" s="150"/>
      <c r="GF317" s="150"/>
      <c r="GG317" s="150"/>
      <c r="GH317" s="150"/>
      <c r="GI317" s="150"/>
      <c r="GJ317" s="150"/>
      <c r="GK317" s="150"/>
      <c r="GL317" s="150"/>
      <c r="GM317" s="150"/>
      <c r="GN317" s="150"/>
      <c r="GO317" s="150"/>
      <c r="GP317" s="150"/>
      <c r="GQ317" s="150"/>
      <c r="GR317" s="150"/>
      <c r="GS317" s="150"/>
      <c r="GT317" s="150"/>
      <c r="GU317" s="150"/>
      <c r="GV317" s="150"/>
      <c r="GW317" s="150"/>
      <c r="GX317" s="150"/>
      <c r="GY317" s="150"/>
      <c r="GZ317" s="150"/>
      <c r="HA317" s="150"/>
      <c r="HB317" s="150"/>
      <c r="HC317" s="150"/>
      <c r="HD317" s="150"/>
      <c r="HE317" s="150"/>
      <c r="HF317" s="150"/>
      <c r="HG317" s="150"/>
      <c r="HH317" s="150"/>
      <c r="HI317" s="150"/>
      <c r="HJ317" s="150"/>
      <c r="HK317" s="150"/>
      <c r="HL317" s="150"/>
    </row>
    <row r="318" spans="1:220" s="152" customFormat="1" ht="14.25">
      <c r="A318" s="153"/>
      <c r="C318" s="154"/>
      <c r="D318" s="155"/>
      <c r="F318" s="194"/>
      <c r="H318" s="155"/>
      <c r="AJ318" s="156"/>
      <c r="AK318" s="156"/>
      <c r="AQ318" s="154"/>
      <c r="AW318" s="157"/>
      <c r="AX318" s="154"/>
      <c r="AY318" s="158"/>
      <c r="BA318" s="279"/>
      <c r="CH318" s="154"/>
      <c r="CQ318" s="149"/>
      <c r="CS318" s="147"/>
      <c r="CV318" s="150"/>
      <c r="CW318" s="150"/>
      <c r="CX318" s="150"/>
      <c r="CY318" s="150"/>
      <c r="CZ318" s="150"/>
      <c r="DA318" s="150"/>
      <c r="DB318" s="150"/>
      <c r="DC318" s="150"/>
      <c r="DD318" s="150"/>
      <c r="DE318" s="150"/>
      <c r="DF318" s="150"/>
      <c r="DG318" s="150"/>
      <c r="DH318" s="150"/>
      <c r="DI318" s="150"/>
      <c r="DJ318" s="150"/>
      <c r="DK318" s="150"/>
      <c r="DL318" s="150"/>
      <c r="DM318" s="150"/>
      <c r="DN318" s="150"/>
      <c r="DO318" s="150"/>
      <c r="DP318" s="150"/>
      <c r="DQ318" s="150"/>
      <c r="DR318" s="150"/>
      <c r="DS318" s="150"/>
      <c r="DT318" s="150"/>
      <c r="DU318" s="150"/>
      <c r="DV318" s="150"/>
      <c r="DW318" s="150"/>
      <c r="DX318" s="150"/>
      <c r="DY318" s="150"/>
      <c r="DZ318" s="150"/>
      <c r="EA318" s="150"/>
      <c r="EB318" s="150"/>
      <c r="EC318" s="150"/>
      <c r="ED318" s="150"/>
      <c r="EE318" s="150"/>
      <c r="EF318" s="150"/>
      <c r="EG318" s="150"/>
      <c r="EH318" s="150"/>
      <c r="EI318" s="150"/>
      <c r="EJ318" s="150"/>
      <c r="EK318" s="150"/>
      <c r="EL318" s="150"/>
      <c r="EM318" s="150"/>
      <c r="EN318" s="150"/>
      <c r="EO318" s="150"/>
      <c r="EP318" s="150"/>
      <c r="EQ318" s="150"/>
      <c r="ER318" s="150"/>
      <c r="ES318" s="150"/>
      <c r="ET318" s="150"/>
      <c r="EU318" s="150"/>
      <c r="EV318" s="150"/>
      <c r="EW318" s="150"/>
      <c r="EX318" s="150"/>
      <c r="EY318" s="150"/>
      <c r="EZ318" s="150"/>
      <c r="FA318" s="150"/>
      <c r="FB318" s="150"/>
      <c r="FC318" s="150"/>
      <c r="FD318" s="150"/>
      <c r="FE318" s="150"/>
      <c r="FF318" s="150"/>
      <c r="FG318" s="150"/>
      <c r="FH318" s="150"/>
      <c r="FI318" s="150"/>
      <c r="FJ318" s="150"/>
      <c r="FK318" s="150"/>
      <c r="FL318" s="150"/>
      <c r="FM318" s="150"/>
      <c r="FN318" s="150"/>
      <c r="FO318" s="150"/>
      <c r="FP318" s="150"/>
      <c r="FQ318" s="150"/>
      <c r="FR318" s="150"/>
      <c r="FS318" s="150"/>
      <c r="FT318" s="150"/>
      <c r="FU318" s="150"/>
      <c r="FV318" s="150"/>
      <c r="FW318" s="150"/>
      <c r="FX318" s="150"/>
      <c r="FY318" s="150"/>
      <c r="FZ318" s="150"/>
      <c r="GA318" s="150"/>
      <c r="GB318" s="150"/>
      <c r="GC318" s="150"/>
      <c r="GD318" s="150"/>
      <c r="GE318" s="150"/>
      <c r="GF318" s="150"/>
      <c r="GG318" s="150"/>
      <c r="GH318" s="150"/>
      <c r="GI318" s="150"/>
      <c r="GJ318" s="150"/>
      <c r="GK318" s="150"/>
      <c r="GL318" s="150"/>
      <c r="GM318" s="150"/>
      <c r="GN318" s="150"/>
      <c r="GO318" s="150"/>
      <c r="GP318" s="150"/>
      <c r="GQ318" s="150"/>
      <c r="GR318" s="150"/>
      <c r="GS318" s="150"/>
      <c r="GT318" s="150"/>
      <c r="GU318" s="150"/>
      <c r="GV318" s="150"/>
      <c r="GW318" s="150"/>
      <c r="GX318" s="150"/>
      <c r="GY318" s="150"/>
      <c r="GZ318" s="150"/>
      <c r="HA318" s="150"/>
      <c r="HB318" s="150"/>
      <c r="HC318" s="150"/>
      <c r="HD318" s="150"/>
      <c r="HE318" s="150"/>
      <c r="HF318" s="150"/>
      <c r="HG318" s="150"/>
      <c r="HH318" s="150"/>
      <c r="HI318" s="150"/>
      <c r="HJ318" s="150"/>
      <c r="HK318" s="150"/>
      <c r="HL318" s="150"/>
    </row>
    <row r="319" spans="1:220" s="152" customFormat="1" ht="14.25">
      <c r="A319" s="153"/>
      <c r="C319" s="154"/>
      <c r="D319" s="155"/>
      <c r="F319" s="194"/>
      <c r="H319" s="155"/>
      <c r="AJ319" s="156"/>
      <c r="AK319" s="156"/>
      <c r="AQ319" s="154"/>
      <c r="AW319" s="157"/>
      <c r="AX319" s="154"/>
      <c r="AY319" s="158"/>
      <c r="BA319" s="279"/>
      <c r="CH319" s="154"/>
      <c r="CQ319" s="149"/>
      <c r="CS319" s="147"/>
      <c r="CV319" s="150"/>
      <c r="CW319" s="150"/>
      <c r="CX319" s="150"/>
      <c r="CY319" s="150"/>
      <c r="CZ319" s="150"/>
      <c r="DA319" s="150"/>
      <c r="DB319" s="150"/>
      <c r="DC319" s="150"/>
      <c r="DD319" s="150"/>
      <c r="DE319" s="150"/>
      <c r="DF319" s="150"/>
      <c r="DG319" s="150"/>
      <c r="DH319" s="150"/>
      <c r="DI319" s="150"/>
      <c r="DJ319" s="150"/>
      <c r="DK319" s="150"/>
      <c r="DL319" s="150"/>
      <c r="DM319" s="150"/>
      <c r="DN319" s="150"/>
      <c r="DO319" s="150"/>
      <c r="DP319" s="150"/>
      <c r="DQ319" s="150"/>
      <c r="DR319" s="150"/>
      <c r="DS319" s="150"/>
      <c r="DT319" s="150"/>
      <c r="DU319" s="150"/>
      <c r="DV319" s="150"/>
      <c r="DW319" s="150"/>
      <c r="DX319" s="150"/>
      <c r="DY319" s="150"/>
      <c r="DZ319" s="150"/>
      <c r="EA319" s="150"/>
      <c r="EB319" s="150"/>
      <c r="EC319" s="150"/>
      <c r="ED319" s="150"/>
      <c r="EE319" s="150"/>
      <c r="EF319" s="150"/>
      <c r="EG319" s="150"/>
      <c r="EH319" s="150"/>
      <c r="EI319" s="150"/>
      <c r="EJ319" s="150"/>
      <c r="EK319" s="150"/>
      <c r="EL319" s="150"/>
      <c r="EM319" s="150"/>
      <c r="EN319" s="150"/>
      <c r="EO319" s="150"/>
      <c r="EP319" s="150"/>
      <c r="EQ319" s="150"/>
      <c r="ER319" s="150"/>
      <c r="ES319" s="150"/>
      <c r="ET319" s="150"/>
      <c r="EU319" s="150"/>
      <c r="EV319" s="150"/>
      <c r="EW319" s="150"/>
      <c r="EX319" s="150"/>
      <c r="EY319" s="150"/>
      <c r="EZ319" s="150"/>
      <c r="FA319" s="150"/>
      <c r="FB319" s="150"/>
      <c r="FC319" s="150"/>
      <c r="FD319" s="150"/>
      <c r="FE319" s="150"/>
      <c r="FF319" s="150"/>
      <c r="FG319" s="150"/>
      <c r="FH319" s="150"/>
      <c r="FI319" s="150"/>
      <c r="FJ319" s="150"/>
      <c r="FK319" s="150"/>
      <c r="FL319" s="150"/>
      <c r="FM319" s="150"/>
      <c r="FN319" s="150"/>
      <c r="FO319" s="150"/>
      <c r="FP319" s="150"/>
      <c r="FQ319" s="150"/>
      <c r="FR319" s="150"/>
      <c r="FS319" s="150"/>
      <c r="FT319" s="150"/>
      <c r="FU319" s="150"/>
      <c r="FV319" s="150"/>
      <c r="FW319" s="150"/>
      <c r="FX319" s="150"/>
      <c r="FY319" s="150"/>
      <c r="FZ319" s="150"/>
      <c r="GA319" s="150"/>
      <c r="GB319" s="150"/>
      <c r="GC319" s="150"/>
      <c r="GD319" s="150"/>
      <c r="GE319" s="150"/>
      <c r="GF319" s="150"/>
      <c r="GG319" s="150"/>
      <c r="GH319" s="150"/>
      <c r="GI319" s="150"/>
      <c r="GJ319" s="150"/>
      <c r="GK319" s="150"/>
      <c r="GL319" s="150"/>
      <c r="GM319" s="150"/>
      <c r="GN319" s="150"/>
      <c r="GO319" s="150"/>
      <c r="GP319" s="150"/>
      <c r="GQ319" s="150"/>
      <c r="GR319" s="150"/>
      <c r="GS319" s="150"/>
      <c r="GT319" s="150"/>
      <c r="GU319" s="150"/>
      <c r="GV319" s="150"/>
      <c r="GW319" s="150"/>
      <c r="GX319" s="150"/>
      <c r="GY319" s="150"/>
      <c r="GZ319" s="150"/>
      <c r="HA319" s="150"/>
      <c r="HB319" s="150"/>
      <c r="HC319" s="150"/>
      <c r="HD319" s="150"/>
      <c r="HE319" s="150"/>
      <c r="HF319" s="150"/>
      <c r="HG319" s="150"/>
      <c r="HH319" s="150"/>
      <c r="HI319" s="150"/>
      <c r="HJ319" s="150"/>
      <c r="HK319" s="150"/>
      <c r="HL319" s="150"/>
    </row>
    <row r="320" spans="1:220" s="152" customFormat="1" ht="14.25">
      <c r="A320" s="153"/>
      <c r="C320" s="154"/>
      <c r="D320" s="155"/>
      <c r="F320" s="194"/>
      <c r="H320" s="155"/>
      <c r="AJ320" s="156"/>
      <c r="AK320" s="156"/>
      <c r="AQ320" s="154"/>
      <c r="AW320" s="154"/>
      <c r="AX320" s="154"/>
      <c r="AY320" s="158"/>
      <c r="BA320" s="279"/>
      <c r="CH320" s="154"/>
      <c r="CQ320" s="149"/>
      <c r="CS320" s="147"/>
      <c r="CV320" s="150"/>
      <c r="CW320" s="150"/>
      <c r="CX320" s="150"/>
      <c r="CY320" s="150"/>
      <c r="CZ320" s="150"/>
      <c r="DA320" s="150"/>
      <c r="DB320" s="150"/>
      <c r="DC320" s="150"/>
      <c r="DD320" s="150"/>
      <c r="DE320" s="150"/>
      <c r="DF320" s="150"/>
      <c r="DG320" s="150"/>
      <c r="DH320" s="150"/>
      <c r="DI320" s="150"/>
      <c r="DJ320" s="150"/>
      <c r="DK320" s="150"/>
      <c r="DL320" s="150"/>
      <c r="DM320" s="150"/>
      <c r="DN320" s="150"/>
      <c r="DO320" s="150"/>
      <c r="DP320" s="150"/>
      <c r="DQ320" s="150"/>
      <c r="DR320" s="150"/>
      <c r="DS320" s="150"/>
      <c r="DT320" s="150"/>
      <c r="DU320" s="150"/>
      <c r="DV320" s="150"/>
      <c r="DW320" s="150"/>
      <c r="DX320" s="150"/>
      <c r="DY320" s="150"/>
      <c r="DZ320" s="150"/>
      <c r="EA320" s="150"/>
      <c r="EB320" s="150"/>
      <c r="EC320" s="150"/>
      <c r="ED320" s="150"/>
      <c r="EE320" s="150"/>
      <c r="EF320" s="150"/>
      <c r="EG320" s="150"/>
      <c r="EH320" s="150"/>
      <c r="EI320" s="150"/>
      <c r="EJ320" s="150"/>
      <c r="EK320" s="150"/>
      <c r="EL320" s="150"/>
      <c r="EM320" s="150"/>
      <c r="EN320" s="150"/>
      <c r="EO320" s="150"/>
      <c r="EP320" s="150"/>
      <c r="EQ320" s="150"/>
      <c r="ER320" s="150"/>
      <c r="ES320" s="150"/>
      <c r="ET320" s="150"/>
      <c r="EU320" s="150"/>
      <c r="EV320" s="150"/>
      <c r="EW320" s="150"/>
      <c r="EX320" s="150"/>
      <c r="EY320" s="150"/>
      <c r="EZ320" s="150"/>
      <c r="FA320" s="150"/>
      <c r="FB320" s="150"/>
      <c r="FC320" s="150"/>
      <c r="FD320" s="150"/>
      <c r="FE320" s="150"/>
      <c r="FF320" s="150"/>
      <c r="FG320" s="150"/>
      <c r="FH320" s="150"/>
      <c r="FI320" s="150"/>
      <c r="FJ320" s="150"/>
      <c r="FK320" s="150"/>
      <c r="FL320" s="150"/>
      <c r="FM320" s="150"/>
      <c r="FN320" s="150"/>
      <c r="FO320" s="150"/>
      <c r="FP320" s="150"/>
      <c r="FQ320" s="150"/>
      <c r="FR320" s="150"/>
      <c r="FS320" s="150"/>
      <c r="FT320" s="150"/>
      <c r="FU320" s="150"/>
      <c r="FV320" s="150"/>
      <c r="FW320" s="150"/>
      <c r="FX320" s="150"/>
      <c r="FY320" s="150"/>
      <c r="FZ320" s="150"/>
      <c r="GA320" s="150"/>
      <c r="GB320" s="150"/>
      <c r="GC320" s="150"/>
      <c r="GD320" s="150"/>
      <c r="GE320" s="150"/>
      <c r="GF320" s="150"/>
      <c r="GG320" s="150"/>
      <c r="GH320" s="150"/>
      <c r="GI320" s="150"/>
      <c r="GJ320" s="150"/>
      <c r="GK320" s="150"/>
      <c r="GL320" s="150"/>
      <c r="GM320" s="150"/>
      <c r="GN320" s="150"/>
      <c r="GO320" s="150"/>
      <c r="GP320" s="150"/>
      <c r="GQ320" s="150"/>
      <c r="GR320" s="150"/>
      <c r="GS320" s="150"/>
      <c r="GT320" s="150"/>
      <c r="GU320" s="150"/>
      <c r="GV320" s="150"/>
      <c r="GW320" s="150"/>
      <c r="GX320" s="150"/>
      <c r="GY320" s="150"/>
      <c r="GZ320" s="150"/>
      <c r="HA320" s="150"/>
      <c r="HB320" s="150"/>
      <c r="HC320" s="150"/>
      <c r="HD320" s="150"/>
      <c r="HE320" s="150"/>
      <c r="HF320" s="150"/>
      <c r="HG320" s="150"/>
      <c r="HH320" s="150"/>
      <c r="HI320" s="150"/>
      <c r="HJ320" s="150"/>
      <c r="HK320" s="150"/>
      <c r="HL320" s="150"/>
    </row>
    <row r="321" spans="1:220" s="152" customFormat="1" ht="14.25">
      <c r="A321" s="153"/>
      <c r="C321" s="154"/>
      <c r="D321" s="155"/>
      <c r="F321" s="194"/>
      <c r="H321" s="155"/>
      <c r="AJ321" s="156"/>
      <c r="AK321" s="156"/>
      <c r="AQ321" s="154"/>
      <c r="AW321" s="154"/>
      <c r="AX321" s="154"/>
      <c r="AY321" s="158"/>
      <c r="BA321" s="279"/>
      <c r="CH321" s="154"/>
      <c r="CQ321" s="149"/>
      <c r="CS321" s="147"/>
      <c r="CV321" s="150"/>
      <c r="CW321" s="150"/>
      <c r="CX321" s="150"/>
      <c r="CY321" s="150"/>
      <c r="CZ321" s="150"/>
      <c r="DA321" s="150"/>
      <c r="DB321" s="150"/>
      <c r="DC321" s="150"/>
      <c r="DD321" s="150"/>
      <c r="DE321" s="150"/>
      <c r="DF321" s="150"/>
      <c r="DG321" s="150"/>
      <c r="DH321" s="150"/>
      <c r="DI321" s="150"/>
      <c r="DJ321" s="150"/>
      <c r="DK321" s="150"/>
      <c r="DL321" s="150"/>
      <c r="DM321" s="150"/>
      <c r="DN321" s="150"/>
      <c r="DO321" s="150"/>
      <c r="DP321" s="150"/>
      <c r="DQ321" s="150"/>
      <c r="DR321" s="150"/>
      <c r="DS321" s="150"/>
      <c r="DT321" s="150"/>
      <c r="DU321" s="150"/>
      <c r="DV321" s="150"/>
      <c r="DW321" s="150"/>
      <c r="DX321" s="150"/>
      <c r="DY321" s="150"/>
      <c r="DZ321" s="150"/>
      <c r="EA321" s="150"/>
      <c r="EB321" s="150"/>
      <c r="EC321" s="150"/>
      <c r="ED321" s="150"/>
      <c r="EE321" s="150"/>
      <c r="EF321" s="150"/>
      <c r="EG321" s="150"/>
      <c r="EH321" s="150"/>
      <c r="EI321" s="150"/>
      <c r="EJ321" s="150"/>
      <c r="EK321" s="150"/>
      <c r="EL321" s="150"/>
      <c r="EM321" s="150"/>
      <c r="EN321" s="150"/>
      <c r="EO321" s="150"/>
      <c r="EP321" s="150"/>
      <c r="EQ321" s="150"/>
      <c r="ER321" s="150"/>
      <c r="ES321" s="150"/>
      <c r="ET321" s="150"/>
      <c r="EU321" s="150"/>
      <c r="EV321" s="150"/>
      <c r="EW321" s="150"/>
      <c r="EX321" s="150"/>
      <c r="EY321" s="150"/>
      <c r="EZ321" s="150"/>
      <c r="FA321" s="150"/>
      <c r="FB321" s="150"/>
      <c r="FC321" s="150"/>
      <c r="FD321" s="150"/>
      <c r="FE321" s="150"/>
      <c r="FF321" s="150"/>
      <c r="FG321" s="150"/>
      <c r="FH321" s="150"/>
      <c r="FI321" s="150"/>
      <c r="FJ321" s="150"/>
      <c r="FK321" s="150"/>
      <c r="FL321" s="150"/>
      <c r="FM321" s="150"/>
      <c r="FN321" s="150"/>
      <c r="FO321" s="150"/>
      <c r="FP321" s="150"/>
      <c r="FQ321" s="150"/>
      <c r="FR321" s="150"/>
      <c r="FS321" s="150"/>
      <c r="FT321" s="150"/>
      <c r="FU321" s="150"/>
      <c r="FV321" s="150"/>
      <c r="FW321" s="150"/>
      <c r="FX321" s="150"/>
      <c r="FY321" s="150"/>
      <c r="FZ321" s="150"/>
      <c r="GA321" s="150"/>
      <c r="GB321" s="150"/>
      <c r="GC321" s="150"/>
      <c r="GD321" s="150"/>
      <c r="GE321" s="150"/>
      <c r="GF321" s="150"/>
      <c r="GG321" s="150"/>
      <c r="GH321" s="150"/>
      <c r="GI321" s="150"/>
      <c r="GJ321" s="150"/>
      <c r="GK321" s="150"/>
      <c r="GL321" s="150"/>
      <c r="GM321" s="150"/>
      <c r="GN321" s="150"/>
      <c r="GO321" s="150"/>
      <c r="GP321" s="150"/>
      <c r="GQ321" s="150"/>
      <c r="GR321" s="150"/>
      <c r="GS321" s="150"/>
      <c r="GT321" s="150"/>
      <c r="GU321" s="150"/>
      <c r="GV321" s="150"/>
      <c r="GW321" s="150"/>
      <c r="GX321" s="150"/>
      <c r="GY321" s="150"/>
      <c r="GZ321" s="150"/>
      <c r="HA321" s="150"/>
      <c r="HB321" s="150"/>
      <c r="HC321" s="150"/>
      <c r="HD321" s="150"/>
      <c r="HE321" s="150"/>
      <c r="HF321" s="150"/>
      <c r="HG321" s="150"/>
      <c r="HH321" s="150"/>
      <c r="HI321" s="150"/>
      <c r="HJ321" s="150"/>
      <c r="HK321" s="150"/>
      <c r="HL321" s="150"/>
    </row>
    <row r="322" spans="1:220" s="152" customFormat="1" ht="14.25">
      <c r="A322" s="153"/>
      <c r="C322" s="154"/>
      <c r="D322" s="155"/>
      <c r="F322" s="194"/>
      <c r="H322" s="155"/>
      <c r="AJ322" s="156"/>
      <c r="AK322" s="156"/>
      <c r="AQ322" s="154"/>
      <c r="AW322" s="154"/>
      <c r="AX322" s="154"/>
      <c r="AY322" s="158"/>
      <c r="BA322" s="279"/>
      <c r="CH322" s="154"/>
      <c r="CQ322" s="149"/>
      <c r="CS322" s="147"/>
      <c r="CV322" s="150"/>
      <c r="CW322" s="150"/>
      <c r="CX322" s="150"/>
      <c r="CY322" s="150"/>
      <c r="CZ322" s="150"/>
      <c r="DA322" s="150"/>
      <c r="DB322" s="150"/>
      <c r="DC322" s="150"/>
      <c r="DD322" s="150"/>
      <c r="DE322" s="150"/>
      <c r="DF322" s="150"/>
      <c r="DG322" s="150"/>
      <c r="DH322" s="150"/>
      <c r="DI322" s="150"/>
      <c r="DJ322" s="150"/>
      <c r="DK322" s="150"/>
      <c r="DL322" s="150"/>
      <c r="DM322" s="150"/>
      <c r="DN322" s="150"/>
      <c r="DO322" s="150"/>
      <c r="DP322" s="150"/>
      <c r="DQ322" s="150"/>
      <c r="DR322" s="150"/>
      <c r="DS322" s="150"/>
      <c r="DT322" s="150"/>
      <c r="DU322" s="150"/>
      <c r="DV322" s="150"/>
      <c r="DW322" s="150"/>
      <c r="DX322" s="150"/>
      <c r="DY322" s="150"/>
      <c r="DZ322" s="150"/>
      <c r="EA322" s="150"/>
      <c r="EB322" s="150"/>
      <c r="EC322" s="150"/>
      <c r="ED322" s="150"/>
      <c r="EE322" s="150"/>
      <c r="EF322" s="150"/>
      <c r="EG322" s="150"/>
      <c r="EH322" s="150"/>
      <c r="EI322" s="150"/>
      <c r="EJ322" s="150"/>
      <c r="EK322" s="150"/>
      <c r="EL322" s="150"/>
      <c r="EM322" s="150"/>
      <c r="EN322" s="150"/>
      <c r="EO322" s="150"/>
      <c r="EP322" s="150"/>
      <c r="EQ322" s="150"/>
      <c r="ER322" s="150"/>
      <c r="ES322" s="150"/>
      <c r="ET322" s="150"/>
      <c r="EU322" s="150"/>
      <c r="EV322" s="150"/>
      <c r="EW322" s="150"/>
      <c r="EX322" s="150"/>
      <c r="EY322" s="150"/>
      <c r="EZ322" s="150"/>
      <c r="FA322" s="150"/>
      <c r="FB322" s="150"/>
      <c r="FC322" s="150"/>
      <c r="FD322" s="150"/>
      <c r="FE322" s="150"/>
      <c r="FF322" s="150"/>
      <c r="FG322" s="150"/>
      <c r="FH322" s="150"/>
      <c r="FI322" s="150"/>
      <c r="FJ322" s="150"/>
      <c r="FK322" s="150"/>
      <c r="FL322" s="150"/>
      <c r="FM322" s="150"/>
      <c r="FN322" s="150"/>
      <c r="FO322" s="150"/>
      <c r="FP322" s="150"/>
      <c r="FQ322" s="150"/>
      <c r="FR322" s="150"/>
      <c r="FS322" s="150"/>
      <c r="FT322" s="150"/>
      <c r="FU322" s="150"/>
      <c r="FV322" s="150"/>
      <c r="FW322" s="150"/>
      <c r="FX322" s="150"/>
      <c r="FY322" s="150"/>
      <c r="FZ322" s="150"/>
      <c r="GA322" s="150"/>
      <c r="GB322" s="150"/>
      <c r="GC322" s="150"/>
      <c r="GD322" s="150"/>
      <c r="GE322" s="150"/>
      <c r="GF322" s="150"/>
      <c r="GG322" s="150"/>
      <c r="GH322" s="150"/>
      <c r="GI322" s="150"/>
      <c r="GJ322" s="150"/>
      <c r="GK322" s="150"/>
      <c r="GL322" s="150"/>
      <c r="GM322" s="150"/>
      <c r="GN322" s="150"/>
      <c r="GO322" s="150"/>
      <c r="GP322" s="150"/>
      <c r="GQ322" s="150"/>
      <c r="GR322" s="150"/>
      <c r="GS322" s="150"/>
      <c r="GT322" s="150"/>
      <c r="GU322" s="150"/>
      <c r="GV322" s="150"/>
      <c r="GW322" s="150"/>
      <c r="GX322" s="150"/>
      <c r="GY322" s="150"/>
      <c r="GZ322" s="150"/>
      <c r="HA322" s="150"/>
      <c r="HB322" s="150"/>
      <c r="HC322" s="150"/>
      <c r="HD322" s="150"/>
      <c r="HE322" s="150"/>
      <c r="HF322" s="150"/>
      <c r="HG322" s="150"/>
      <c r="HH322" s="150"/>
      <c r="HI322" s="150"/>
      <c r="HJ322" s="150"/>
      <c r="HK322" s="150"/>
      <c r="HL322" s="150"/>
    </row>
    <row r="323" spans="1:220" s="152" customFormat="1" ht="14.25">
      <c r="A323" s="153"/>
      <c r="C323" s="154"/>
      <c r="D323" s="155"/>
      <c r="F323" s="194"/>
      <c r="H323" s="155"/>
      <c r="AJ323" s="156"/>
      <c r="AK323" s="156"/>
      <c r="AQ323" s="154"/>
      <c r="AW323" s="154"/>
      <c r="AX323" s="154"/>
      <c r="AY323" s="158"/>
      <c r="BA323" s="279"/>
      <c r="CH323" s="154"/>
      <c r="CQ323" s="149"/>
      <c r="CS323" s="147"/>
      <c r="CV323" s="150"/>
      <c r="CW323" s="150"/>
      <c r="CX323" s="150"/>
      <c r="CY323" s="150"/>
      <c r="CZ323" s="150"/>
      <c r="DA323" s="150"/>
      <c r="DB323" s="150"/>
      <c r="DC323" s="150"/>
      <c r="DD323" s="150"/>
      <c r="DE323" s="150"/>
      <c r="DF323" s="150"/>
      <c r="DG323" s="150"/>
      <c r="DH323" s="150"/>
      <c r="DI323" s="150"/>
      <c r="DJ323" s="150"/>
      <c r="DK323" s="150"/>
      <c r="DL323" s="150"/>
      <c r="DM323" s="150"/>
      <c r="DN323" s="150"/>
      <c r="DO323" s="150"/>
      <c r="DP323" s="150"/>
      <c r="DQ323" s="150"/>
      <c r="DR323" s="150"/>
      <c r="DS323" s="150"/>
      <c r="DT323" s="150"/>
      <c r="DU323" s="150"/>
      <c r="DV323" s="150"/>
      <c r="DW323" s="150"/>
      <c r="DX323" s="150"/>
      <c r="DY323" s="150"/>
      <c r="DZ323" s="150"/>
      <c r="EA323" s="150"/>
      <c r="EB323" s="150"/>
      <c r="EC323" s="150"/>
      <c r="ED323" s="150"/>
      <c r="EE323" s="150"/>
      <c r="EF323" s="150"/>
      <c r="EG323" s="150"/>
      <c r="EH323" s="150"/>
      <c r="EI323" s="150"/>
      <c r="EJ323" s="150"/>
      <c r="EK323" s="150"/>
      <c r="EL323" s="150"/>
      <c r="EM323" s="150"/>
      <c r="EN323" s="150"/>
      <c r="EO323" s="150"/>
      <c r="EP323" s="150"/>
      <c r="EQ323" s="150"/>
      <c r="ER323" s="150"/>
      <c r="ES323" s="150"/>
      <c r="ET323" s="150"/>
      <c r="EU323" s="150"/>
      <c r="EV323" s="150"/>
      <c r="EW323" s="150"/>
      <c r="EX323" s="150"/>
      <c r="EY323" s="150"/>
      <c r="EZ323" s="150"/>
      <c r="FA323" s="150"/>
      <c r="FB323" s="150"/>
      <c r="FC323" s="150"/>
      <c r="FD323" s="150"/>
      <c r="FE323" s="150"/>
      <c r="FF323" s="150"/>
      <c r="FG323" s="150"/>
      <c r="FH323" s="150"/>
      <c r="FI323" s="150"/>
      <c r="FJ323" s="150"/>
      <c r="FK323" s="150"/>
      <c r="FL323" s="150"/>
      <c r="FM323" s="150"/>
      <c r="FN323" s="150"/>
      <c r="FO323" s="150"/>
      <c r="FP323" s="150"/>
      <c r="FQ323" s="150"/>
      <c r="FR323" s="150"/>
      <c r="FS323" s="150"/>
      <c r="FT323" s="150"/>
      <c r="FU323" s="150"/>
      <c r="FV323" s="150"/>
      <c r="FW323" s="150"/>
      <c r="FX323" s="150"/>
      <c r="FY323" s="150"/>
      <c r="FZ323" s="150"/>
      <c r="GA323" s="150"/>
      <c r="GB323" s="150"/>
      <c r="GC323" s="150"/>
      <c r="GD323" s="150"/>
      <c r="GE323" s="150"/>
      <c r="GF323" s="150"/>
      <c r="GG323" s="150"/>
      <c r="GH323" s="150"/>
      <c r="GI323" s="150"/>
      <c r="GJ323" s="150"/>
      <c r="GK323" s="150"/>
      <c r="GL323" s="150"/>
      <c r="GM323" s="150"/>
      <c r="GN323" s="150"/>
      <c r="GO323" s="150"/>
      <c r="GP323" s="150"/>
      <c r="GQ323" s="150"/>
      <c r="GR323" s="150"/>
      <c r="GS323" s="150"/>
      <c r="GT323" s="150"/>
      <c r="GU323" s="150"/>
      <c r="GV323" s="150"/>
      <c r="GW323" s="150"/>
      <c r="GX323" s="150"/>
      <c r="GY323" s="150"/>
      <c r="GZ323" s="150"/>
      <c r="HA323" s="150"/>
      <c r="HB323" s="150"/>
      <c r="HC323" s="150"/>
      <c r="HD323" s="150"/>
      <c r="HE323" s="150"/>
      <c r="HF323" s="150"/>
      <c r="HG323" s="150"/>
      <c r="HH323" s="150"/>
      <c r="HI323" s="150"/>
      <c r="HJ323" s="150"/>
      <c r="HK323" s="150"/>
      <c r="HL323" s="150"/>
    </row>
    <row r="324" spans="1:220" s="152" customFormat="1" ht="14.25">
      <c r="A324" s="153"/>
      <c r="C324" s="154"/>
      <c r="D324" s="155"/>
      <c r="F324" s="194"/>
      <c r="H324" s="155"/>
      <c r="AJ324" s="156"/>
      <c r="AK324" s="156"/>
      <c r="AQ324" s="154"/>
      <c r="AW324" s="154"/>
      <c r="AX324" s="154"/>
      <c r="AY324" s="158"/>
      <c r="BA324" s="279"/>
      <c r="CH324" s="154"/>
      <c r="CQ324" s="149"/>
      <c r="CS324" s="147"/>
      <c r="CV324" s="150"/>
      <c r="CW324" s="150"/>
      <c r="CX324" s="150"/>
      <c r="CY324" s="150"/>
      <c r="CZ324" s="150"/>
      <c r="DA324" s="150"/>
      <c r="DB324" s="150"/>
      <c r="DC324" s="150"/>
      <c r="DD324" s="150"/>
      <c r="DE324" s="150"/>
      <c r="DF324" s="150"/>
      <c r="DG324" s="150"/>
      <c r="DH324" s="150"/>
      <c r="DI324" s="150"/>
      <c r="DJ324" s="150"/>
      <c r="DK324" s="150"/>
      <c r="DL324" s="150"/>
      <c r="DM324" s="150"/>
      <c r="DN324" s="150"/>
      <c r="DO324" s="150"/>
      <c r="DP324" s="150"/>
      <c r="DQ324" s="150"/>
      <c r="DR324" s="150"/>
      <c r="DS324" s="150"/>
      <c r="DT324" s="150"/>
      <c r="DU324" s="150"/>
      <c r="DV324" s="150"/>
      <c r="DW324" s="150"/>
      <c r="DX324" s="150"/>
      <c r="DY324" s="150"/>
      <c r="DZ324" s="150"/>
      <c r="EA324" s="150"/>
      <c r="EB324" s="150"/>
      <c r="EC324" s="150"/>
      <c r="ED324" s="150"/>
      <c r="EE324" s="150"/>
      <c r="EF324" s="150"/>
      <c r="EG324" s="150"/>
      <c r="EH324" s="150"/>
      <c r="EI324" s="150"/>
      <c r="EJ324" s="150"/>
      <c r="EK324" s="150"/>
      <c r="EL324" s="150"/>
      <c r="EM324" s="150"/>
      <c r="EN324" s="150"/>
      <c r="EO324" s="150"/>
      <c r="EP324" s="150"/>
      <c r="EQ324" s="150"/>
      <c r="ER324" s="150"/>
      <c r="ES324" s="150"/>
      <c r="ET324" s="150"/>
      <c r="EU324" s="150"/>
      <c r="EV324" s="150"/>
      <c r="EW324" s="150"/>
      <c r="EX324" s="150"/>
      <c r="EY324" s="150"/>
      <c r="EZ324" s="150"/>
      <c r="FA324" s="150"/>
      <c r="FB324" s="150"/>
      <c r="FC324" s="150"/>
      <c r="FD324" s="150"/>
      <c r="FE324" s="150"/>
      <c r="FF324" s="150"/>
      <c r="FG324" s="150"/>
      <c r="FH324" s="150"/>
      <c r="FI324" s="150"/>
      <c r="FJ324" s="150"/>
      <c r="FK324" s="150"/>
      <c r="FL324" s="150"/>
      <c r="FM324" s="150"/>
      <c r="FN324" s="150"/>
      <c r="FO324" s="150"/>
      <c r="FP324" s="150"/>
      <c r="FQ324" s="150"/>
      <c r="FR324" s="150"/>
      <c r="FS324" s="150"/>
      <c r="FT324" s="150"/>
      <c r="FU324" s="150"/>
      <c r="FV324" s="150"/>
      <c r="FW324" s="150"/>
      <c r="FX324" s="150"/>
      <c r="FY324" s="150"/>
      <c r="FZ324" s="150"/>
      <c r="GA324" s="150"/>
      <c r="GB324" s="150"/>
      <c r="GC324" s="150"/>
      <c r="GD324" s="150"/>
      <c r="GE324" s="150"/>
      <c r="GF324" s="150"/>
      <c r="GG324" s="150"/>
      <c r="GH324" s="150"/>
      <c r="GI324" s="150"/>
      <c r="GJ324" s="150"/>
      <c r="GK324" s="150"/>
      <c r="GL324" s="150"/>
      <c r="GM324" s="150"/>
      <c r="GN324" s="150"/>
      <c r="GO324" s="150"/>
      <c r="GP324" s="150"/>
      <c r="GQ324" s="150"/>
      <c r="GR324" s="150"/>
      <c r="GS324" s="150"/>
      <c r="GT324" s="150"/>
      <c r="GU324" s="150"/>
      <c r="GV324" s="150"/>
      <c r="GW324" s="150"/>
      <c r="GX324" s="150"/>
      <c r="GY324" s="150"/>
      <c r="GZ324" s="150"/>
      <c r="HA324" s="150"/>
      <c r="HB324" s="150"/>
      <c r="HC324" s="150"/>
      <c r="HD324" s="150"/>
      <c r="HE324" s="150"/>
      <c r="HF324" s="150"/>
      <c r="HG324" s="150"/>
      <c r="HH324" s="150"/>
      <c r="HI324" s="150"/>
      <c r="HJ324" s="150"/>
      <c r="HK324" s="150"/>
      <c r="HL324" s="150"/>
    </row>
    <row r="325" spans="1:220" s="152" customFormat="1" ht="14.25">
      <c r="A325" s="153"/>
      <c r="C325" s="154"/>
      <c r="D325" s="155"/>
      <c r="F325" s="194"/>
      <c r="H325" s="155"/>
      <c r="AJ325" s="156"/>
      <c r="AK325" s="156"/>
      <c r="AQ325" s="154"/>
      <c r="AW325" s="154"/>
      <c r="AX325" s="154"/>
      <c r="AY325" s="158"/>
      <c r="BA325" s="279"/>
      <c r="CH325" s="154"/>
      <c r="CQ325" s="149"/>
      <c r="CS325" s="147"/>
      <c r="CV325" s="150"/>
      <c r="CW325" s="150"/>
      <c r="CX325" s="150"/>
      <c r="CY325" s="150"/>
      <c r="CZ325" s="150"/>
      <c r="DA325" s="150"/>
      <c r="DB325" s="150"/>
      <c r="DC325" s="150"/>
      <c r="DD325" s="150"/>
      <c r="DE325" s="150"/>
      <c r="DF325" s="150"/>
      <c r="DG325" s="150"/>
      <c r="DH325" s="150"/>
      <c r="DI325" s="150"/>
      <c r="DJ325" s="150"/>
      <c r="DK325" s="150"/>
      <c r="DL325" s="150"/>
      <c r="DM325" s="150"/>
      <c r="DN325" s="150"/>
      <c r="DO325" s="150"/>
      <c r="DP325" s="150"/>
      <c r="DQ325" s="150"/>
      <c r="DR325" s="150"/>
      <c r="DS325" s="150"/>
      <c r="DT325" s="150"/>
      <c r="DU325" s="150"/>
      <c r="DV325" s="150"/>
      <c r="DW325" s="150"/>
      <c r="DX325" s="150"/>
      <c r="DY325" s="150"/>
      <c r="DZ325" s="150"/>
      <c r="EA325" s="150"/>
      <c r="EB325" s="150"/>
      <c r="EC325" s="150"/>
      <c r="ED325" s="150"/>
      <c r="EE325" s="150"/>
      <c r="EF325" s="150"/>
      <c r="EG325" s="150"/>
      <c r="EH325" s="150"/>
      <c r="EI325" s="150"/>
      <c r="EJ325" s="150"/>
      <c r="EK325" s="150"/>
      <c r="EL325" s="150"/>
      <c r="EM325" s="150"/>
      <c r="EN325" s="150"/>
      <c r="EO325" s="150"/>
      <c r="EP325" s="150"/>
      <c r="EQ325" s="150"/>
      <c r="ER325" s="150"/>
      <c r="ES325" s="150"/>
      <c r="ET325" s="150"/>
      <c r="EU325" s="150"/>
      <c r="EV325" s="150"/>
      <c r="EW325" s="150"/>
      <c r="EX325" s="150"/>
      <c r="EY325" s="150"/>
      <c r="EZ325" s="150"/>
      <c r="FA325" s="150"/>
      <c r="FB325" s="150"/>
      <c r="FC325" s="150"/>
      <c r="FD325" s="150"/>
      <c r="FE325" s="150"/>
      <c r="FF325" s="150"/>
      <c r="FG325" s="150"/>
      <c r="FH325" s="150"/>
      <c r="FI325" s="150"/>
      <c r="FJ325" s="150"/>
      <c r="FK325" s="150"/>
      <c r="FL325" s="150"/>
      <c r="FM325" s="150"/>
      <c r="FN325" s="150"/>
      <c r="FO325" s="150"/>
      <c r="FP325" s="150"/>
      <c r="FQ325" s="150"/>
      <c r="FR325" s="150"/>
      <c r="FS325" s="150"/>
      <c r="FT325" s="150"/>
      <c r="FU325" s="150"/>
      <c r="FV325" s="150"/>
      <c r="FW325" s="150"/>
      <c r="FX325" s="150"/>
      <c r="FY325" s="150"/>
      <c r="FZ325" s="150"/>
      <c r="GA325" s="150"/>
      <c r="GB325" s="150"/>
      <c r="GC325" s="150"/>
      <c r="GD325" s="150"/>
      <c r="GE325" s="150"/>
      <c r="GF325" s="150"/>
      <c r="GG325" s="150"/>
      <c r="GH325" s="150"/>
      <c r="GI325" s="150"/>
      <c r="GJ325" s="150"/>
      <c r="GK325" s="150"/>
      <c r="GL325" s="150"/>
      <c r="GM325" s="150"/>
      <c r="GN325" s="150"/>
      <c r="GO325" s="150"/>
      <c r="GP325" s="150"/>
      <c r="GQ325" s="150"/>
      <c r="GR325" s="150"/>
      <c r="GS325" s="150"/>
      <c r="GT325" s="150"/>
      <c r="GU325" s="150"/>
      <c r="GV325" s="150"/>
      <c r="GW325" s="150"/>
      <c r="GX325" s="150"/>
      <c r="GY325" s="150"/>
      <c r="GZ325" s="150"/>
      <c r="HA325" s="150"/>
      <c r="HB325" s="150"/>
      <c r="HC325" s="150"/>
      <c r="HD325" s="150"/>
      <c r="HE325" s="150"/>
      <c r="HF325" s="150"/>
      <c r="HG325" s="150"/>
      <c r="HH325" s="150"/>
      <c r="HI325" s="150"/>
      <c r="HJ325" s="150"/>
      <c r="HK325" s="150"/>
      <c r="HL325" s="150"/>
    </row>
    <row r="326" spans="1:220" s="152" customFormat="1" ht="14.25">
      <c r="A326" s="153"/>
      <c r="C326" s="154"/>
      <c r="D326" s="155"/>
      <c r="F326" s="194"/>
      <c r="H326" s="155"/>
      <c r="AJ326" s="156"/>
      <c r="AK326" s="156"/>
      <c r="AQ326" s="154"/>
      <c r="AW326" s="154"/>
      <c r="AX326" s="154"/>
      <c r="AY326" s="158"/>
      <c r="BA326" s="279"/>
      <c r="CH326" s="154"/>
      <c r="CQ326" s="149"/>
      <c r="CS326" s="147"/>
      <c r="CV326" s="150"/>
      <c r="CW326" s="150"/>
      <c r="CX326" s="150"/>
      <c r="CY326" s="150"/>
      <c r="CZ326" s="150"/>
      <c r="DA326" s="150"/>
      <c r="DB326" s="150"/>
      <c r="DC326" s="150"/>
      <c r="DD326" s="150"/>
      <c r="DE326" s="150"/>
      <c r="DF326" s="150"/>
      <c r="DG326" s="150"/>
      <c r="DH326" s="150"/>
      <c r="DI326" s="150"/>
      <c r="DJ326" s="150"/>
      <c r="DK326" s="150"/>
      <c r="DL326" s="150"/>
      <c r="DM326" s="150"/>
      <c r="DN326" s="150"/>
      <c r="DO326" s="150"/>
      <c r="DP326" s="150"/>
      <c r="DQ326" s="150"/>
      <c r="DR326" s="150"/>
      <c r="DS326" s="150"/>
      <c r="DT326" s="150"/>
      <c r="DU326" s="150"/>
      <c r="DV326" s="150"/>
      <c r="DW326" s="150"/>
      <c r="DX326" s="150"/>
      <c r="DY326" s="150"/>
      <c r="DZ326" s="150"/>
      <c r="EA326" s="150"/>
      <c r="EB326" s="150"/>
      <c r="EC326" s="150"/>
      <c r="ED326" s="150"/>
      <c r="EE326" s="150"/>
      <c r="EF326" s="150"/>
      <c r="EG326" s="150"/>
      <c r="EH326" s="150"/>
      <c r="EI326" s="150"/>
      <c r="EJ326" s="150"/>
      <c r="EK326" s="150"/>
      <c r="EL326" s="150"/>
      <c r="EM326" s="150"/>
      <c r="EN326" s="150"/>
      <c r="EO326" s="150"/>
      <c r="EP326" s="150"/>
      <c r="EQ326" s="150"/>
      <c r="ER326" s="150"/>
      <c r="ES326" s="150"/>
      <c r="ET326" s="150"/>
      <c r="EU326" s="150"/>
      <c r="EV326" s="150"/>
      <c r="EW326" s="150"/>
      <c r="EX326" s="150"/>
      <c r="EY326" s="150"/>
      <c r="EZ326" s="150"/>
      <c r="FA326" s="150"/>
      <c r="FB326" s="150"/>
      <c r="FC326" s="150"/>
      <c r="FD326" s="150"/>
      <c r="FE326" s="150"/>
      <c r="FF326" s="150"/>
      <c r="FG326" s="150"/>
      <c r="FH326" s="150"/>
      <c r="FI326" s="150"/>
      <c r="FJ326" s="150"/>
      <c r="FK326" s="150"/>
      <c r="FL326" s="150"/>
      <c r="FM326" s="150"/>
      <c r="FN326" s="150"/>
      <c r="FO326" s="150"/>
      <c r="FP326" s="150"/>
      <c r="FQ326" s="150"/>
      <c r="FR326" s="150"/>
      <c r="FS326" s="150"/>
      <c r="FT326" s="150"/>
      <c r="FU326" s="150"/>
      <c r="FV326" s="150"/>
      <c r="FW326" s="150"/>
      <c r="FX326" s="150"/>
      <c r="FY326" s="150"/>
      <c r="FZ326" s="150"/>
      <c r="GA326" s="150"/>
      <c r="GB326" s="150"/>
      <c r="GC326" s="150"/>
      <c r="GD326" s="150"/>
      <c r="GE326" s="150"/>
      <c r="GF326" s="150"/>
      <c r="GG326" s="150"/>
      <c r="GH326" s="150"/>
      <c r="GI326" s="150"/>
      <c r="GJ326" s="150"/>
      <c r="GK326" s="150"/>
      <c r="GL326" s="150"/>
      <c r="GM326" s="150"/>
      <c r="GN326" s="150"/>
      <c r="GO326" s="150"/>
      <c r="GP326" s="150"/>
      <c r="GQ326" s="150"/>
      <c r="GR326" s="150"/>
      <c r="GS326" s="150"/>
      <c r="GT326" s="150"/>
      <c r="GU326" s="150"/>
      <c r="GV326" s="150"/>
      <c r="GW326" s="150"/>
      <c r="GX326" s="150"/>
      <c r="GY326" s="150"/>
      <c r="GZ326" s="150"/>
      <c r="HA326" s="150"/>
      <c r="HB326" s="150"/>
      <c r="HC326" s="150"/>
      <c r="HD326" s="150"/>
      <c r="HE326" s="150"/>
      <c r="HF326" s="150"/>
      <c r="HG326" s="150"/>
      <c r="HH326" s="150"/>
      <c r="HI326" s="150"/>
      <c r="HJ326" s="150"/>
      <c r="HK326" s="150"/>
      <c r="HL326" s="150"/>
    </row>
    <row r="327" spans="1:220" s="152" customFormat="1" ht="14.25">
      <c r="A327" s="153"/>
      <c r="C327" s="154"/>
      <c r="D327" s="155"/>
      <c r="F327" s="194"/>
      <c r="H327" s="155"/>
      <c r="AJ327" s="156"/>
      <c r="AK327" s="156"/>
      <c r="AQ327" s="154"/>
      <c r="AW327" s="154"/>
      <c r="AX327" s="154"/>
      <c r="AY327" s="158"/>
      <c r="BA327" s="279"/>
      <c r="CH327" s="154"/>
      <c r="CQ327" s="149"/>
      <c r="CS327" s="147"/>
      <c r="CV327" s="150"/>
      <c r="CW327" s="150"/>
      <c r="CX327" s="150"/>
      <c r="CY327" s="150"/>
      <c r="CZ327" s="150"/>
      <c r="DA327" s="150"/>
      <c r="DB327" s="150"/>
      <c r="DC327" s="150"/>
      <c r="DD327" s="150"/>
      <c r="DE327" s="150"/>
      <c r="DF327" s="150"/>
      <c r="DG327" s="150"/>
      <c r="DH327" s="150"/>
      <c r="DI327" s="150"/>
      <c r="DJ327" s="150"/>
      <c r="DK327" s="150"/>
      <c r="DL327" s="150"/>
      <c r="DM327" s="150"/>
      <c r="DN327" s="150"/>
      <c r="DO327" s="150"/>
      <c r="DP327" s="150"/>
      <c r="DQ327" s="150"/>
      <c r="DR327" s="150"/>
      <c r="DS327" s="150"/>
      <c r="DT327" s="150"/>
      <c r="DU327" s="150"/>
      <c r="DV327" s="150"/>
      <c r="DW327" s="150"/>
      <c r="DX327" s="150"/>
      <c r="DY327" s="150"/>
      <c r="DZ327" s="150"/>
      <c r="EA327" s="150"/>
      <c r="EB327" s="150"/>
      <c r="EC327" s="150"/>
      <c r="ED327" s="150"/>
      <c r="EE327" s="150"/>
      <c r="EF327" s="150"/>
      <c r="EG327" s="150"/>
      <c r="EH327" s="150"/>
      <c r="EI327" s="150"/>
      <c r="EJ327" s="150"/>
      <c r="EK327" s="150"/>
      <c r="EL327" s="150"/>
      <c r="EM327" s="150"/>
      <c r="EN327" s="150"/>
      <c r="EO327" s="150"/>
      <c r="EP327" s="150"/>
      <c r="EQ327" s="150"/>
      <c r="ER327" s="150"/>
      <c r="ES327" s="150"/>
      <c r="ET327" s="150"/>
      <c r="EU327" s="150"/>
      <c r="EV327" s="150"/>
      <c r="EW327" s="150"/>
      <c r="EX327" s="150"/>
      <c r="EY327" s="150"/>
      <c r="EZ327" s="150"/>
      <c r="FA327" s="150"/>
      <c r="FB327" s="150"/>
      <c r="FC327" s="150"/>
      <c r="FD327" s="150"/>
      <c r="FE327" s="150"/>
      <c r="FF327" s="150"/>
      <c r="FG327" s="150"/>
      <c r="FH327" s="150"/>
      <c r="FI327" s="150"/>
      <c r="FJ327" s="150"/>
      <c r="FK327" s="150"/>
      <c r="FL327" s="150"/>
      <c r="FM327" s="150"/>
      <c r="FN327" s="150"/>
      <c r="FO327" s="150"/>
      <c r="FP327" s="150"/>
      <c r="FQ327" s="150"/>
      <c r="FR327" s="150"/>
      <c r="FS327" s="150"/>
      <c r="FT327" s="150"/>
      <c r="FU327" s="150"/>
      <c r="FV327" s="150"/>
      <c r="FW327" s="150"/>
      <c r="FX327" s="150"/>
      <c r="FY327" s="150"/>
      <c r="FZ327" s="150"/>
      <c r="GA327" s="150"/>
      <c r="GB327" s="150"/>
      <c r="GC327" s="150"/>
      <c r="GD327" s="150"/>
      <c r="GE327" s="150"/>
      <c r="GF327" s="150"/>
      <c r="GG327" s="150"/>
      <c r="GH327" s="150"/>
      <c r="GI327" s="150"/>
      <c r="GJ327" s="150"/>
      <c r="GK327" s="150"/>
      <c r="GL327" s="150"/>
      <c r="GM327" s="150"/>
      <c r="GN327" s="150"/>
      <c r="GO327" s="150"/>
      <c r="GP327" s="150"/>
      <c r="GQ327" s="150"/>
      <c r="GR327" s="150"/>
      <c r="GS327" s="150"/>
      <c r="GT327" s="150"/>
      <c r="GU327" s="150"/>
      <c r="GV327" s="150"/>
      <c r="GW327" s="150"/>
      <c r="GX327" s="150"/>
      <c r="GY327" s="150"/>
      <c r="GZ327" s="150"/>
      <c r="HA327" s="150"/>
      <c r="HB327" s="150"/>
      <c r="HC327" s="150"/>
      <c r="HD327" s="150"/>
      <c r="HE327" s="150"/>
      <c r="HF327" s="150"/>
      <c r="HG327" s="150"/>
      <c r="HH327" s="150"/>
      <c r="HI327" s="150"/>
      <c r="HJ327" s="150"/>
      <c r="HK327" s="150"/>
      <c r="HL327" s="150"/>
    </row>
    <row r="328" spans="1:220" s="152" customFormat="1" ht="14.25">
      <c r="A328" s="153"/>
      <c r="C328" s="154"/>
      <c r="D328" s="155"/>
      <c r="F328" s="194"/>
      <c r="H328" s="155"/>
      <c r="AJ328" s="156"/>
      <c r="AK328" s="156"/>
      <c r="AQ328" s="154"/>
      <c r="AW328" s="154"/>
      <c r="AX328" s="154"/>
      <c r="AY328" s="158"/>
      <c r="BA328" s="279"/>
      <c r="CH328" s="154"/>
      <c r="CQ328" s="149"/>
      <c r="CS328" s="147"/>
      <c r="CV328" s="150"/>
      <c r="CW328" s="150"/>
      <c r="CX328" s="150"/>
      <c r="CY328" s="150"/>
      <c r="CZ328" s="150"/>
      <c r="DA328" s="150"/>
      <c r="DB328" s="150"/>
      <c r="DC328" s="150"/>
      <c r="DD328" s="150"/>
      <c r="DE328" s="150"/>
      <c r="DF328" s="150"/>
      <c r="DG328" s="150"/>
      <c r="DH328" s="150"/>
      <c r="DI328" s="150"/>
      <c r="DJ328" s="150"/>
      <c r="DK328" s="150"/>
      <c r="DL328" s="150"/>
      <c r="DM328" s="150"/>
      <c r="DN328" s="150"/>
      <c r="DO328" s="150"/>
      <c r="DP328" s="150"/>
      <c r="DQ328" s="150"/>
      <c r="DR328" s="150"/>
      <c r="DS328" s="150"/>
      <c r="DT328" s="150"/>
      <c r="DU328" s="150"/>
      <c r="DV328" s="150"/>
      <c r="DW328" s="150"/>
      <c r="DX328" s="150"/>
      <c r="DY328" s="150"/>
      <c r="DZ328" s="150"/>
      <c r="EA328" s="150"/>
      <c r="EB328" s="150"/>
      <c r="EC328" s="150"/>
      <c r="ED328" s="150"/>
      <c r="EE328" s="150"/>
      <c r="EF328" s="150"/>
      <c r="EG328" s="150"/>
      <c r="EH328" s="150"/>
      <c r="EI328" s="150"/>
      <c r="EJ328" s="150"/>
      <c r="EK328" s="150"/>
      <c r="EL328" s="150"/>
      <c r="EM328" s="150"/>
      <c r="EN328" s="150"/>
      <c r="EO328" s="150"/>
      <c r="EP328" s="150"/>
      <c r="EQ328" s="150"/>
      <c r="ER328" s="150"/>
      <c r="ES328" s="150"/>
      <c r="ET328" s="150"/>
      <c r="EU328" s="150"/>
      <c r="EV328" s="150"/>
      <c r="EW328" s="150"/>
      <c r="EX328" s="150"/>
      <c r="EY328" s="150"/>
      <c r="EZ328" s="150"/>
      <c r="FA328" s="150"/>
      <c r="FB328" s="150"/>
      <c r="FC328" s="150"/>
      <c r="FD328" s="150"/>
      <c r="FE328" s="150"/>
      <c r="FF328" s="150"/>
      <c r="FG328" s="150"/>
      <c r="FH328" s="150"/>
      <c r="FI328" s="150"/>
      <c r="FJ328" s="150"/>
      <c r="FK328" s="150"/>
      <c r="FL328" s="150"/>
      <c r="FM328" s="150"/>
      <c r="FN328" s="150"/>
      <c r="FO328" s="150"/>
      <c r="FP328" s="150"/>
      <c r="FQ328" s="150"/>
      <c r="FR328" s="150"/>
      <c r="FS328" s="150"/>
      <c r="FT328" s="150"/>
      <c r="FU328" s="150"/>
      <c r="FV328" s="150"/>
      <c r="FW328" s="150"/>
      <c r="FX328" s="150"/>
      <c r="FY328" s="150"/>
      <c r="FZ328" s="150"/>
      <c r="GA328" s="150"/>
      <c r="GB328" s="150"/>
      <c r="GC328" s="150"/>
      <c r="GD328" s="150"/>
      <c r="GE328" s="150"/>
      <c r="GF328" s="150"/>
      <c r="GG328" s="150"/>
      <c r="GH328" s="150"/>
      <c r="GI328" s="150"/>
      <c r="GJ328" s="150"/>
      <c r="GK328" s="150"/>
      <c r="GL328" s="150"/>
      <c r="GM328" s="150"/>
      <c r="GN328" s="150"/>
      <c r="GO328" s="150"/>
      <c r="GP328" s="150"/>
      <c r="GQ328" s="150"/>
      <c r="GR328" s="150"/>
      <c r="GS328" s="150"/>
      <c r="GT328" s="150"/>
      <c r="GU328" s="150"/>
      <c r="GV328" s="150"/>
      <c r="GW328" s="150"/>
      <c r="GX328" s="150"/>
      <c r="GY328" s="150"/>
      <c r="GZ328" s="150"/>
      <c r="HA328" s="150"/>
      <c r="HB328" s="150"/>
      <c r="HC328" s="150"/>
      <c r="HD328" s="150"/>
      <c r="HE328" s="150"/>
      <c r="HF328" s="150"/>
      <c r="HG328" s="150"/>
      <c r="HH328" s="150"/>
      <c r="HI328" s="150"/>
      <c r="HJ328" s="150"/>
      <c r="HK328" s="150"/>
      <c r="HL328" s="150"/>
    </row>
    <row r="329" spans="1:220" s="152" customFormat="1" ht="14.25">
      <c r="A329" s="153"/>
      <c r="C329" s="154"/>
      <c r="D329" s="155"/>
      <c r="F329" s="194"/>
      <c r="H329" s="155"/>
      <c r="AJ329" s="156"/>
      <c r="AK329" s="156"/>
      <c r="AQ329" s="154"/>
      <c r="AW329" s="154"/>
      <c r="AX329" s="154"/>
      <c r="AY329" s="158"/>
      <c r="BA329" s="279"/>
      <c r="CH329" s="154"/>
      <c r="CQ329" s="149"/>
      <c r="CS329" s="147"/>
      <c r="CV329" s="150"/>
      <c r="CW329" s="150"/>
      <c r="CX329" s="150"/>
      <c r="CY329" s="150"/>
      <c r="CZ329" s="150"/>
      <c r="DA329" s="150"/>
      <c r="DB329" s="150"/>
      <c r="DC329" s="150"/>
      <c r="DD329" s="150"/>
      <c r="DE329" s="150"/>
      <c r="DF329" s="150"/>
      <c r="DG329" s="150"/>
      <c r="DH329" s="150"/>
      <c r="DI329" s="150"/>
      <c r="DJ329" s="150"/>
      <c r="DK329" s="150"/>
      <c r="DL329" s="150"/>
      <c r="DM329" s="150"/>
      <c r="DN329" s="150"/>
      <c r="DO329" s="150"/>
      <c r="DP329" s="150"/>
      <c r="DQ329" s="150"/>
      <c r="DR329" s="150"/>
      <c r="DS329" s="150"/>
      <c r="DT329" s="150"/>
      <c r="DU329" s="150"/>
      <c r="DV329" s="150"/>
      <c r="DW329" s="150"/>
      <c r="DX329" s="150"/>
      <c r="DY329" s="150"/>
      <c r="DZ329" s="150"/>
      <c r="EA329" s="150"/>
      <c r="EB329" s="150"/>
      <c r="EC329" s="150"/>
      <c r="ED329" s="150"/>
      <c r="EE329" s="150"/>
      <c r="EF329" s="150"/>
      <c r="EG329" s="150"/>
      <c r="EH329" s="150"/>
      <c r="EI329" s="150"/>
      <c r="EJ329" s="150"/>
      <c r="EK329" s="150"/>
      <c r="EL329" s="150"/>
      <c r="EM329" s="150"/>
      <c r="EN329" s="150"/>
      <c r="EO329" s="150"/>
      <c r="EP329" s="150"/>
      <c r="EQ329" s="150"/>
      <c r="ER329" s="150"/>
      <c r="ES329" s="150"/>
      <c r="ET329" s="150"/>
      <c r="EU329" s="150"/>
      <c r="EV329" s="150"/>
      <c r="EW329" s="150"/>
      <c r="EX329" s="150"/>
      <c r="EY329" s="150"/>
      <c r="EZ329" s="150"/>
      <c r="FA329" s="150"/>
      <c r="FB329" s="150"/>
      <c r="FC329" s="150"/>
      <c r="FD329" s="150"/>
      <c r="FE329" s="150"/>
      <c r="FF329" s="150"/>
      <c r="FG329" s="150"/>
      <c r="FH329" s="150"/>
      <c r="FI329" s="150"/>
      <c r="FJ329" s="150"/>
      <c r="FK329" s="150"/>
      <c r="FL329" s="150"/>
      <c r="FM329" s="150"/>
      <c r="FN329" s="150"/>
      <c r="FO329" s="150"/>
      <c r="FP329" s="150"/>
      <c r="FQ329" s="150"/>
      <c r="FR329" s="150"/>
      <c r="FS329" s="150"/>
      <c r="FT329" s="150"/>
      <c r="FU329" s="150"/>
      <c r="FV329" s="150"/>
      <c r="FW329" s="150"/>
      <c r="FX329" s="150"/>
      <c r="FY329" s="150"/>
      <c r="FZ329" s="150"/>
      <c r="GA329" s="150"/>
      <c r="GB329" s="150"/>
      <c r="GC329" s="150"/>
      <c r="GD329" s="150"/>
      <c r="GE329" s="150"/>
      <c r="GF329" s="150"/>
      <c r="GG329" s="150"/>
      <c r="GH329" s="150"/>
      <c r="GI329" s="150"/>
      <c r="GJ329" s="150"/>
      <c r="GK329" s="150"/>
      <c r="GL329" s="150"/>
      <c r="GM329" s="150"/>
      <c r="GN329" s="150"/>
      <c r="GO329" s="150"/>
      <c r="GP329" s="150"/>
      <c r="GQ329" s="150"/>
      <c r="GR329" s="150"/>
      <c r="GS329" s="150"/>
      <c r="GT329" s="150"/>
      <c r="GU329" s="150"/>
      <c r="GV329" s="150"/>
      <c r="GW329" s="150"/>
      <c r="GX329" s="150"/>
      <c r="GY329" s="150"/>
      <c r="GZ329" s="150"/>
      <c r="HA329" s="150"/>
      <c r="HB329" s="150"/>
      <c r="HC329" s="150"/>
      <c r="HD329" s="150"/>
      <c r="HE329" s="150"/>
      <c r="HF329" s="150"/>
      <c r="HG329" s="150"/>
      <c r="HH329" s="150"/>
      <c r="HI329" s="150"/>
      <c r="HJ329" s="150"/>
      <c r="HK329" s="150"/>
      <c r="HL329" s="150"/>
    </row>
    <row r="330" spans="1:220" s="152" customFormat="1" ht="14.25">
      <c r="A330" s="153"/>
      <c r="C330" s="154"/>
      <c r="D330" s="155"/>
      <c r="F330" s="194"/>
      <c r="H330" s="155"/>
      <c r="AJ330" s="156"/>
      <c r="AK330" s="156"/>
      <c r="AQ330" s="154"/>
      <c r="AW330" s="154"/>
      <c r="AX330" s="154"/>
      <c r="AY330" s="158"/>
      <c r="BA330" s="279"/>
      <c r="CH330" s="154"/>
      <c r="CQ330" s="149"/>
      <c r="CS330" s="147"/>
      <c r="CV330" s="150"/>
      <c r="CW330" s="150"/>
      <c r="CX330" s="150"/>
      <c r="CY330" s="150"/>
      <c r="CZ330" s="150"/>
      <c r="DA330" s="150"/>
      <c r="DB330" s="150"/>
      <c r="DC330" s="150"/>
      <c r="DD330" s="150"/>
      <c r="DE330" s="150"/>
      <c r="DF330" s="150"/>
      <c r="DG330" s="150"/>
      <c r="DH330" s="150"/>
      <c r="DI330" s="150"/>
      <c r="DJ330" s="150"/>
      <c r="DK330" s="150"/>
      <c r="DL330" s="150"/>
      <c r="DM330" s="150"/>
      <c r="DN330" s="150"/>
      <c r="DO330" s="150"/>
      <c r="DP330" s="150"/>
      <c r="DQ330" s="150"/>
      <c r="DR330" s="150"/>
      <c r="DS330" s="150"/>
      <c r="DT330" s="150"/>
      <c r="DU330" s="150"/>
      <c r="DV330" s="150"/>
      <c r="DW330" s="150"/>
      <c r="DX330" s="150"/>
      <c r="DY330" s="150"/>
      <c r="DZ330" s="150"/>
      <c r="EA330" s="150"/>
      <c r="EB330" s="150"/>
      <c r="EC330" s="150"/>
      <c r="ED330" s="150"/>
      <c r="EE330" s="150"/>
      <c r="EF330" s="150"/>
      <c r="EG330" s="150"/>
      <c r="EH330" s="150"/>
      <c r="EI330" s="150"/>
      <c r="EJ330" s="150"/>
      <c r="EK330" s="150"/>
      <c r="EL330" s="150"/>
      <c r="EM330" s="150"/>
      <c r="EN330" s="150"/>
      <c r="EO330" s="150"/>
      <c r="EP330" s="150"/>
      <c r="EQ330" s="150"/>
      <c r="ER330" s="150"/>
      <c r="ES330" s="150"/>
      <c r="ET330" s="150"/>
      <c r="EU330" s="150"/>
      <c r="EV330" s="150"/>
      <c r="EW330" s="150"/>
      <c r="EX330" s="150"/>
      <c r="EY330" s="150"/>
      <c r="EZ330" s="150"/>
      <c r="FA330" s="150"/>
      <c r="FB330" s="150"/>
      <c r="FC330" s="150"/>
      <c r="FD330" s="150"/>
      <c r="FE330" s="150"/>
      <c r="FF330" s="150"/>
      <c r="FG330" s="150"/>
      <c r="FH330" s="150"/>
      <c r="FI330" s="150"/>
      <c r="FJ330" s="150"/>
      <c r="FK330" s="150"/>
      <c r="FL330" s="150"/>
      <c r="FM330" s="150"/>
      <c r="FN330" s="150"/>
      <c r="FO330" s="150"/>
      <c r="FP330" s="150"/>
      <c r="FQ330" s="150"/>
      <c r="FR330" s="150"/>
      <c r="FS330" s="150"/>
      <c r="FT330" s="150"/>
      <c r="FU330" s="150"/>
      <c r="FV330" s="150"/>
      <c r="FW330" s="150"/>
      <c r="FX330" s="150"/>
      <c r="FY330" s="150"/>
      <c r="FZ330" s="150"/>
      <c r="GA330" s="150"/>
      <c r="GB330" s="150"/>
      <c r="GC330" s="150"/>
      <c r="GD330" s="150"/>
      <c r="GE330" s="150"/>
      <c r="GF330" s="150"/>
      <c r="GG330" s="150"/>
      <c r="GH330" s="150"/>
      <c r="GI330" s="150"/>
      <c r="GJ330" s="150"/>
      <c r="GK330" s="150"/>
      <c r="GL330" s="150"/>
      <c r="GM330" s="150"/>
      <c r="GN330" s="150"/>
      <c r="GO330" s="150"/>
      <c r="GP330" s="150"/>
      <c r="GQ330" s="150"/>
      <c r="GR330" s="150"/>
      <c r="GS330" s="150"/>
      <c r="GT330" s="150"/>
      <c r="GU330" s="150"/>
      <c r="GV330" s="150"/>
      <c r="GW330" s="150"/>
      <c r="GX330" s="150"/>
      <c r="GY330" s="150"/>
      <c r="GZ330" s="150"/>
      <c r="HA330" s="150"/>
      <c r="HB330" s="150"/>
      <c r="HC330" s="150"/>
      <c r="HD330" s="150"/>
      <c r="HE330" s="150"/>
      <c r="HF330" s="150"/>
      <c r="HG330" s="150"/>
      <c r="HH330" s="150"/>
      <c r="HI330" s="150"/>
      <c r="HJ330" s="150"/>
      <c r="HK330" s="150"/>
      <c r="HL330" s="150"/>
    </row>
    <row r="331" spans="1:220" s="152" customFormat="1" ht="14.25">
      <c r="A331" s="153"/>
      <c r="C331" s="154"/>
      <c r="D331" s="155"/>
      <c r="F331" s="194"/>
      <c r="H331" s="155"/>
      <c r="AJ331" s="156"/>
      <c r="AK331" s="156"/>
      <c r="AQ331" s="154"/>
      <c r="AW331" s="154"/>
      <c r="AX331" s="154"/>
      <c r="AY331" s="158"/>
      <c r="BA331" s="279"/>
      <c r="CH331" s="154"/>
      <c r="CQ331" s="149"/>
      <c r="CS331" s="147"/>
      <c r="CV331" s="150"/>
      <c r="CW331" s="150"/>
      <c r="CX331" s="150"/>
      <c r="CY331" s="150"/>
      <c r="CZ331" s="150"/>
      <c r="DA331" s="150"/>
      <c r="DB331" s="150"/>
      <c r="DC331" s="150"/>
      <c r="DD331" s="150"/>
      <c r="DE331" s="150"/>
      <c r="DF331" s="150"/>
      <c r="DG331" s="150"/>
      <c r="DH331" s="150"/>
      <c r="DI331" s="150"/>
      <c r="DJ331" s="150"/>
      <c r="DK331" s="150"/>
      <c r="DL331" s="150"/>
      <c r="DM331" s="150"/>
      <c r="DN331" s="150"/>
      <c r="DO331" s="150"/>
      <c r="DP331" s="150"/>
      <c r="DQ331" s="150"/>
      <c r="DR331" s="150"/>
      <c r="DS331" s="150"/>
      <c r="DT331" s="150"/>
      <c r="DU331" s="150"/>
      <c r="DV331" s="150"/>
      <c r="DW331" s="150"/>
      <c r="DX331" s="150"/>
      <c r="DY331" s="150"/>
      <c r="DZ331" s="150"/>
      <c r="EA331" s="150"/>
      <c r="EB331" s="150"/>
      <c r="EC331" s="150"/>
      <c r="ED331" s="150"/>
      <c r="EE331" s="150"/>
      <c r="EF331" s="150"/>
      <c r="EG331" s="150"/>
      <c r="EH331" s="150"/>
      <c r="EI331" s="150"/>
      <c r="EJ331" s="150"/>
      <c r="EK331" s="150"/>
      <c r="EL331" s="150"/>
      <c r="EM331" s="150"/>
      <c r="EN331" s="150"/>
      <c r="EO331" s="150"/>
      <c r="EP331" s="150"/>
      <c r="EQ331" s="150"/>
      <c r="ER331" s="150"/>
      <c r="ES331" s="150"/>
      <c r="ET331" s="150"/>
      <c r="EU331" s="150"/>
      <c r="EV331" s="150"/>
      <c r="EW331" s="150"/>
      <c r="EX331" s="150"/>
      <c r="EY331" s="150"/>
      <c r="EZ331" s="150"/>
      <c r="FA331" s="150"/>
      <c r="FB331" s="150"/>
      <c r="FC331" s="150"/>
      <c r="FD331" s="150"/>
      <c r="FE331" s="150"/>
      <c r="FF331" s="150"/>
      <c r="FG331" s="150"/>
      <c r="FH331" s="150"/>
      <c r="FI331" s="150"/>
      <c r="FJ331" s="150"/>
      <c r="FK331" s="150"/>
      <c r="FL331" s="150"/>
      <c r="FM331" s="150"/>
      <c r="FN331" s="150"/>
      <c r="FO331" s="150"/>
      <c r="FP331" s="150"/>
      <c r="FQ331" s="150"/>
      <c r="FR331" s="150"/>
      <c r="FS331" s="150"/>
      <c r="FT331" s="150"/>
      <c r="FU331" s="150"/>
      <c r="FV331" s="150"/>
      <c r="FW331" s="150"/>
      <c r="FX331" s="150"/>
      <c r="FY331" s="150"/>
      <c r="FZ331" s="150"/>
      <c r="GA331" s="150"/>
      <c r="GB331" s="150"/>
      <c r="GC331" s="150"/>
      <c r="GD331" s="150"/>
      <c r="GE331" s="150"/>
      <c r="GF331" s="150"/>
      <c r="GG331" s="150"/>
      <c r="GH331" s="150"/>
      <c r="GI331" s="150"/>
      <c r="GJ331" s="150"/>
      <c r="GK331" s="150"/>
      <c r="GL331" s="150"/>
      <c r="GM331" s="150"/>
      <c r="GN331" s="150"/>
      <c r="GO331" s="150"/>
      <c r="GP331" s="150"/>
      <c r="GQ331" s="150"/>
      <c r="GR331" s="150"/>
      <c r="GS331" s="150"/>
      <c r="GT331" s="150"/>
      <c r="GU331" s="150"/>
      <c r="GV331" s="150"/>
      <c r="GW331" s="150"/>
      <c r="GX331" s="150"/>
      <c r="GY331" s="150"/>
      <c r="GZ331" s="150"/>
      <c r="HA331" s="150"/>
      <c r="HB331" s="150"/>
      <c r="HC331" s="150"/>
      <c r="HD331" s="150"/>
      <c r="HE331" s="150"/>
      <c r="HF331" s="150"/>
      <c r="HG331" s="150"/>
      <c r="HH331" s="150"/>
      <c r="HI331" s="150"/>
      <c r="HJ331" s="150"/>
      <c r="HK331" s="150"/>
      <c r="HL331" s="150"/>
    </row>
    <row r="332" spans="1:220" s="152" customFormat="1" ht="14.25">
      <c r="A332" s="153"/>
      <c r="C332" s="154"/>
      <c r="D332" s="155"/>
      <c r="F332" s="194"/>
      <c r="H332" s="155"/>
      <c r="AJ332" s="156"/>
      <c r="AK332" s="156"/>
      <c r="AQ332" s="154"/>
      <c r="AW332" s="154"/>
      <c r="AX332" s="154"/>
      <c r="AY332" s="158"/>
      <c r="BA332" s="279"/>
      <c r="CH332" s="154"/>
      <c r="CQ332" s="149"/>
      <c r="CS332" s="147"/>
      <c r="CV332" s="150"/>
      <c r="CW332" s="150"/>
      <c r="CX332" s="150"/>
      <c r="CY332" s="150"/>
      <c r="CZ332" s="150"/>
      <c r="DA332" s="150"/>
      <c r="DB332" s="150"/>
      <c r="DC332" s="150"/>
      <c r="DD332" s="150"/>
      <c r="DE332" s="150"/>
      <c r="DF332" s="150"/>
      <c r="DG332" s="150"/>
      <c r="DH332" s="150"/>
      <c r="DI332" s="150"/>
      <c r="DJ332" s="150"/>
      <c r="DK332" s="150"/>
      <c r="DL332" s="150"/>
      <c r="DM332" s="150"/>
      <c r="DN332" s="150"/>
      <c r="DO332" s="150"/>
      <c r="DP332" s="150"/>
      <c r="DQ332" s="150"/>
      <c r="DR332" s="150"/>
      <c r="DS332" s="150"/>
      <c r="DT332" s="150"/>
      <c r="DU332" s="150"/>
      <c r="DV332" s="150"/>
      <c r="DW332" s="150"/>
      <c r="DX332" s="150"/>
      <c r="DY332" s="150"/>
      <c r="DZ332" s="150"/>
      <c r="EA332" s="150"/>
      <c r="EB332" s="150"/>
      <c r="EC332" s="150"/>
      <c r="ED332" s="150"/>
      <c r="EE332" s="150"/>
      <c r="EF332" s="150"/>
      <c r="EG332" s="150"/>
      <c r="EH332" s="150"/>
      <c r="EI332" s="150"/>
      <c r="EJ332" s="150"/>
      <c r="EK332" s="150"/>
      <c r="EL332" s="150"/>
      <c r="EM332" s="150"/>
      <c r="EN332" s="150"/>
      <c r="EO332" s="150"/>
      <c r="EP332" s="150"/>
      <c r="EQ332" s="150"/>
      <c r="ER332" s="150"/>
      <c r="ES332" s="150"/>
      <c r="ET332" s="150"/>
      <c r="EU332" s="150"/>
      <c r="EV332" s="150"/>
      <c r="EW332" s="150"/>
      <c r="EX332" s="150"/>
      <c r="EY332" s="150"/>
      <c r="EZ332" s="150"/>
      <c r="FA332" s="150"/>
      <c r="FB332" s="150"/>
      <c r="FC332" s="150"/>
      <c r="FD332" s="150"/>
      <c r="FE332" s="150"/>
      <c r="FF332" s="150"/>
      <c r="FG332" s="150"/>
      <c r="FH332" s="150"/>
      <c r="FI332" s="150"/>
      <c r="FJ332" s="150"/>
      <c r="FK332" s="150"/>
      <c r="FL332" s="150"/>
      <c r="FM332" s="150"/>
      <c r="FN332" s="150"/>
      <c r="FO332" s="150"/>
      <c r="FP332" s="150"/>
      <c r="FQ332" s="150"/>
      <c r="FR332" s="150"/>
      <c r="FS332" s="150"/>
      <c r="FT332" s="150"/>
      <c r="FU332" s="150"/>
      <c r="FV332" s="150"/>
      <c r="FW332" s="150"/>
      <c r="FX332" s="150"/>
      <c r="FY332" s="150"/>
      <c r="FZ332" s="150"/>
      <c r="GA332" s="150"/>
      <c r="GB332" s="150"/>
      <c r="GC332" s="150"/>
      <c r="GD332" s="150"/>
      <c r="GE332" s="150"/>
      <c r="GF332" s="150"/>
      <c r="GG332" s="150"/>
      <c r="GH332" s="150"/>
      <c r="GI332" s="150"/>
      <c r="GJ332" s="150"/>
      <c r="GK332" s="150"/>
      <c r="GL332" s="150"/>
      <c r="GM332" s="150"/>
      <c r="GN332" s="150"/>
      <c r="GO332" s="150"/>
      <c r="GP332" s="150"/>
      <c r="GQ332" s="150"/>
      <c r="GR332" s="150"/>
      <c r="GS332" s="150"/>
      <c r="GT332" s="150"/>
      <c r="GU332" s="150"/>
      <c r="GV332" s="150"/>
      <c r="GW332" s="150"/>
      <c r="GX332" s="150"/>
      <c r="GY332" s="150"/>
      <c r="GZ332" s="150"/>
      <c r="HA332" s="150"/>
      <c r="HB332" s="150"/>
      <c r="HC332" s="150"/>
      <c r="HD332" s="150"/>
      <c r="HE332" s="150"/>
      <c r="HF332" s="150"/>
      <c r="HG332" s="150"/>
      <c r="HH332" s="150"/>
      <c r="HI332" s="150"/>
      <c r="HJ332" s="150"/>
      <c r="HK332" s="150"/>
      <c r="HL332" s="150"/>
    </row>
    <row r="333" spans="1:220" s="152" customFormat="1" ht="14.25">
      <c r="A333" s="153"/>
      <c r="C333" s="154"/>
      <c r="D333" s="155"/>
      <c r="F333" s="194"/>
      <c r="H333" s="155"/>
      <c r="AJ333" s="156"/>
      <c r="AK333" s="156"/>
      <c r="AQ333" s="154"/>
      <c r="AW333" s="154"/>
      <c r="AX333" s="154"/>
      <c r="AY333" s="158"/>
      <c r="BA333" s="279"/>
      <c r="CH333" s="154"/>
      <c r="CQ333" s="149"/>
      <c r="CS333" s="147"/>
      <c r="CV333" s="150"/>
      <c r="CW333" s="150"/>
      <c r="CX333" s="150"/>
      <c r="CY333" s="150"/>
      <c r="CZ333" s="150"/>
      <c r="DA333" s="150"/>
      <c r="DB333" s="150"/>
      <c r="DC333" s="150"/>
      <c r="DD333" s="150"/>
      <c r="DE333" s="150"/>
      <c r="DF333" s="150"/>
      <c r="DG333" s="150"/>
      <c r="DH333" s="150"/>
      <c r="DI333" s="150"/>
      <c r="DJ333" s="150"/>
      <c r="DK333" s="150"/>
      <c r="DL333" s="150"/>
      <c r="DM333" s="150"/>
      <c r="DN333" s="150"/>
      <c r="DO333" s="150"/>
      <c r="DP333" s="150"/>
      <c r="DQ333" s="150"/>
      <c r="DR333" s="150"/>
      <c r="DS333" s="150"/>
      <c r="DT333" s="150"/>
      <c r="DU333" s="150"/>
      <c r="DV333" s="150"/>
      <c r="DW333" s="150"/>
      <c r="DX333" s="150"/>
      <c r="DY333" s="150"/>
      <c r="DZ333" s="150"/>
      <c r="EA333" s="150"/>
      <c r="EB333" s="150"/>
      <c r="EC333" s="150"/>
      <c r="ED333" s="150"/>
      <c r="EE333" s="150"/>
      <c r="EF333" s="150"/>
      <c r="EG333" s="150"/>
      <c r="EH333" s="150"/>
      <c r="EI333" s="150"/>
      <c r="EJ333" s="150"/>
      <c r="EK333" s="150"/>
      <c r="EL333" s="150"/>
      <c r="EM333" s="150"/>
      <c r="EN333" s="150"/>
      <c r="EO333" s="150"/>
      <c r="EP333" s="150"/>
      <c r="EQ333" s="150"/>
      <c r="ER333" s="150"/>
      <c r="ES333" s="150"/>
      <c r="ET333" s="150"/>
      <c r="EU333" s="150"/>
      <c r="EV333" s="150"/>
      <c r="EW333" s="150"/>
      <c r="EX333" s="150"/>
      <c r="EY333" s="150"/>
      <c r="EZ333" s="150"/>
      <c r="FA333" s="150"/>
      <c r="FB333" s="150"/>
      <c r="FC333" s="150"/>
      <c r="FD333" s="150"/>
      <c r="FE333" s="150"/>
      <c r="FF333" s="150"/>
      <c r="FG333" s="150"/>
      <c r="FH333" s="150"/>
      <c r="FI333" s="150"/>
      <c r="FJ333" s="150"/>
      <c r="FK333" s="150"/>
      <c r="FL333" s="150"/>
      <c r="FM333" s="150"/>
      <c r="FN333" s="150"/>
      <c r="FO333" s="150"/>
      <c r="FP333" s="150"/>
      <c r="FQ333" s="150"/>
      <c r="FR333" s="150"/>
      <c r="FS333" s="150"/>
      <c r="FT333" s="150"/>
      <c r="FU333" s="150"/>
      <c r="FV333" s="150"/>
      <c r="FW333" s="150"/>
      <c r="FX333" s="150"/>
      <c r="FY333" s="150"/>
      <c r="FZ333" s="150"/>
      <c r="GA333" s="150"/>
      <c r="GB333" s="150"/>
      <c r="GC333" s="150"/>
      <c r="GD333" s="150"/>
      <c r="GE333" s="150"/>
      <c r="GF333" s="150"/>
      <c r="GG333" s="150"/>
      <c r="GH333" s="150"/>
      <c r="GI333" s="150"/>
      <c r="GJ333" s="150"/>
      <c r="GK333" s="150"/>
      <c r="GL333" s="150"/>
      <c r="GM333" s="150"/>
      <c r="GN333" s="150"/>
      <c r="GO333" s="150"/>
      <c r="GP333" s="150"/>
      <c r="GQ333" s="150"/>
      <c r="GR333" s="150"/>
      <c r="GS333" s="150"/>
      <c r="GT333" s="150"/>
      <c r="GU333" s="150"/>
      <c r="GV333" s="150"/>
      <c r="GW333" s="150"/>
      <c r="GX333" s="150"/>
      <c r="GY333" s="150"/>
      <c r="GZ333" s="150"/>
      <c r="HA333" s="150"/>
      <c r="HB333" s="150"/>
      <c r="HC333" s="150"/>
      <c r="HD333" s="150"/>
      <c r="HE333" s="150"/>
      <c r="HF333" s="150"/>
      <c r="HG333" s="150"/>
      <c r="HH333" s="150"/>
      <c r="HI333" s="150"/>
      <c r="HJ333" s="150"/>
      <c r="HK333" s="150"/>
      <c r="HL333" s="150"/>
    </row>
    <row r="334" spans="1:220" s="152" customFormat="1" ht="14.25">
      <c r="A334" s="153"/>
      <c r="C334" s="154"/>
      <c r="D334" s="155"/>
      <c r="F334" s="194"/>
      <c r="H334" s="155"/>
      <c r="AJ334" s="156"/>
      <c r="AK334" s="156"/>
      <c r="AQ334" s="154"/>
      <c r="AW334" s="154"/>
      <c r="AX334" s="154"/>
      <c r="AY334" s="158"/>
      <c r="BA334" s="279"/>
      <c r="CH334" s="154"/>
      <c r="CQ334" s="149"/>
      <c r="CS334" s="147"/>
      <c r="CV334" s="150"/>
      <c r="CW334" s="150"/>
      <c r="CX334" s="150"/>
      <c r="CY334" s="150"/>
      <c r="CZ334" s="150"/>
      <c r="DA334" s="150"/>
      <c r="DB334" s="150"/>
      <c r="DC334" s="150"/>
      <c r="DD334" s="150"/>
      <c r="DE334" s="150"/>
      <c r="DF334" s="150"/>
      <c r="DG334" s="150"/>
      <c r="DH334" s="150"/>
      <c r="DI334" s="150"/>
      <c r="DJ334" s="150"/>
      <c r="DK334" s="150"/>
      <c r="DL334" s="150"/>
      <c r="DM334" s="150"/>
      <c r="DN334" s="150"/>
      <c r="DO334" s="150"/>
      <c r="DP334" s="150"/>
      <c r="DQ334" s="150"/>
      <c r="DR334" s="150"/>
      <c r="DS334" s="150"/>
      <c r="DT334" s="150"/>
      <c r="DU334" s="150"/>
      <c r="DV334" s="150"/>
      <c r="DW334" s="150"/>
      <c r="DX334" s="150"/>
      <c r="DY334" s="150"/>
      <c r="DZ334" s="150"/>
      <c r="EA334" s="150"/>
      <c r="EB334" s="150"/>
      <c r="EC334" s="150"/>
      <c r="ED334" s="150"/>
      <c r="EE334" s="150"/>
      <c r="EF334" s="150"/>
      <c r="EG334" s="150"/>
      <c r="EH334" s="150"/>
      <c r="EI334" s="150"/>
      <c r="EJ334" s="150"/>
      <c r="EK334" s="150"/>
      <c r="EL334" s="150"/>
      <c r="EM334" s="150"/>
      <c r="EN334" s="150"/>
      <c r="EO334" s="150"/>
      <c r="EP334" s="150"/>
      <c r="EQ334" s="150"/>
      <c r="ER334" s="150"/>
      <c r="ES334" s="150"/>
      <c r="ET334" s="150"/>
      <c r="EU334" s="150"/>
      <c r="EV334" s="150"/>
      <c r="EW334" s="150"/>
      <c r="EX334" s="150"/>
      <c r="EY334" s="150"/>
      <c r="EZ334" s="150"/>
      <c r="FA334" s="150"/>
      <c r="FB334" s="150"/>
      <c r="FC334" s="150"/>
      <c r="FD334" s="150"/>
      <c r="FE334" s="150"/>
      <c r="FF334" s="150"/>
      <c r="FG334" s="150"/>
      <c r="FH334" s="150"/>
      <c r="FI334" s="150"/>
      <c r="FJ334" s="150"/>
      <c r="FK334" s="150"/>
      <c r="FL334" s="150"/>
      <c r="FM334" s="150"/>
      <c r="FN334" s="150"/>
      <c r="FO334" s="150"/>
      <c r="FP334" s="150"/>
      <c r="FQ334" s="150"/>
      <c r="FR334" s="150"/>
      <c r="FS334" s="150"/>
      <c r="FT334" s="150"/>
      <c r="FU334" s="150"/>
      <c r="FV334" s="150"/>
      <c r="FW334" s="150"/>
      <c r="FX334" s="150"/>
      <c r="FY334" s="150"/>
      <c r="FZ334" s="150"/>
      <c r="GA334" s="150"/>
      <c r="GB334" s="150"/>
      <c r="GC334" s="150"/>
      <c r="GD334" s="150"/>
      <c r="GE334" s="150"/>
      <c r="GF334" s="150"/>
      <c r="GG334" s="150"/>
      <c r="GH334" s="150"/>
      <c r="GI334" s="150"/>
      <c r="GJ334" s="150"/>
      <c r="GK334" s="150"/>
      <c r="GL334" s="150"/>
      <c r="GM334" s="150"/>
      <c r="GN334" s="150"/>
      <c r="GO334" s="150"/>
      <c r="GP334" s="150"/>
      <c r="GQ334" s="150"/>
      <c r="GR334" s="150"/>
      <c r="GS334" s="150"/>
      <c r="GT334" s="150"/>
      <c r="GU334" s="150"/>
      <c r="GV334" s="150"/>
      <c r="GW334" s="150"/>
      <c r="GX334" s="150"/>
      <c r="GY334" s="150"/>
      <c r="GZ334" s="150"/>
      <c r="HA334" s="150"/>
      <c r="HB334" s="150"/>
      <c r="HC334" s="150"/>
      <c r="HD334" s="150"/>
      <c r="HE334" s="150"/>
      <c r="HF334" s="150"/>
      <c r="HG334" s="150"/>
      <c r="HH334" s="150"/>
      <c r="HI334" s="150"/>
      <c r="HJ334" s="150"/>
      <c r="HK334" s="150"/>
      <c r="HL334" s="150"/>
    </row>
    <row r="335" spans="1:220" s="152" customFormat="1" ht="14.25">
      <c r="A335" s="153"/>
      <c r="C335" s="154"/>
      <c r="D335" s="155"/>
      <c r="F335" s="194"/>
      <c r="H335" s="155"/>
      <c r="AJ335" s="156"/>
      <c r="AK335" s="156"/>
      <c r="AQ335" s="154"/>
      <c r="AW335" s="154"/>
      <c r="AX335" s="154"/>
      <c r="AY335" s="158"/>
      <c r="BA335" s="279"/>
      <c r="CH335" s="154"/>
      <c r="CQ335" s="149"/>
      <c r="CS335" s="147"/>
      <c r="CV335" s="150"/>
      <c r="CW335" s="150"/>
      <c r="CX335" s="150"/>
      <c r="CY335" s="150"/>
      <c r="CZ335" s="150"/>
      <c r="DA335" s="150"/>
      <c r="DB335" s="150"/>
      <c r="DC335" s="150"/>
      <c r="DD335" s="150"/>
      <c r="DE335" s="150"/>
      <c r="DF335" s="150"/>
      <c r="DG335" s="150"/>
      <c r="DH335" s="150"/>
      <c r="DI335" s="150"/>
      <c r="DJ335" s="150"/>
      <c r="DK335" s="150"/>
      <c r="DL335" s="150"/>
      <c r="DM335" s="150"/>
      <c r="DN335" s="150"/>
      <c r="DO335" s="150"/>
      <c r="DP335" s="150"/>
      <c r="DQ335" s="150"/>
      <c r="DR335" s="150"/>
      <c r="DS335" s="150"/>
      <c r="DT335" s="150"/>
      <c r="DU335" s="150"/>
      <c r="DV335" s="150"/>
      <c r="DW335" s="150"/>
      <c r="DX335" s="150"/>
      <c r="DY335" s="150"/>
      <c r="DZ335" s="150"/>
      <c r="EA335" s="150"/>
      <c r="EB335" s="150"/>
      <c r="EC335" s="150"/>
      <c r="ED335" s="150"/>
      <c r="EE335" s="150"/>
      <c r="EF335" s="150"/>
      <c r="EG335" s="150"/>
      <c r="EH335" s="150"/>
      <c r="EI335" s="150"/>
      <c r="EJ335" s="150"/>
      <c r="EK335" s="150"/>
      <c r="EL335" s="150"/>
      <c r="EM335" s="150"/>
      <c r="EN335" s="150"/>
      <c r="EO335" s="150"/>
      <c r="EP335" s="150"/>
      <c r="EQ335" s="150"/>
      <c r="ER335" s="150"/>
      <c r="ES335" s="150"/>
      <c r="ET335" s="150"/>
      <c r="EU335" s="150"/>
      <c r="EV335" s="150"/>
      <c r="EW335" s="150"/>
      <c r="EX335" s="150"/>
      <c r="EY335" s="150"/>
      <c r="EZ335" s="150"/>
      <c r="FA335" s="150"/>
      <c r="FB335" s="150"/>
      <c r="FC335" s="150"/>
      <c r="FD335" s="150"/>
      <c r="FE335" s="150"/>
      <c r="FF335" s="150"/>
      <c r="FG335" s="150"/>
      <c r="FH335" s="150"/>
      <c r="FI335" s="150"/>
      <c r="FJ335" s="150"/>
      <c r="FK335" s="150"/>
      <c r="FL335" s="150"/>
      <c r="FM335" s="150"/>
      <c r="FN335" s="150"/>
      <c r="FO335" s="150"/>
      <c r="FP335" s="150"/>
      <c r="FQ335" s="150"/>
      <c r="FR335" s="150"/>
      <c r="FS335" s="150"/>
      <c r="FT335" s="150"/>
      <c r="FU335" s="150"/>
      <c r="FV335" s="150"/>
      <c r="FW335" s="150"/>
      <c r="FX335" s="150"/>
      <c r="FY335" s="150"/>
      <c r="FZ335" s="150"/>
      <c r="GA335" s="150"/>
      <c r="GB335" s="150"/>
      <c r="GC335" s="150"/>
      <c r="GD335" s="150"/>
      <c r="GE335" s="150"/>
      <c r="GF335" s="150"/>
      <c r="GG335" s="150"/>
      <c r="GH335" s="150"/>
      <c r="GI335" s="150"/>
      <c r="GJ335" s="150"/>
      <c r="GK335" s="150"/>
      <c r="GL335" s="150"/>
      <c r="GM335" s="150"/>
      <c r="GN335" s="150"/>
      <c r="GO335" s="150"/>
      <c r="GP335" s="150"/>
      <c r="GQ335" s="150"/>
      <c r="GR335" s="150"/>
      <c r="GS335" s="150"/>
      <c r="GT335" s="150"/>
      <c r="GU335" s="150"/>
      <c r="GV335" s="150"/>
      <c r="GW335" s="150"/>
      <c r="GX335" s="150"/>
      <c r="GY335" s="150"/>
      <c r="GZ335" s="150"/>
      <c r="HA335" s="150"/>
      <c r="HB335" s="150"/>
      <c r="HC335" s="150"/>
      <c r="HD335" s="150"/>
      <c r="HE335" s="150"/>
      <c r="HF335" s="150"/>
      <c r="HG335" s="150"/>
      <c r="HH335" s="150"/>
      <c r="HI335" s="150"/>
      <c r="HJ335" s="150"/>
      <c r="HK335" s="150"/>
      <c r="HL335" s="150"/>
    </row>
    <row r="336" spans="1:220" s="152" customFormat="1" ht="14.25">
      <c r="A336" s="153"/>
      <c r="C336" s="154"/>
      <c r="D336" s="155"/>
      <c r="F336" s="194"/>
      <c r="H336" s="155"/>
      <c r="AJ336" s="156"/>
      <c r="AK336" s="156"/>
      <c r="AQ336" s="154"/>
      <c r="AW336" s="154"/>
      <c r="AX336" s="154"/>
      <c r="AY336" s="158"/>
      <c r="BA336" s="279"/>
      <c r="CH336" s="154"/>
      <c r="CQ336" s="149"/>
      <c r="CS336" s="147"/>
      <c r="CV336" s="150"/>
      <c r="CW336" s="150"/>
      <c r="CX336" s="150"/>
      <c r="CY336" s="150"/>
      <c r="CZ336" s="150"/>
      <c r="DA336" s="150"/>
      <c r="DB336" s="150"/>
      <c r="DC336" s="150"/>
      <c r="DD336" s="150"/>
      <c r="DE336" s="150"/>
      <c r="DF336" s="150"/>
      <c r="DG336" s="150"/>
      <c r="DH336" s="150"/>
      <c r="DI336" s="150"/>
      <c r="DJ336" s="150"/>
      <c r="DK336" s="150"/>
      <c r="DL336" s="150"/>
      <c r="DM336" s="150"/>
      <c r="DN336" s="150"/>
      <c r="DO336" s="150"/>
      <c r="DP336" s="150"/>
      <c r="DQ336" s="150"/>
      <c r="DR336" s="150"/>
      <c r="DS336" s="150"/>
      <c r="DT336" s="150"/>
      <c r="DU336" s="150"/>
      <c r="DV336" s="150"/>
      <c r="DW336" s="150"/>
      <c r="DX336" s="150"/>
      <c r="DY336" s="150"/>
      <c r="DZ336" s="150"/>
      <c r="EA336" s="150"/>
      <c r="EB336" s="150"/>
      <c r="EC336" s="150"/>
      <c r="ED336" s="150"/>
      <c r="EE336" s="150"/>
      <c r="EF336" s="150"/>
      <c r="EG336" s="150"/>
      <c r="EH336" s="150"/>
      <c r="EI336" s="150"/>
      <c r="EJ336" s="150"/>
      <c r="EK336" s="150"/>
      <c r="EL336" s="150"/>
      <c r="EM336" s="150"/>
      <c r="EN336" s="150"/>
      <c r="EO336" s="150"/>
      <c r="EP336" s="150"/>
      <c r="EQ336" s="150"/>
      <c r="ER336" s="150"/>
      <c r="ES336" s="150"/>
      <c r="ET336" s="150"/>
      <c r="EU336" s="150"/>
      <c r="EV336" s="150"/>
      <c r="EW336" s="150"/>
      <c r="EX336" s="150"/>
      <c r="EY336" s="150"/>
      <c r="EZ336" s="150"/>
      <c r="FA336" s="150"/>
      <c r="FB336" s="150"/>
      <c r="FC336" s="150"/>
      <c r="FD336" s="150"/>
      <c r="FE336" s="150"/>
      <c r="FF336" s="150"/>
      <c r="FG336" s="150"/>
      <c r="FH336" s="150"/>
      <c r="FI336" s="150"/>
      <c r="FJ336" s="150"/>
      <c r="FK336" s="150"/>
      <c r="FL336" s="150"/>
      <c r="FM336" s="150"/>
      <c r="FN336" s="150"/>
      <c r="FO336" s="150"/>
      <c r="FP336" s="150"/>
      <c r="FQ336" s="150"/>
      <c r="FR336" s="150"/>
      <c r="FS336" s="150"/>
      <c r="FT336" s="150"/>
      <c r="FU336" s="150"/>
      <c r="FV336" s="150"/>
      <c r="FW336" s="150"/>
      <c r="FX336" s="150"/>
      <c r="FY336" s="150"/>
      <c r="FZ336" s="150"/>
      <c r="GA336" s="150"/>
      <c r="GB336" s="150"/>
      <c r="GC336" s="150"/>
      <c r="GD336" s="150"/>
      <c r="GE336" s="150"/>
      <c r="GF336" s="150"/>
      <c r="GG336" s="150"/>
      <c r="GH336" s="150"/>
      <c r="GI336" s="150"/>
      <c r="GJ336" s="150"/>
      <c r="GK336" s="150"/>
      <c r="GL336" s="150"/>
      <c r="GM336" s="150"/>
      <c r="GN336" s="150"/>
      <c r="GO336" s="150"/>
      <c r="GP336" s="150"/>
      <c r="GQ336" s="150"/>
      <c r="GR336" s="150"/>
      <c r="GS336" s="150"/>
      <c r="GT336" s="150"/>
      <c r="GU336" s="150"/>
      <c r="GV336" s="150"/>
      <c r="GW336" s="150"/>
      <c r="GX336" s="150"/>
      <c r="GY336" s="150"/>
      <c r="GZ336" s="150"/>
      <c r="HA336" s="150"/>
      <c r="HB336" s="150"/>
      <c r="HC336" s="150"/>
      <c r="HD336" s="150"/>
      <c r="HE336" s="150"/>
      <c r="HF336" s="150"/>
      <c r="HG336" s="150"/>
      <c r="HH336" s="150"/>
      <c r="HI336" s="150"/>
      <c r="HJ336" s="150"/>
      <c r="HK336" s="150"/>
      <c r="HL336" s="150"/>
    </row>
    <row r="337" spans="1:220" s="152" customFormat="1" ht="14.25">
      <c r="A337" s="153"/>
      <c r="C337" s="154"/>
      <c r="D337" s="155"/>
      <c r="F337" s="194"/>
      <c r="H337" s="155"/>
      <c r="AJ337" s="156"/>
      <c r="AK337" s="156"/>
      <c r="AQ337" s="154"/>
      <c r="AW337" s="154"/>
      <c r="AX337" s="154"/>
      <c r="AY337" s="158"/>
      <c r="BA337" s="279"/>
      <c r="CH337" s="154"/>
      <c r="CQ337" s="149"/>
      <c r="CS337" s="147"/>
      <c r="CV337" s="150"/>
      <c r="CW337" s="150"/>
      <c r="CX337" s="150"/>
      <c r="CY337" s="150"/>
      <c r="CZ337" s="150"/>
      <c r="DA337" s="150"/>
      <c r="DB337" s="150"/>
      <c r="DC337" s="150"/>
      <c r="DD337" s="150"/>
      <c r="DE337" s="150"/>
      <c r="DF337" s="150"/>
      <c r="DG337" s="150"/>
      <c r="DH337" s="150"/>
      <c r="DI337" s="150"/>
      <c r="DJ337" s="150"/>
      <c r="DK337" s="150"/>
      <c r="DL337" s="150"/>
      <c r="DM337" s="150"/>
      <c r="DN337" s="150"/>
      <c r="DO337" s="150"/>
      <c r="DP337" s="150"/>
      <c r="DQ337" s="150"/>
      <c r="DR337" s="150"/>
      <c r="DS337" s="150"/>
      <c r="DT337" s="150"/>
      <c r="DU337" s="150"/>
      <c r="DV337" s="150"/>
      <c r="DW337" s="150"/>
      <c r="DX337" s="150"/>
      <c r="DY337" s="150"/>
      <c r="DZ337" s="150"/>
      <c r="EA337" s="150"/>
      <c r="EB337" s="150"/>
      <c r="EC337" s="150"/>
      <c r="ED337" s="150"/>
      <c r="EE337" s="150"/>
      <c r="EF337" s="150"/>
      <c r="EG337" s="150"/>
      <c r="EH337" s="150"/>
      <c r="EI337" s="150"/>
      <c r="EJ337" s="150"/>
      <c r="EK337" s="150"/>
      <c r="EL337" s="150"/>
      <c r="EM337" s="150"/>
      <c r="EN337" s="150"/>
      <c r="EO337" s="150"/>
      <c r="EP337" s="150"/>
      <c r="EQ337" s="150"/>
      <c r="ER337" s="150"/>
      <c r="ES337" s="150"/>
      <c r="ET337" s="150"/>
      <c r="EU337" s="150"/>
      <c r="EV337" s="150"/>
      <c r="EW337" s="150"/>
      <c r="EX337" s="150"/>
      <c r="EY337" s="150"/>
      <c r="EZ337" s="150"/>
      <c r="FA337" s="150"/>
      <c r="FB337" s="150"/>
      <c r="FC337" s="150"/>
      <c r="FD337" s="150"/>
      <c r="FE337" s="150"/>
      <c r="FF337" s="150"/>
      <c r="FG337" s="150"/>
      <c r="FH337" s="150"/>
      <c r="FI337" s="150"/>
      <c r="FJ337" s="150"/>
      <c r="FK337" s="150"/>
      <c r="FL337" s="150"/>
      <c r="FM337" s="150"/>
      <c r="FN337" s="150"/>
      <c r="FO337" s="150"/>
      <c r="FP337" s="150"/>
      <c r="FQ337" s="150"/>
      <c r="FR337" s="150"/>
      <c r="FS337" s="150"/>
      <c r="FT337" s="150"/>
      <c r="FU337" s="150"/>
      <c r="FV337" s="150"/>
      <c r="FW337" s="150"/>
      <c r="FX337" s="150"/>
      <c r="FY337" s="150"/>
      <c r="FZ337" s="150"/>
      <c r="GA337" s="150"/>
      <c r="GB337" s="150"/>
      <c r="GC337" s="150"/>
      <c r="GD337" s="150"/>
      <c r="GE337" s="150"/>
      <c r="GF337" s="150"/>
      <c r="GG337" s="150"/>
      <c r="GH337" s="150"/>
      <c r="GI337" s="150"/>
      <c r="GJ337" s="150"/>
      <c r="GK337" s="150"/>
      <c r="GL337" s="150"/>
      <c r="GM337" s="150"/>
      <c r="GN337" s="150"/>
      <c r="GO337" s="150"/>
      <c r="GP337" s="150"/>
      <c r="GQ337" s="150"/>
      <c r="GR337" s="150"/>
      <c r="GS337" s="150"/>
      <c r="GT337" s="150"/>
      <c r="GU337" s="150"/>
      <c r="GV337" s="150"/>
      <c r="GW337" s="150"/>
      <c r="GX337" s="150"/>
      <c r="GY337" s="150"/>
      <c r="GZ337" s="150"/>
      <c r="HA337" s="150"/>
      <c r="HB337" s="150"/>
      <c r="HC337" s="150"/>
      <c r="HD337" s="150"/>
      <c r="HE337" s="150"/>
      <c r="HF337" s="150"/>
      <c r="HG337" s="150"/>
      <c r="HH337" s="150"/>
      <c r="HI337" s="150"/>
      <c r="HJ337" s="150"/>
      <c r="HK337" s="150"/>
      <c r="HL337" s="150"/>
    </row>
    <row r="338" spans="1:220" s="152" customFormat="1" ht="14.25">
      <c r="A338" s="153"/>
      <c r="C338" s="154"/>
      <c r="D338" s="155"/>
      <c r="F338" s="194"/>
      <c r="H338" s="155"/>
      <c r="AJ338" s="156"/>
      <c r="AK338" s="156"/>
      <c r="AQ338" s="154"/>
      <c r="AW338" s="154"/>
      <c r="AX338" s="154"/>
      <c r="AY338" s="158"/>
      <c r="BA338" s="279"/>
      <c r="CH338" s="154"/>
      <c r="CQ338" s="149"/>
      <c r="CS338" s="147"/>
      <c r="CV338" s="150"/>
      <c r="CW338" s="150"/>
      <c r="CX338" s="150"/>
      <c r="CY338" s="150"/>
      <c r="CZ338" s="150"/>
      <c r="DA338" s="150"/>
      <c r="DB338" s="150"/>
      <c r="DC338" s="150"/>
      <c r="DD338" s="150"/>
      <c r="DE338" s="150"/>
      <c r="DF338" s="150"/>
      <c r="DG338" s="150"/>
      <c r="DH338" s="150"/>
      <c r="DI338" s="150"/>
      <c r="DJ338" s="150"/>
      <c r="DK338" s="150"/>
      <c r="DL338" s="150"/>
      <c r="DM338" s="150"/>
      <c r="DN338" s="150"/>
      <c r="DO338" s="150"/>
      <c r="DP338" s="150"/>
      <c r="DQ338" s="150"/>
      <c r="DR338" s="150"/>
      <c r="DS338" s="150"/>
      <c r="DT338" s="150"/>
      <c r="DU338" s="150"/>
      <c r="DV338" s="150"/>
      <c r="DW338" s="150"/>
      <c r="DX338" s="150"/>
      <c r="DY338" s="150"/>
      <c r="DZ338" s="150"/>
      <c r="EA338" s="150"/>
      <c r="EB338" s="150"/>
      <c r="EC338" s="150"/>
      <c r="ED338" s="150"/>
      <c r="EE338" s="150"/>
      <c r="EF338" s="150"/>
      <c r="EG338" s="150"/>
      <c r="EH338" s="150"/>
      <c r="EI338" s="150"/>
      <c r="EJ338" s="150"/>
      <c r="EK338" s="150"/>
      <c r="EL338" s="150"/>
      <c r="EM338" s="150"/>
      <c r="EN338" s="150"/>
      <c r="EO338" s="150"/>
      <c r="EP338" s="150"/>
      <c r="EQ338" s="150"/>
      <c r="ER338" s="150"/>
      <c r="ES338" s="150"/>
      <c r="ET338" s="150"/>
      <c r="EU338" s="150"/>
      <c r="EV338" s="150"/>
      <c r="EW338" s="150"/>
      <c r="EX338" s="150"/>
      <c r="EY338" s="150"/>
      <c r="EZ338" s="150"/>
      <c r="FA338" s="150"/>
      <c r="FB338" s="150"/>
      <c r="FC338" s="150"/>
      <c r="FD338" s="150"/>
      <c r="FE338" s="150"/>
      <c r="FF338" s="150"/>
      <c r="FG338" s="150"/>
      <c r="FH338" s="150"/>
      <c r="FI338" s="150"/>
      <c r="FJ338" s="150"/>
      <c r="FK338" s="150"/>
      <c r="FL338" s="150"/>
      <c r="FM338" s="150"/>
      <c r="FN338" s="150"/>
      <c r="FO338" s="150"/>
      <c r="FP338" s="150"/>
      <c r="FQ338" s="150"/>
      <c r="FR338" s="150"/>
      <c r="FS338" s="150"/>
      <c r="FT338" s="150"/>
      <c r="FU338" s="150"/>
      <c r="FV338" s="150"/>
      <c r="FW338" s="150"/>
      <c r="FX338" s="150"/>
      <c r="FY338" s="150"/>
      <c r="FZ338" s="150"/>
      <c r="GA338" s="150"/>
      <c r="GB338" s="150"/>
      <c r="GC338" s="150"/>
      <c r="GD338" s="150"/>
      <c r="GE338" s="150"/>
      <c r="GF338" s="150"/>
      <c r="GG338" s="150"/>
      <c r="GH338" s="150"/>
      <c r="GI338" s="150"/>
      <c r="GJ338" s="150"/>
      <c r="GK338" s="150"/>
      <c r="GL338" s="150"/>
      <c r="GM338" s="150"/>
      <c r="GN338" s="150"/>
      <c r="GO338" s="150"/>
      <c r="GP338" s="150"/>
      <c r="GQ338" s="150"/>
      <c r="GR338" s="150"/>
      <c r="GS338" s="150"/>
      <c r="GT338" s="150"/>
      <c r="GU338" s="150"/>
      <c r="GV338" s="150"/>
      <c r="GW338" s="150"/>
      <c r="GX338" s="150"/>
      <c r="GY338" s="150"/>
      <c r="GZ338" s="150"/>
      <c r="HA338" s="150"/>
      <c r="HB338" s="150"/>
      <c r="HC338" s="150"/>
      <c r="HD338" s="150"/>
      <c r="HE338" s="150"/>
      <c r="HF338" s="150"/>
      <c r="HG338" s="150"/>
      <c r="HH338" s="150"/>
      <c r="HI338" s="150"/>
      <c r="HJ338" s="150"/>
      <c r="HK338" s="150"/>
      <c r="HL338" s="150"/>
    </row>
    <row r="339" spans="1:220" s="152" customFormat="1" ht="14.25">
      <c r="A339" s="153"/>
      <c r="C339" s="154"/>
      <c r="D339" s="155"/>
      <c r="F339" s="194"/>
      <c r="H339" s="155"/>
      <c r="AJ339" s="156"/>
      <c r="AK339" s="156"/>
      <c r="AQ339" s="154"/>
      <c r="AW339" s="154"/>
      <c r="AX339" s="154"/>
      <c r="AY339" s="158"/>
      <c r="BA339" s="279"/>
      <c r="CH339" s="154"/>
      <c r="CQ339" s="149"/>
      <c r="CS339" s="147"/>
      <c r="CV339" s="150"/>
      <c r="CW339" s="150"/>
      <c r="CX339" s="150"/>
      <c r="CY339" s="150"/>
      <c r="CZ339" s="150"/>
      <c r="DA339" s="150"/>
      <c r="DB339" s="150"/>
      <c r="DC339" s="150"/>
      <c r="DD339" s="150"/>
      <c r="DE339" s="150"/>
      <c r="DF339" s="150"/>
      <c r="DG339" s="150"/>
      <c r="DH339" s="150"/>
      <c r="DI339" s="150"/>
      <c r="DJ339" s="150"/>
      <c r="DK339" s="150"/>
      <c r="DL339" s="150"/>
      <c r="DM339" s="150"/>
      <c r="DN339" s="150"/>
      <c r="DO339" s="150"/>
      <c r="DP339" s="150"/>
      <c r="DQ339" s="150"/>
      <c r="DR339" s="150"/>
      <c r="DS339" s="150"/>
      <c r="DT339" s="150"/>
      <c r="DU339" s="150"/>
      <c r="DV339" s="150"/>
      <c r="DW339" s="150"/>
      <c r="DX339" s="150"/>
      <c r="DY339" s="150"/>
      <c r="DZ339" s="150"/>
      <c r="EA339" s="150"/>
      <c r="EB339" s="150"/>
      <c r="EC339" s="150"/>
      <c r="ED339" s="150"/>
      <c r="EE339" s="150"/>
      <c r="EF339" s="150"/>
      <c r="EG339" s="150"/>
      <c r="EH339" s="150"/>
      <c r="EI339" s="150"/>
      <c r="EJ339" s="150"/>
      <c r="EK339" s="150"/>
      <c r="EL339" s="150"/>
      <c r="EM339" s="150"/>
      <c r="EN339" s="150"/>
      <c r="EO339" s="150"/>
      <c r="EP339" s="150"/>
      <c r="EQ339" s="150"/>
      <c r="ER339" s="150"/>
      <c r="ES339" s="150"/>
      <c r="ET339" s="150"/>
      <c r="EU339" s="150"/>
      <c r="EV339" s="150"/>
      <c r="EW339" s="150"/>
      <c r="EX339" s="150"/>
      <c r="EY339" s="150"/>
      <c r="EZ339" s="150"/>
      <c r="FA339" s="150"/>
      <c r="FB339" s="150"/>
      <c r="FC339" s="150"/>
      <c r="FD339" s="150"/>
      <c r="FE339" s="150"/>
      <c r="FF339" s="150"/>
      <c r="FG339" s="150"/>
      <c r="FH339" s="150"/>
      <c r="FI339" s="150"/>
      <c r="FJ339" s="150"/>
      <c r="FK339" s="150"/>
      <c r="FL339" s="150"/>
      <c r="FM339" s="150"/>
      <c r="FN339" s="150"/>
      <c r="FO339" s="150"/>
      <c r="FP339" s="150"/>
      <c r="FQ339" s="150"/>
      <c r="FR339" s="150"/>
      <c r="FS339" s="150"/>
      <c r="FT339" s="150"/>
      <c r="FU339" s="150"/>
      <c r="FV339" s="150"/>
      <c r="FW339" s="150"/>
      <c r="FX339" s="150"/>
      <c r="FY339" s="150"/>
      <c r="FZ339" s="150"/>
      <c r="GA339" s="150"/>
      <c r="GB339" s="150"/>
      <c r="GC339" s="150"/>
      <c r="GD339" s="150"/>
      <c r="GE339" s="150"/>
      <c r="GF339" s="150"/>
      <c r="GG339" s="150"/>
      <c r="GH339" s="150"/>
      <c r="GI339" s="150"/>
      <c r="GJ339" s="150"/>
      <c r="GK339" s="150"/>
      <c r="GL339" s="150"/>
      <c r="GM339" s="150"/>
      <c r="GN339" s="150"/>
      <c r="GO339" s="150"/>
      <c r="GP339" s="150"/>
      <c r="GQ339" s="150"/>
      <c r="GR339" s="150"/>
      <c r="GS339" s="150"/>
      <c r="GT339" s="150"/>
      <c r="GU339" s="150"/>
      <c r="GV339" s="150"/>
      <c r="GW339" s="150"/>
      <c r="GX339" s="150"/>
      <c r="GY339" s="150"/>
      <c r="GZ339" s="150"/>
      <c r="HA339" s="150"/>
      <c r="HB339" s="150"/>
      <c r="HC339" s="150"/>
      <c r="HD339" s="150"/>
      <c r="HE339" s="150"/>
      <c r="HF339" s="150"/>
      <c r="HG339" s="150"/>
      <c r="HH339" s="150"/>
      <c r="HI339" s="150"/>
      <c r="HJ339" s="150"/>
      <c r="HK339" s="150"/>
      <c r="HL339" s="150"/>
    </row>
    <row r="340" spans="1:220" s="152" customFormat="1" ht="14.25">
      <c r="A340" s="153"/>
      <c r="C340" s="154"/>
      <c r="D340" s="155"/>
      <c r="F340" s="194"/>
      <c r="H340" s="155"/>
      <c r="AJ340" s="156"/>
      <c r="AK340" s="156"/>
      <c r="AQ340" s="154"/>
      <c r="AW340" s="154"/>
      <c r="AX340" s="154"/>
      <c r="AY340" s="158"/>
      <c r="BA340" s="279"/>
      <c r="CH340" s="154"/>
      <c r="CQ340" s="149"/>
      <c r="CS340" s="147"/>
      <c r="CV340" s="150"/>
      <c r="CW340" s="150"/>
      <c r="CX340" s="150"/>
      <c r="CY340" s="150"/>
      <c r="CZ340" s="150"/>
      <c r="DA340" s="150"/>
      <c r="DB340" s="150"/>
      <c r="DC340" s="150"/>
      <c r="DD340" s="150"/>
      <c r="DE340" s="150"/>
      <c r="DF340" s="150"/>
      <c r="DG340" s="150"/>
      <c r="DH340" s="150"/>
      <c r="DI340" s="150"/>
      <c r="DJ340" s="150"/>
      <c r="DK340" s="150"/>
      <c r="DL340" s="150"/>
      <c r="DM340" s="150"/>
      <c r="DN340" s="150"/>
      <c r="DO340" s="150"/>
      <c r="DP340" s="150"/>
      <c r="DQ340" s="150"/>
      <c r="DR340" s="150"/>
      <c r="DS340" s="150"/>
      <c r="DT340" s="150"/>
      <c r="DU340" s="150"/>
      <c r="DV340" s="150"/>
      <c r="DW340" s="150"/>
      <c r="DX340" s="150"/>
      <c r="DY340" s="150"/>
      <c r="DZ340" s="150"/>
      <c r="EA340" s="150"/>
      <c r="EB340" s="150"/>
      <c r="EC340" s="150"/>
      <c r="ED340" s="150"/>
      <c r="EE340" s="150"/>
      <c r="EF340" s="150"/>
      <c r="EG340" s="150"/>
      <c r="EH340" s="150"/>
      <c r="EI340" s="150"/>
      <c r="EJ340" s="150"/>
      <c r="EK340" s="150"/>
      <c r="EL340" s="150"/>
      <c r="EM340" s="150"/>
      <c r="EN340" s="150"/>
      <c r="EO340" s="150"/>
      <c r="EP340" s="150"/>
      <c r="EQ340" s="150"/>
      <c r="ER340" s="150"/>
      <c r="ES340" s="150"/>
      <c r="ET340" s="150"/>
      <c r="EU340" s="150"/>
      <c r="EV340" s="150"/>
      <c r="EW340" s="150"/>
      <c r="EX340" s="150"/>
      <c r="EY340" s="150"/>
      <c r="EZ340" s="150"/>
      <c r="FA340" s="150"/>
      <c r="FB340" s="150"/>
      <c r="FC340" s="150"/>
      <c r="FD340" s="150"/>
      <c r="FE340" s="150"/>
      <c r="FF340" s="150"/>
      <c r="FG340" s="150"/>
      <c r="FH340" s="150"/>
      <c r="FI340" s="150"/>
      <c r="FJ340" s="150"/>
      <c r="FK340" s="150"/>
      <c r="FL340" s="150"/>
      <c r="FM340" s="150"/>
      <c r="FN340" s="150"/>
      <c r="FO340" s="150"/>
      <c r="FP340" s="150"/>
      <c r="FQ340" s="150"/>
      <c r="FR340" s="150"/>
      <c r="FS340" s="150"/>
      <c r="FT340" s="150"/>
      <c r="FU340" s="150"/>
      <c r="FV340" s="150"/>
      <c r="FW340" s="150"/>
      <c r="FX340" s="150"/>
      <c r="FY340" s="150"/>
      <c r="FZ340" s="150"/>
      <c r="GA340" s="150"/>
      <c r="GB340" s="150"/>
      <c r="GC340" s="150"/>
      <c r="GD340" s="150"/>
      <c r="GE340" s="150"/>
      <c r="GF340" s="150"/>
      <c r="GG340" s="150"/>
      <c r="GH340" s="150"/>
      <c r="GI340" s="150"/>
      <c r="GJ340" s="150"/>
      <c r="GK340" s="150"/>
      <c r="GL340" s="150"/>
      <c r="GM340" s="150"/>
      <c r="GN340" s="150"/>
      <c r="GO340" s="150"/>
      <c r="GP340" s="150"/>
      <c r="GQ340" s="150"/>
      <c r="GR340" s="150"/>
      <c r="GS340" s="150"/>
      <c r="GT340" s="150"/>
      <c r="GU340" s="150"/>
      <c r="GV340" s="150"/>
      <c r="GW340" s="150"/>
      <c r="GX340" s="150"/>
      <c r="GY340" s="150"/>
      <c r="GZ340" s="150"/>
      <c r="HA340" s="150"/>
      <c r="HB340" s="150"/>
      <c r="HC340" s="150"/>
      <c r="HD340" s="150"/>
      <c r="HE340" s="150"/>
      <c r="HF340" s="150"/>
      <c r="HG340" s="150"/>
      <c r="HH340" s="150"/>
      <c r="HI340" s="150"/>
      <c r="HJ340" s="150"/>
      <c r="HK340" s="150"/>
      <c r="HL340" s="150"/>
    </row>
    <row r="341" spans="1:220" s="152" customFormat="1" ht="14.25">
      <c r="A341" s="153"/>
      <c r="C341" s="154"/>
      <c r="D341" s="155"/>
      <c r="F341" s="194"/>
      <c r="H341" s="155"/>
      <c r="AJ341" s="156"/>
      <c r="AK341" s="156"/>
      <c r="AQ341" s="154"/>
      <c r="AW341" s="154"/>
      <c r="AX341" s="154"/>
      <c r="AY341" s="158"/>
      <c r="BA341" s="279"/>
      <c r="CH341" s="154"/>
      <c r="CQ341" s="149"/>
      <c r="CS341" s="147"/>
      <c r="CV341" s="150"/>
      <c r="CW341" s="150"/>
      <c r="CX341" s="150"/>
      <c r="CY341" s="150"/>
      <c r="CZ341" s="150"/>
      <c r="DA341" s="150"/>
      <c r="DB341" s="150"/>
      <c r="DC341" s="150"/>
      <c r="DD341" s="150"/>
      <c r="DE341" s="150"/>
      <c r="DF341" s="150"/>
      <c r="DG341" s="150"/>
      <c r="DH341" s="150"/>
      <c r="DI341" s="150"/>
      <c r="DJ341" s="150"/>
      <c r="DK341" s="150"/>
      <c r="DL341" s="150"/>
      <c r="DM341" s="150"/>
      <c r="DN341" s="150"/>
      <c r="DO341" s="150"/>
      <c r="DP341" s="150"/>
      <c r="DQ341" s="150"/>
      <c r="DR341" s="150"/>
      <c r="DS341" s="150"/>
      <c r="DT341" s="150"/>
      <c r="DU341" s="150"/>
      <c r="DV341" s="150"/>
      <c r="DW341" s="150"/>
      <c r="DX341" s="150"/>
      <c r="DY341" s="150"/>
      <c r="DZ341" s="150"/>
      <c r="EA341" s="150"/>
      <c r="EB341" s="150"/>
      <c r="EC341" s="150"/>
      <c r="ED341" s="150"/>
      <c r="EE341" s="150"/>
      <c r="EF341" s="150"/>
      <c r="EG341" s="150"/>
      <c r="EH341" s="150"/>
      <c r="EI341" s="150"/>
      <c r="EJ341" s="150"/>
      <c r="EK341" s="150"/>
      <c r="EL341" s="150"/>
      <c r="EM341" s="150"/>
      <c r="EN341" s="150"/>
      <c r="EO341" s="150"/>
      <c r="EP341" s="150"/>
      <c r="EQ341" s="150"/>
      <c r="ER341" s="150"/>
      <c r="ES341" s="150"/>
      <c r="ET341" s="150"/>
      <c r="EU341" s="150"/>
      <c r="EV341" s="150"/>
      <c r="EW341" s="150"/>
      <c r="EX341" s="150"/>
      <c r="EY341" s="150"/>
      <c r="EZ341" s="150"/>
      <c r="FA341" s="150"/>
      <c r="FB341" s="150"/>
      <c r="FC341" s="150"/>
      <c r="FD341" s="150"/>
      <c r="FE341" s="150"/>
      <c r="FF341" s="150"/>
      <c r="FG341" s="150"/>
      <c r="FH341" s="150"/>
      <c r="FI341" s="150"/>
      <c r="FJ341" s="150"/>
      <c r="FK341" s="150"/>
      <c r="FL341" s="150"/>
      <c r="FM341" s="150"/>
      <c r="FN341" s="150"/>
      <c r="FO341" s="150"/>
      <c r="FP341" s="150"/>
      <c r="FQ341" s="150"/>
      <c r="FR341" s="150"/>
      <c r="FS341" s="150"/>
      <c r="FT341" s="150"/>
      <c r="FU341" s="150"/>
      <c r="FV341" s="150"/>
      <c r="FW341" s="150"/>
      <c r="FX341" s="150"/>
      <c r="FY341" s="150"/>
      <c r="FZ341" s="150"/>
      <c r="GA341" s="150"/>
      <c r="GB341" s="150"/>
      <c r="GC341" s="150"/>
      <c r="GD341" s="150"/>
      <c r="GE341" s="150"/>
      <c r="GF341" s="150"/>
      <c r="GG341" s="150"/>
      <c r="GH341" s="150"/>
      <c r="GI341" s="150"/>
      <c r="GJ341" s="150"/>
      <c r="GK341" s="150"/>
      <c r="GL341" s="150"/>
      <c r="GM341" s="150"/>
      <c r="GN341" s="150"/>
      <c r="GO341" s="150"/>
      <c r="GP341" s="150"/>
      <c r="GQ341" s="150"/>
      <c r="GR341" s="150"/>
      <c r="GS341" s="150"/>
      <c r="GT341" s="150"/>
      <c r="GU341" s="150"/>
      <c r="GV341" s="150"/>
      <c r="GW341" s="150"/>
      <c r="GX341" s="150"/>
      <c r="GY341" s="150"/>
      <c r="GZ341" s="150"/>
      <c r="HA341" s="150"/>
      <c r="HB341" s="150"/>
      <c r="HC341" s="150"/>
      <c r="HD341" s="150"/>
      <c r="HE341" s="150"/>
      <c r="HF341" s="150"/>
      <c r="HG341" s="150"/>
      <c r="HH341" s="150"/>
      <c r="HI341" s="150"/>
      <c r="HJ341" s="150"/>
      <c r="HK341" s="150"/>
      <c r="HL341" s="150"/>
    </row>
    <row r="342" spans="1:220" s="152" customFormat="1" ht="14.25">
      <c r="A342" s="153"/>
      <c r="C342" s="154"/>
      <c r="D342" s="155"/>
      <c r="F342" s="194"/>
      <c r="H342" s="155"/>
      <c r="AJ342" s="156"/>
      <c r="AK342" s="156"/>
      <c r="AQ342" s="154"/>
      <c r="AW342" s="154"/>
      <c r="AX342" s="154"/>
      <c r="AY342" s="158"/>
      <c r="BA342" s="279"/>
      <c r="CH342" s="154"/>
      <c r="CQ342" s="149"/>
      <c r="CS342" s="147"/>
      <c r="CV342" s="150"/>
      <c r="CW342" s="150"/>
      <c r="CX342" s="150"/>
      <c r="CY342" s="150"/>
      <c r="CZ342" s="150"/>
      <c r="DA342" s="150"/>
      <c r="DB342" s="150"/>
      <c r="DC342" s="150"/>
      <c r="DD342" s="150"/>
      <c r="DE342" s="150"/>
      <c r="DF342" s="150"/>
      <c r="DG342" s="150"/>
      <c r="DH342" s="150"/>
      <c r="DI342" s="150"/>
      <c r="DJ342" s="150"/>
      <c r="DK342" s="150"/>
      <c r="DL342" s="150"/>
      <c r="DM342" s="150"/>
      <c r="DN342" s="150"/>
      <c r="DO342" s="150"/>
      <c r="DP342" s="150"/>
      <c r="DQ342" s="150"/>
      <c r="DR342" s="150"/>
      <c r="DS342" s="150"/>
      <c r="DT342" s="150"/>
      <c r="DU342" s="150"/>
      <c r="DV342" s="150"/>
      <c r="DW342" s="150"/>
      <c r="DX342" s="150"/>
      <c r="DY342" s="150"/>
      <c r="DZ342" s="150"/>
      <c r="EA342" s="150"/>
      <c r="EB342" s="150"/>
      <c r="EC342" s="150"/>
      <c r="ED342" s="150"/>
      <c r="EE342" s="150"/>
      <c r="EF342" s="150"/>
      <c r="EG342" s="150"/>
      <c r="EH342" s="150"/>
      <c r="EI342" s="150"/>
      <c r="EJ342" s="150"/>
      <c r="EK342" s="150"/>
      <c r="EL342" s="150"/>
      <c r="EM342" s="150"/>
      <c r="EN342" s="150"/>
      <c r="EO342" s="150"/>
      <c r="EP342" s="150"/>
      <c r="EQ342" s="150"/>
      <c r="ER342" s="150"/>
      <c r="ES342" s="150"/>
      <c r="ET342" s="150"/>
      <c r="EU342" s="150"/>
      <c r="EV342" s="150"/>
      <c r="EW342" s="150"/>
      <c r="EX342" s="150"/>
      <c r="EY342" s="150"/>
      <c r="EZ342" s="150"/>
      <c r="FA342" s="150"/>
      <c r="FB342" s="150"/>
      <c r="FC342" s="150"/>
      <c r="FD342" s="150"/>
      <c r="FE342" s="150"/>
      <c r="FF342" s="150"/>
      <c r="FG342" s="150"/>
      <c r="FH342" s="150"/>
      <c r="FI342" s="150"/>
      <c r="FJ342" s="150"/>
      <c r="FK342" s="150"/>
      <c r="FL342" s="150"/>
      <c r="FM342" s="150"/>
      <c r="FN342" s="150"/>
      <c r="FO342" s="150"/>
      <c r="FP342" s="150"/>
      <c r="FQ342" s="150"/>
      <c r="FR342" s="150"/>
      <c r="FS342" s="150"/>
      <c r="FT342" s="150"/>
      <c r="FU342" s="150"/>
      <c r="FV342" s="150"/>
      <c r="FW342" s="150"/>
      <c r="FX342" s="150"/>
      <c r="FY342" s="150"/>
      <c r="FZ342" s="150"/>
      <c r="GA342" s="150"/>
      <c r="GB342" s="150"/>
      <c r="GC342" s="150"/>
      <c r="GD342" s="150"/>
      <c r="GE342" s="150"/>
      <c r="GF342" s="150"/>
      <c r="GG342" s="150"/>
      <c r="GH342" s="150"/>
      <c r="GI342" s="150"/>
      <c r="GJ342" s="150"/>
      <c r="GK342" s="150"/>
      <c r="GL342" s="150"/>
      <c r="GM342" s="150"/>
      <c r="GN342" s="150"/>
      <c r="GO342" s="150"/>
      <c r="GP342" s="150"/>
      <c r="GQ342" s="150"/>
      <c r="GR342" s="150"/>
      <c r="GS342" s="150"/>
      <c r="GT342" s="150"/>
      <c r="GU342" s="150"/>
      <c r="GV342" s="150"/>
      <c r="GW342" s="150"/>
      <c r="GX342" s="150"/>
      <c r="GY342" s="150"/>
      <c r="GZ342" s="150"/>
      <c r="HA342" s="150"/>
      <c r="HB342" s="150"/>
      <c r="HC342" s="150"/>
      <c r="HD342" s="150"/>
      <c r="HE342" s="150"/>
      <c r="HF342" s="150"/>
      <c r="HG342" s="150"/>
      <c r="HH342" s="150"/>
      <c r="HI342" s="150"/>
      <c r="HJ342" s="150"/>
      <c r="HK342" s="150"/>
      <c r="HL342" s="150"/>
    </row>
    <row r="343" spans="1:220" s="152" customFormat="1" ht="14.25">
      <c r="A343" s="153"/>
      <c r="C343" s="154"/>
      <c r="D343" s="155"/>
      <c r="F343" s="194"/>
      <c r="H343" s="155"/>
      <c r="AJ343" s="156"/>
      <c r="AK343" s="156"/>
      <c r="AQ343" s="154"/>
      <c r="AW343" s="154"/>
      <c r="AX343" s="154"/>
      <c r="AY343" s="158"/>
      <c r="BA343" s="279"/>
      <c r="CH343" s="154"/>
      <c r="CQ343" s="149"/>
      <c r="CS343" s="147"/>
      <c r="CV343" s="150"/>
      <c r="CW343" s="150"/>
      <c r="CX343" s="150"/>
      <c r="CY343" s="150"/>
      <c r="CZ343" s="150"/>
      <c r="DA343" s="150"/>
      <c r="DB343" s="150"/>
      <c r="DC343" s="150"/>
      <c r="DD343" s="150"/>
      <c r="DE343" s="150"/>
      <c r="DF343" s="150"/>
      <c r="DG343" s="150"/>
      <c r="DH343" s="150"/>
      <c r="DI343" s="150"/>
      <c r="DJ343" s="150"/>
      <c r="DK343" s="150"/>
      <c r="DL343" s="150"/>
      <c r="DM343" s="150"/>
      <c r="DN343" s="150"/>
      <c r="DO343" s="150"/>
      <c r="DP343" s="150"/>
      <c r="DQ343" s="150"/>
      <c r="DR343" s="150"/>
      <c r="DS343" s="150"/>
      <c r="DT343" s="150"/>
      <c r="DU343" s="150"/>
      <c r="DV343" s="150"/>
      <c r="DW343" s="150"/>
      <c r="DX343" s="150"/>
      <c r="DY343" s="150"/>
      <c r="DZ343" s="150"/>
      <c r="EA343" s="150"/>
      <c r="EB343" s="150"/>
      <c r="EC343" s="150"/>
      <c r="ED343" s="150"/>
      <c r="EE343" s="150"/>
      <c r="EF343" s="150"/>
      <c r="EG343" s="150"/>
      <c r="EH343" s="150"/>
      <c r="EI343" s="150"/>
      <c r="EJ343" s="150"/>
      <c r="EK343" s="150"/>
      <c r="EL343" s="150"/>
      <c r="EM343" s="150"/>
      <c r="EN343" s="150"/>
      <c r="EO343" s="150"/>
      <c r="EP343" s="150"/>
      <c r="EQ343" s="150"/>
      <c r="ER343" s="150"/>
      <c r="ES343" s="150"/>
      <c r="ET343" s="150"/>
      <c r="EU343" s="150"/>
      <c r="EV343" s="150"/>
      <c r="EW343" s="150"/>
      <c r="EX343" s="150"/>
      <c r="EY343" s="150"/>
      <c r="EZ343" s="150"/>
      <c r="FA343" s="150"/>
      <c r="FB343" s="150"/>
      <c r="FC343" s="150"/>
      <c r="FD343" s="150"/>
      <c r="FE343" s="150"/>
      <c r="FF343" s="150"/>
      <c r="FG343" s="150"/>
      <c r="FH343" s="150"/>
      <c r="FI343" s="150"/>
      <c r="FJ343" s="150"/>
      <c r="FK343" s="150"/>
      <c r="FL343" s="150"/>
      <c r="FM343" s="150"/>
      <c r="FN343" s="150"/>
      <c r="FO343" s="150"/>
      <c r="FP343" s="150"/>
      <c r="FQ343" s="150"/>
      <c r="FR343" s="150"/>
      <c r="FS343" s="150"/>
      <c r="FT343" s="150"/>
      <c r="FU343" s="150"/>
      <c r="FV343" s="150"/>
      <c r="FW343" s="150"/>
      <c r="FX343" s="150"/>
      <c r="FY343" s="150"/>
      <c r="FZ343" s="150"/>
      <c r="GA343" s="150"/>
      <c r="GB343" s="150"/>
      <c r="GC343" s="150"/>
      <c r="GD343" s="150"/>
      <c r="GE343" s="150"/>
      <c r="GF343" s="150"/>
      <c r="GG343" s="150"/>
      <c r="GH343" s="150"/>
      <c r="GI343" s="150"/>
      <c r="GJ343" s="150"/>
      <c r="GK343" s="150"/>
      <c r="GL343" s="150"/>
      <c r="GM343" s="150"/>
      <c r="GN343" s="150"/>
      <c r="GO343" s="150"/>
      <c r="GP343" s="150"/>
      <c r="GQ343" s="150"/>
      <c r="GR343" s="150"/>
      <c r="GS343" s="150"/>
      <c r="GT343" s="150"/>
      <c r="GU343" s="150"/>
      <c r="GV343" s="150"/>
      <c r="GW343" s="150"/>
      <c r="GX343" s="150"/>
      <c r="GY343" s="150"/>
      <c r="GZ343" s="150"/>
      <c r="HA343" s="150"/>
      <c r="HB343" s="150"/>
      <c r="HC343" s="150"/>
      <c r="HD343" s="150"/>
      <c r="HE343" s="150"/>
      <c r="HF343" s="150"/>
      <c r="HG343" s="150"/>
      <c r="HH343" s="150"/>
      <c r="HI343" s="150"/>
      <c r="HJ343" s="150"/>
      <c r="HK343" s="150"/>
      <c r="HL343" s="150"/>
    </row>
    <row r="344" spans="1:220" s="152" customFormat="1" ht="14.25">
      <c r="A344" s="153"/>
      <c r="C344" s="154"/>
      <c r="D344" s="155"/>
      <c r="F344" s="194"/>
      <c r="H344" s="155"/>
      <c r="AJ344" s="156"/>
      <c r="AK344" s="156"/>
      <c r="AQ344" s="154"/>
      <c r="AW344" s="154"/>
      <c r="AX344" s="154"/>
      <c r="AY344" s="158"/>
      <c r="BA344" s="279"/>
      <c r="CH344" s="154"/>
      <c r="CQ344" s="149"/>
      <c r="CS344" s="147"/>
      <c r="CV344" s="150"/>
      <c r="CW344" s="150"/>
      <c r="CX344" s="150"/>
      <c r="CY344" s="150"/>
      <c r="CZ344" s="150"/>
      <c r="DA344" s="150"/>
      <c r="DB344" s="150"/>
      <c r="DC344" s="150"/>
      <c r="DD344" s="150"/>
      <c r="DE344" s="150"/>
      <c r="DF344" s="150"/>
      <c r="DG344" s="150"/>
      <c r="DH344" s="150"/>
      <c r="DI344" s="150"/>
      <c r="DJ344" s="150"/>
      <c r="DK344" s="150"/>
      <c r="DL344" s="150"/>
      <c r="DM344" s="150"/>
      <c r="DN344" s="150"/>
      <c r="DO344" s="150"/>
      <c r="DP344" s="150"/>
      <c r="DQ344" s="150"/>
      <c r="DR344" s="150"/>
      <c r="DS344" s="150"/>
      <c r="DT344" s="150"/>
      <c r="DU344" s="150"/>
      <c r="DV344" s="150"/>
      <c r="DW344" s="150"/>
      <c r="DX344" s="150"/>
      <c r="DY344" s="150"/>
      <c r="DZ344" s="150"/>
      <c r="EA344" s="150"/>
      <c r="EB344" s="150"/>
      <c r="EC344" s="150"/>
      <c r="ED344" s="150"/>
      <c r="EE344" s="150"/>
      <c r="EF344" s="150"/>
      <c r="EG344" s="150"/>
      <c r="EH344" s="150"/>
      <c r="EI344" s="150"/>
      <c r="EJ344" s="150"/>
      <c r="EK344" s="150"/>
      <c r="EL344" s="150"/>
      <c r="EM344" s="150"/>
      <c r="EN344" s="150"/>
      <c r="EO344" s="150"/>
      <c r="EP344" s="150"/>
      <c r="EQ344" s="150"/>
      <c r="ER344" s="150"/>
      <c r="ES344" s="150"/>
      <c r="ET344" s="150"/>
      <c r="EU344" s="150"/>
      <c r="EV344" s="150"/>
      <c r="EW344" s="150"/>
      <c r="EX344" s="150"/>
      <c r="EY344" s="150"/>
      <c r="EZ344" s="150"/>
      <c r="FA344" s="150"/>
      <c r="FB344" s="150"/>
      <c r="FC344" s="150"/>
      <c r="FD344" s="150"/>
      <c r="FE344" s="150"/>
      <c r="FF344" s="150"/>
      <c r="FG344" s="150"/>
      <c r="FH344" s="150"/>
      <c r="FI344" s="150"/>
      <c r="FJ344" s="150"/>
      <c r="FK344" s="150"/>
      <c r="FL344" s="150"/>
      <c r="FM344" s="150"/>
      <c r="FN344" s="150"/>
      <c r="FO344" s="150"/>
      <c r="FP344" s="150"/>
      <c r="FQ344" s="150"/>
      <c r="FR344" s="150"/>
      <c r="FS344" s="150"/>
      <c r="FT344" s="150"/>
      <c r="FU344" s="150"/>
      <c r="FV344" s="150"/>
      <c r="FW344" s="150"/>
      <c r="FX344" s="150"/>
      <c r="FY344" s="150"/>
      <c r="FZ344" s="150"/>
      <c r="GA344" s="150"/>
      <c r="GB344" s="150"/>
      <c r="GC344" s="150"/>
      <c r="GD344" s="150"/>
      <c r="GE344" s="150"/>
      <c r="GF344" s="150"/>
      <c r="GG344" s="150"/>
      <c r="GH344" s="150"/>
      <c r="GI344" s="150"/>
      <c r="GJ344" s="150"/>
      <c r="GK344" s="150"/>
      <c r="GL344" s="150"/>
      <c r="GM344" s="150"/>
      <c r="GN344" s="150"/>
      <c r="GO344" s="150"/>
      <c r="GP344" s="150"/>
      <c r="GQ344" s="150"/>
      <c r="GR344" s="150"/>
      <c r="GS344" s="150"/>
      <c r="GT344" s="150"/>
      <c r="GU344" s="150"/>
      <c r="GV344" s="150"/>
      <c r="GW344" s="150"/>
      <c r="GX344" s="150"/>
      <c r="GY344" s="150"/>
      <c r="GZ344" s="150"/>
      <c r="HA344" s="150"/>
      <c r="HB344" s="150"/>
      <c r="HC344" s="150"/>
      <c r="HD344" s="150"/>
      <c r="HE344" s="150"/>
      <c r="HF344" s="150"/>
      <c r="HG344" s="150"/>
      <c r="HH344" s="150"/>
      <c r="HI344" s="150"/>
      <c r="HJ344" s="150"/>
      <c r="HK344" s="150"/>
      <c r="HL344" s="150"/>
    </row>
    <row r="345" spans="1:220" s="152" customFormat="1" ht="14.25">
      <c r="A345" s="153"/>
      <c r="C345" s="154"/>
      <c r="D345" s="155"/>
      <c r="F345" s="194"/>
      <c r="H345" s="155"/>
      <c r="AJ345" s="156"/>
      <c r="AK345" s="156"/>
      <c r="AQ345" s="154"/>
      <c r="AW345" s="154"/>
      <c r="AX345" s="154"/>
      <c r="AY345" s="158"/>
      <c r="BA345" s="279"/>
      <c r="CH345" s="154"/>
      <c r="CQ345" s="149"/>
      <c r="CS345" s="147"/>
      <c r="CV345" s="150"/>
      <c r="CW345" s="150"/>
      <c r="CX345" s="150"/>
      <c r="CY345" s="150"/>
      <c r="CZ345" s="150"/>
      <c r="DA345" s="150"/>
      <c r="DB345" s="150"/>
      <c r="DC345" s="150"/>
      <c r="DD345" s="150"/>
      <c r="DE345" s="150"/>
      <c r="DF345" s="150"/>
      <c r="DG345" s="150"/>
      <c r="DH345" s="150"/>
      <c r="DI345" s="150"/>
      <c r="DJ345" s="150"/>
      <c r="DK345" s="150"/>
      <c r="DL345" s="150"/>
      <c r="DM345" s="150"/>
      <c r="DN345" s="150"/>
      <c r="DO345" s="150"/>
      <c r="DP345" s="150"/>
      <c r="DQ345" s="150"/>
      <c r="DR345" s="150"/>
      <c r="DS345" s="150"/>
      <c r="DT345" s="150"/>
      <c r="DU345" s="150"/>
      <c r="DV345" s="150"/>
      <c r="DW345" s="150"/>
      <c r="DX345" s="150"/>
      <c r="DY345" s="150"/>
      <c r="DZ345" s="150"/>
      <c r="EA345" s="150"/>
      <c r="EB345" s="150"/>
      <c r="EC345" s="150"/>
      <c r="ED345" s="150"/>
      <c r="EE345" s="150"/>
      <c r="EF345" s="150"/>
      <c r="EG345" s="150"/>
      <c r="EH345" s="150"/>
      <c r="EI345" s="150"/>
      <c r="EJ345" s="150"/>
      <c r="EK345" s="150"/>
      <c r="EL345" s="150"/>
      <c r="EM345" s="150"/>
      <c r="EN345" s="150"/>
      <c r="EO345" s="150"/>
      <c r="EP345" s="150"/>
      <c r="EQ345" s="150"/>
      <c r="ER345" s="150"/>
      <c r="ES345" s="150"/>
      <c r="ET345" s="150"/>
      <c r="EU345" s="150"/>
      <c r="EV345" s="150"/>
      <c r="EW345" s="150"/>
      <c r="EX345" s="150"/>
      <c r="EY345" s="150"/>
      <c r="EZ345" s="150"/>
      <c r="FA345" s="150"/>
      <c r="FB345" s="150"/>
      <c r="FC345" s="150"/>
      <c r="FD345" s="150"/>
      <c r="FE345" s="150"/>
      <c r="FF345" s="150"/>
      <c r="FG345" s="150"/>
      <c r="FH345" s="150"/>
      <c r="FI345" s="150"/>
      <c r="FJ345" s="150"/>
      <c r="FK345" s="150"/>
      <c r="FL345" s="150"/>
      <c r="FM345" s="150"/>
      <c r="FN345" s="150"/>
      <c r="FO345" s="150"/>
      <c r="FP345" s="150"/>
      <c r="FQ345" s="150"/>
      <c r="FR345" s="150"/>
      <c r="FS345" s="150"/>
      <c r="FT345" s="150"/>
      <c r="FU345" s="150"/>
      <c r="FV345" s="150"/>
      <c r="FW345" s="150"/>
      <c r="FX345" s="150"/>
      <c r="FY345" s="150"/>
      <c r="FZ345" s="150"/>
      <c r="GA345" s="150"/>
      <c r="GB345" s="150"/>
      <c r="GC345" s="150"/>
      <c r="GD345" s="150"/>
      <c r="GE345" s="150"/>
      <c r="GF345" s="150"/>
      <c r="GG345" s="150"/>
      <c r="GH345" s="150"/>
      <c r="GI345" s="150"/>
      <c r="GJ345" s="150"/>
      <c r="GK345" s="150"/>
      <c r="GL345" s="150"/>
      <c r="GM345" s="150"/>
      <c r="GN345" s="150"/>
      <c r="GO345" s="150"/>
      <c r="GP345" s="150"/>
      <c r="GQ345" s="150"/>
      <c r="GR345" s="150"/>
      <c r="GS345" s="150"/>
      <c r="GT345" s="150"/>
      <c r="GU345" s="150"/>
      <c r="GV345" s="150"/>
      <c r="GW345" s="150"/>
      <c r="GX345" s="150"/>
      <c r="GY345" s="150"/>
      <c r="GZ345" s="150"/>
      <c r="HA345" s="150"/>
      <c r="HB345" s="150"/>
      <c r="HC345" s="150"/>
      <c r="HD345" s="150"/>
      <c r="HE345" s="150"/>
      <c r="HF345" s="150"/>
      <c r="HG345" s="150"/>
      <c r="HH345" s="150"/>
      <c r="HI345" s="150"/>
      <c r="HJ345" s="150"/>
      <c r="HK345" s="150"/>
      <c r="HL345" s="150"/>
    </row>
    <row r="346" spans="1:220" s="152" customFormat="1" ht="14.25">
      <c r="A346" s="153"/>
      <c r="C346" s="154"/>
      <c r="D346" s="155"/>
      <c r="F346" s="194"/>
      <c r="H346" s="155"/>
      <c r="AJ346" s="156"/>
      <c r="AK346" s="156"/>
      <c r="AQ346" s="154"/>
      <c r="AW346" s="154"/>
      <c r="AX346" s="154"/>
      <c r="AY346" s="158"/>
      <c r="BA346" s="279"/>
      <c r="CH346" s="154"/>
      <c r="CQ346" s="149"/>
      <c r="CS346" s="147"/>
      <c r="CV346" s="150"/>
      <c r="CW346" s="150"/>
      <c r="CX346" s="150"/>
      <c r="CY346" s="150"/>
      <c r="CZ346" s="150"/>
      <c r="DA346" s="150"/>
      <c r="DB346" s="150"/>
      <c r="DC346" s="150"/>
      <c r="DD346" s="150"/>
      <c r="DE346" s="150"/>
      <c r="DF346" s="150"/>
      <c r="DG346" s="150"/>
      <c r="DH346" s="150"/>
      <c r="DI346" s="150"/>
      <c r="DJ346" s="150"/>
      <c r="DK346" s="150"/>
      <c r="DL346" s="150"/>
      <c r="DM346" s="150"/>
      <c r="DN346" s="150"/>
      <c r="DO346" s="150"/>
      <c r="DP346" s="150"/>
      <c r="DQ346" s="150"/>
      <c r="DR346" s="150"/>
      <c r="DS346" s="150"/>
      <c r="DT346" s="150"/>
      <c r="DU346" s="150"/>
      <c r="DV346" s="150"/>
      <c r="DW346" s="150"/>
      <c r="DX346" s="150"/>
      <c r="DY346" s="150"/>
      <c r="DZ346" s="150"/>
      <c r="EA346" s="150"/>
      <c r="EB346" s="150"/>
      <c r="EC346" s="150"/>
      <c r="ED346" s="150"/>
      <c r="EE346" s="150"/>
      <c r="EF346" s="150"/>
      <c r="EG346" s="150"/>
      <c r="EH346" s="150"/>
      <c r="EI346" s="150"/>
      <c r="EJ346" s="150"/>
      <c r="EK346" s="150"/>
      <c r="EL346" s="150"/>
      <c r="EM346" s="150"/>
      <c r="EN346" s="150"/>
      <c r="EO346" s="150"/>
      <c r="EP346" s="150"/>
      <c r="EQ346" s="150"/>
      <c r="ER346" s="150"/>
      <c r="ES346" s="150"/>
      <c r="ET346" s="150"/>
      <c r="EU346" s="150"/>
      <c r="EV346" s="150"/>
      <c r="EW346" s="150"/>
      <c r="EX346" s="150"/>
      <c r="EY346" s="150"/>
      <c r="EZ346" s="150"/>
      <c r="FA346" s="150"/>
      <c r="FB346" s="150"/>
      <c r="FC346" s="150"/>
      <c r="FD346" s="150"/>
      <c r="FE346" s="150"/>
      <c r="FF346" s="150"/>
      <c r="FG346" s="150"/>
      <c r="FH346" s="150"/>
      <c r="FI346" s="150"/>
      <c r="FJ346" s="150"/>
      <c r="FK346" s="150"/>
      <c r="FL346" s="150"/>
      <c r="FM346" s="150"/>
      <c r="FN346" s="150"/>
      <c r="FO346" s="150"/>
      <c r="FP346" s="150"/>
      <c r="FQ346" s="150"/>
      <c r="FR346" s="150"/>
      <c r="FS346" s="150"/>
      <c r="FT346" s="150"/>
      <c r="FU346" s="150"/>
      <c r="FV346" s="150"/>
      <c r="FW346" s="150"/>
      <c r="FX346" s="150"/>
      <c r="FY346" s="150"/>
      <c r="FZ346" s="150"/>
      <c r="GA346" s="150"/>
      <c r="GB346" s="150"/>
      <c r="GC346" s="150"/>
      <c r="GD346" s="150"/>
      <c r="GE346" s="150"/>
      <c r="GF346" s="150"/>
      <c r="GG346" s="150"/>
      <c r="GH346" s="150"/>
      <c r="GI346" s="150"/>
      <c r="GJ346" s="150"/>
      <c r="GK346" s="150"/>
      <c r="GL346" s="150"/>
      <c r="GM346" s="150"/>
      <c r="GN346" s="150"/>
      <c r="GO346" s="150"/>
      <c r="GP346" s="150"/>
      <c r="GQ346" s="150"/>
      <c r="GR346" s="150"/>
      <c r="GS346" s="150"/>
      <c r="GT346" s="150"/>
      <c r="GU346" s="150"/>
      <c r="GV346" s="150"/>
      <c r="GW346" s="150"/>
      <c r="GX346" s="150"/>
      <c r="GY346" s="150"/>
      <c r="GZ346" s="150"/>
      <c r="HA346" s="150"/>
      <c r="HB346" s="150"/>
      <c r="HC346" s="150"/>
      <c r="HD346" s="150"/>
      <c r="HE346" s="150"/>
      <c r="HF346" s="150"/>
      <c r="HG346" s="150"/>
      <c r="HH346" s="150"/>
      <c r="HI346" s="150"/>
      <c r="HJ346" s="150"/>
      <c r="HK346" s="150"/>
      <c r="HL346" s="150"/>
    </row>
    <row r="347" spans="1:220" s="152" customFormat="1" ht="14.25">
      <c r="A347" s="153"/>
      <c r="C347" s="154"/>
      <c r="D347" s="155"/>
      <c r="F347" s="194"/>
      <c r="H347" s="155"/>
      <c r="AJ347" s="156"/>
      <c r="AK347" s="156"/>
      <c r="AQ347" s="154"/>
      <c r="AW347" s="154"/>
      <c r="AX347" s="154"/>
      <c r="AY347" s="158"/>
      <c r="BA347" s="279"/>
      <c r="CH347" s="154"/>
      <c r="CQ347" s="149"/>
      <c r="CS347" s="147"/>
      <c r="CV347" s="150"/>
      <c r="CW347" s="150"/>
      <c r="CX347" s="150"/>
      <c r="CY347" s="150"/>
      <c r="CZ347" s="150"/>
      <c r="DA347" s="150"/>
      <c r="DB347" s="150"/>
      <c r="DC347" s="150"/>
      <c r="DD347" s="150"/>
      <c r="DE347" s="150"/>
      <c r="DF347" s="150"/>
      <c r="DG347" s="150"/>
      <c r="DH347" s="150"/>
      <c r="DI347" s="150"/>
      <c r="DJ347" s="150"/>
      <c r="DK347" s="150"/>
      <c r="DL347" s="150"/>
      <c r="DM347" s="150"/>
      <c r="DN347" s="150"/>
      <c r="DO347" s="150"/>
      <c r="DP347" s="150"/>
      <c r="DQ347" s="150"/>
      <c r="DR347" s="150"/>
      <c r="DS347" s="150"/>
      <c r="DT347" s="150"/>
      <c r="DU347" s="150"/>
      <c r="DV347" s="150"/>
      <c r="DW347" s="150"/>
      <c r="DX347" s="150"/>
      <c r="DY347" s="150"/>
      <c r="DZ347" s="150"/>
      <c r="EA347" s="150"/>
      <c r="EB347" s="150"/>
      <c r="EC347" s="150"/>
      <c r="ED347" s="150"/>
      <c r="EE347" s="150"/>
      <c r="EF347" s="150"/>
      <c r="EG347" s="150"/>
      <c r="EH347" s="150"/>
      <c r="EI347" s="150"/>
      <c r="EJ347" s="150"/>
      <c r="EK347" s="150"/>
      <c r="EL347" s="150"/>
      <c r="EM347" s="150"/>
      <c r="EN347" s="150"/>
      <c r="EO347" s="150"/>
      <c r="EP347" s="150"/>
      <c r="EQ347" s="150"/>
      <c r="ER347" s="150"/>
      <c r="ES347" s="150"/>
      <c r="ET347" s="150"/>
      <c r="EU347" s="150"/>
      <c r="EV347" s="150"/>
      <c r="EW347" s="150"/>
      <c r="EX347" s="150"/>
      <c r="EY347" s="150"/>
      <c r="EZ347" s="150"/>
      <c r="FA347" s="150"/>
      <c r="FB347" s="150"/>
      <c r="FC347" s="150"/>
      <c r="FD347" s="150"/>
      <c r="FE347" s="150"/>
      <c r="FF347" s="150"/>
      <c r="FG347" s="150"/>
      <c r="FH347" s="150"/>
      <c r="FI347" s="150"/>
      <c r="FJ347" s="150"/>
      <c r="FK347" s="150"/>
      <c r="FL347" s="150"/>
      <c r="FM347" s="150"/>
      <c r="FN347" s="150"/>
      <c r="FO347" s="150"/>
      <c r="FP347" s="150"/>
      <c r="FQ347" s="150"/>
      <c r="FR347" s="150"/>
      <c r="FS347" s="150"/>
      <c r="FT347" s="150"/>
      <c r="FU347" s="150"/>
      <c r="FV347" s="150"/>
      <c r="FW347" s="150"/>
      <c r="FX347" s="150"/>
      <c r="FY347" s="150"/>
      <c r="FZ347" s="150"/>
      <c r="GA347" s="150"/>
      <c r="GB347" s="150"/>
      <c r="GC347" s="150"/>
      <c r="GD347" s="150"/>
      <c r="GE347" s="150"/>
      <c r="GF347" s="150"/>
      <c r="GG347" s="150"/>
      <c r="GH347" s="150"/>
      <c r="GI347" s="150"/>
      <c r="GJ347" s="150"/>
      <c r="GK347" s="150"/>
      <c r="GL347" s="150"/>
      <c r="GM347" s="150"/>
      <c r="GN347" s="150"/>
      <c r="GO347" s="150"/>
      <c r="GP347" s="150"/>
      <c r="GQ347" s="150"/>
      <c r="GR347" s="150"/>
      <c r="GS347" s="150"/>
      <c r="GT347" s="150"/>
      <c r="GU347" s="150"/>
      <c r="GV347" s="150"/>
      <c r="GW347" s="150"/>
      <c r="GX347" s="150"/>
      <c r="GY347" s="150"/>
      <c r="GZ347" s="150"/>
      <c r="HA347" s="150"/>
      <c r="HB347" s="150"/>
      <c r="HC347" s="150"/>
      <c r="HD347" s="150"/>
      <c r="HE347" s="150"/>
      <c r="HF347" s="150"/>
      <c r="HG347" s="150"/>
      <c r="HH347" s="150"/>
      <c r="HI347" s="150"/>
      <c r="HJ347" s="150"/>
      <c r="HK347" s="150"/>
      <c r="HL347" s="150"/>
    </row>
    <row r="348" spans="1:220" s="152" customFormat="1" ht="14.25">
      <c r="A348" s="153"/>
      <c r="C348" s="154"/>
      <c r="D348" s="155"/>
      <c r="F348" s="194"/>
      <c r="H348" s="155"/>
      <c r="AJ348" s="156"/>
      <c r="AK348" s="156"/>
      <c r="AQ348" s="154"/>
      <c r="AW348" s="154"/>
      <c r="AX348" s="154"/>
      <c r="AY348" s="158"/>
      <c r="BA348" s="279"/>
      <c r="CH348" s="154"/>
      <c r="CQ348" s="149"/>
      <c r="CS348" s="147"/>
      <c r="CV348" s="150"/>
      <c r="CW348" s="150"/>
      <c r="CX348" s="150"/>
      <c r="CY348" s="150"/>
      <c r="CZ348" s="150"/>
      <c r="DA348" s="150"/>
      <c r="DB348" s="150"/>
      <c r="DC348" s="150"/>
      <c r="DD348" s="150"/>
      <c r="DE348" s="150"/>
      <c r="DF348" s="150"/>
      <c r="DG348" s="150"/>
      <c r="DH348" s="150"/>
      <c r="DI348" s="150"/>
      <c r="DJ348" s="150"/>
      <c r="DK348" s="150"/>
      <c r="DL348" s="150"/>
      <c r="DM348" s="150"/>
      <c r="DN348" s="150"/>
      <c r="DO348" s="150"/>
      <c r="DP348" s="150"/>
      <c r="DQ348" s="150"/>
      <c r="DR348" s="150"/>
      <c r="DS348" s="150"/>
      <c r="DT348" s="150"/>
      <c r="DU348" s="150"/>
      <c r="DV348" s="150"/>
      <c r="DW348" s="150"/>
      <c r="DX348" s="150"/>
      <c r="DY348" s="150"/>
      <c r="DZ348" s="150"/>
      <c r="EA348" s="150"/>
      <c r="EB348" s="150"/>
      <c r="EC348" s="150"/>
      <c r="ED348" s="150"/>
      <c r="EE348" s="150"/>
      <c r="EF348" s="150"/>
      <c r="EG348" s="150"/>
      <c r="EH348" s="150"/>
      <c r="EI348" s="150"/>
      <c r="EJ348" s="150"/>
      <c r="EK348" s="150"/>
      <c r="EL348" s="150"/>
      <c r="EM348" s="150"/>
      <c r="EN348" s="150"/>
      <c r="EO348" s="150"/>
      <c r="EP348" s="150"/>
      <c r="EQ348" s="150"/>
      <c r="ER348" s="150"/>
      <c r="ES348" s="150"/>
      <c r="ET348" s="150"/>
      <c r="EU348" s="150"/>
      <c r="EV348" s="150"/>
      <c r="EW348" s="150"/>
      <c r="EX348" s="150"/>
      <c r="EY348" s="150"/>
      <c r="EZ348" s="150"/>
      <c r="FA348" s="150"/>
      <c r="FB348" s="150"/>
      <c r="FC348" s="150"/>
      <c r="FD348" s="150"/>
      <c r="FE348" s="150"/>
      <c r="FF348" s="150"/>
      <c r="FG348" s="150"/>
      <c r="FH348" s="150"/>
      <c r="FI348" s="150"/>
      <c r="FJ348" s="150"/>
      <c r="FK348" s="150"/>
      <c r="FL348" s="150"/>
      <c r="FM348" s="150"/>
      <c r="FN348" s="150"/>
      <c r="FO348" s="150"/>
      <c r="FP348" s="150"/>
      <c r="FQ348" s="150"/>
      <c r="FR348" s="150"/>
      <c r="FS348" s="150"/>
      <c r="FT348" s="150"/>
      <c r="FU348" s="150"/>
      <c r="FV348" s="150"/>
      <c r="FW348" s="150"/>
      <c r="FX348" s="150"/>
      <c r="FY348" s="150"/>
      <c r="FZ348" s="150"/>
      <c r="GA348" s="150"/>
      <c r="GB348" s="150"/>
      <c r="GC348" s="150"/>
      <c r="GD348" s="150"/>
      <c r="GE348" s="150"/>
      <c r="GF348" s="150"/>
      <c r="GG348" s="150"/>
      <c r="GH348" s="150"/>
      <c r="GI348" s="150"/>
      <c r="GJ348" s="150"/>
      <c r="GK348" s="150"/>
      <c r="GL348" s="150"/>
      <c r="GM348" s="150"/>
      <c r="GN348" s="150"/>
      <c r="GO348" s="150"/>
      <c r="GP348" s="150"/>
      <c r="GQ348" s="150"/>
      <c r="GR348" s="150"/>
      <c r="GS348" s="150"/>
      <c r="GT348" s="150"/>
      <c r="GU348" s="150"/>
      <c r="GV348" s="150"/>
      <c r="GW348" s="150"/>
      <c r="GX348" s="150"/>
      <c r="GY348" s="150"/>
      <c r="GZ348" s="150"/>
      <c r="HA348" s="150"/>
      <c r="HB348" s="150"/>
      <c r="HC348" s="150"/>
      <c r="HD348" s="150"/>
      <c r="HE348" s="150"/>
      <c r="HF348" s="150"/>
      <c r="HG348" s="150"/>
      <c r="HH348" s="150"/>
      <c r="HI348" s="150"/>
      <c r="HJ348" s="150"/>
      <c r="HK348" s="150"/>
      <c r="HL348" s="150"/>
    </row>
    <row r="349" spans="1:220" s="152" customFormat="1" ht="14.25">
      <c r="A349" s="153"/>
      <c r="C349" s="154"/>
      <c r="D349" s="155"/>
      <c r="F349" s="194"/>
      <c r="H349" s="155"/>
      <c r="AJ349" s="156"/>
      <c r="AK349" s="156"/>
      <c r="AQ349" s="154"/>
      <c r="AW349" s="154"/>
      <c r="AX349" s="154"/>
      <c r="AY349" s="158"/>
      <c r="BA349" s="279"/>
      <c r="CH349" s="154"/>
      <c r="CQ349" s="149"/>
      <c r="CS349" s="147"/>
      <c r="CV349" s="150"/>
      <c r="CW349" s="150"/>
      <c r="CX349" s="150"/>
      <c r="CY349" s="150"/>
      <c r="CZ349" s="150"/>
      <c r="DA349" s="150"/>
      <c r="DB349" s="150"/>
      <c r="DC349" s="150"/>
      <c r="DD349" s="150"/>
      <c r="DE349" s="150"/>
      <c r="DF349" s="150"/>
      <c r="DG349" s="150"/>
      <c r="DH349" s="150"/>
      <c r="DI349" s="150"/>
      <c r="DJ349" s="150"/>
      <c r="DK349" s="150"/>
      <c r="DL349" s="150"/>
      <c r="DM349" s="150"/>
      <c r="DN349" s="150"/>
      <c r="DO349" s="150"/>
      <c r="DP349" s="150"/>
      <c r="DQ349" s="150"/>
      <c r="DR349" s="150"/>
      <c r="DS349" s="150"/>
      <c r="DT349" s="150"/>
      <c r="DU349" s="150"/>
      <c r="DV349" s="150"/>
      <c r="DW349" s="150"/>
      <c r="DX349" s="150"/>
      <c r="DY349" s="150"/>
      <c r="DZ349" s="150"/>
      <c r="EA349" s="150"/>
      <c r="EB349" s="150"/>
      <c r="EC349" s="150"/>
      <c r="ED349" s="150"/>
      <c r="EE349" s="150"/>
      <c r="EF349" s="150"/>
      <c r="EG349" s="150"/>
      <c r="EH349" s="150"/>
      <c r="EI349" s="150"/>
      <c r="EJ349" s="150"/>
      <c r="EK349" s="150"/>
      <c r="EL349" s="150"/>
      <c r="EM349" s="150"/>
      <c r="EN349" s="150"/>
      <c r="EO349" s="150"/>
      <c r="EP349" s="150"/>
      <c r="EQ349" s="150"/>
      <c r="ER349" s="150"/>
      <c r="ES349" s="150"/>
      <c r="ET349" s="150"/>
      <c r="EU349" s="150"/>
      <c r="EV349" s="150"/>
      <c r="EW349" s="150"/>
      <c r="EX349" s="150"/>
      <c r="EY349" s="150"/>
      <c r="EZ349" s="150"/>
      <c r="FA349" s="150"/>
      <c r="FB349" s="150"/>
      <c r="FC349" s="150"/>
      <c r="FD349" s="150"/>
      <c r="FE349" s="150"/>
      <c r="FF349" s="150"/>
      <c r="FG349" s="150"/>
      <c r="FH349" s="150"/>
      <c r="FI349" s="150"/>
      <c r="FJ349" s="150"/>
      <c r="FK349" s="150"/>
      <c r="FL349" s="150"/>
      <c r="FM349" s="150"/>
      <c r="FN349" s="150"/>
      <c r="FO349" s="150"/>
      <c r="FP349" s="150"/>
      <c r="FQ349" s="150"/>
      <c r="FR349" s="150"/>
      <c r="FS349" s="150"/>
      <c r="FT349" s="150"/>
      <c r="FU349" s="150"/>
      <c r="FV349" s="150"/>
      <c r="FW349" s="150"/>
      <c r="FX349" s="150"/>
      <c r="FY349" s="150"/>
      <c r="FZ349" s="150"/>
      <c r="GA349" s="150"/>
      <c r="GB349" s="150"/>
      <c r="GC349" s="150"/>
      <c r="GD349" s="150"/>
      <c r="GE349" s="150"/>
      <c r="GF349" s="150"/>
      <c r="GG349" s="150"/>
      <c r="GH349" s="150"/>
      <c r="GI349" s="150"/>
      <c r="GJ349" s="150"/>
      <c r="GK349" s="150"/>
      <c r="GL349" s="150"/>
      <c r="GM349" s="150"/>
      <c r="GN349" s="150"/>
      <c r="GO349" s="150"/>
      <c r="GP349" s="150"/>
      <c r="GQ349" s="150"/>
      <c r="GR349" s="150"/>
      <c r="GS349" s="150"/>
      <c r="GT349" s="150"/>
      <c r="GU349" s="150"/>
      <c r="GV349" s="150"/>
      <c r="GW349" s="150"/>
      <c r="GX349" s="150"/>
      <c r="GY349" s="150"/>
      <c r="GZ349" s="150"/>
      <c r="HA349" s="150"/>
      <c r="HB349" s="150"/>
      <c r="HC349" s="150"/>
      <c r="HD349" s="150"/>
      <c r="HE349" s="150"/>
      <c r="HF349" s="150"/>
      <c r="HG349" s="150"/>
      <c r="HH349" s="150"/>
      <c r="HI349" s="150"/>
      <c r="HJ349" s="150"/>
      <c r="HK349" s="150"/>
      <c r="HL349" s="150"/>
    </row>
    <row r="350" spans="1:220" s="152" customFormat="1" ht="14.25">
      <c r="A350" s="153"/>
      <c r="C350" s="154"/>
      <c r="D350" s="155"/>
      <c r="F350" s="194"/>
      <c r="H350" s="155"/>
      <c r="AJ350" s="156"/>
      <c r="AK350" s="156"/>
      <c r="AQ350" s="154"/>
      <c r="AW350" s="154"/>
      <c r="AX350" s="154"/>
      <c r="AY350" s="158"/>
      <c r="BA350" s="279"/>
      <c r="CH350" s="154"/>
      <c r="CQ350" s="149"/>
      <c r="CS350" s="147"/>
      <c r="CV350" s="150"/>
      <c r="CW350" s="150"/>
      <c r="CX350" s="150"/>
      <c r="CY350" s="150"/>
      <c r="CZ350" s="150"/>
      <c r="DA350" s="150"/>
      <c r="DB350" s="150"/>
      <c r="DC350" s="150"/>
      <c r="DD350" s="150"/>
      <c r="DE350" s="150"/>
      <c r="DF350" s="150"/>
      <c r="DG350" s="150"/>
      <c r="DH350" s="150"/>
      <c r="DI350" s="150"/>
      <c r="DJ350" s="150"/>
      <c r="DK350" s="150"/>
      <c r="DL350" s="150"/>
      <c r="DM350" s="150"/>
      <c r="DN350" s="150"/>
      <c r="DO350" s="150"/>
      <c r="DP350" s="150"/>
      <c r="DQ350" s="150"/>
      <c r="DR350" s="150"/>
      <c r="DS350" s="150"/>
      <c r="DT350" s="150"/>
      <c r="DU350" s="150"/>
      <c r="DV350" s="150"/>
      <c r="DW350" s="150"/>
      <c r="DX350" s="150"/>
      <c r="DY350" s="150"/>
      <c r="DZ350" s="150"/>
      <c r="EA350" s="150"/>
      <c r="EB350" s="150"/>
      <c r="EC350" s="150"/>
      <c r="ED350" s="150"/>
      <c r="EE350" s="150"/>
      <c r="EF350" s="150"/>
      <c r="EG350" s="150"/>
      <c r="EH350" s="150"/>
      <c r="EI350" s="150"/>
      <c r="EJ350" s="150"/>
      <c r="EK350" s="150"/>
      <c r="EL350" s="150"/>
      <c r="EM350" s="150"/>
      <c r="EN350" s="150"/>
      <c r="EO350" s="150"/>
      <c r="EP350" s="150"/>
      <c r="EQ350" s="150"/>
      <c r="ER350" s="150"/>
      <c r="ES350" s="150"/>
      <c r="ET350" s="150"/>
      <c r="EU350" s="150"/>
      <c r="EV350" s="150"/>
      <c r="EW350" s="150"/>
      <c r="EX350" s="150"/>
      <c r="EY350" s="150"/>
      <c r="EZ350" s="150"/>
      <c r="FA350" s="150"/>
      <c r="FB350" s="150"/>
      <c r="FC350" s="150"/>
      <c r="FD350" s="150"/>
      <c r="FE350" s="150"/>
      <c r="FF350" s="150"/>
      <c r="FG350" s="150"/>
      <c r="FH350" s="150"/>
      <c r="FI350" s="150"/>
      <c r="FJ350" s="150"/>
      <c r="FK350" s="150"/>
      <c r="FL350" s="150"/>
      <c r="FM350" s="150"/>
      <c r="FN350" s="150"/>
      <c r="FO350" s="150"/>
      <c r="FP350" s="150"/>
      <c r="FQ350" s="150"/>
      <c r="FR350" s="150"/>
      <c r="FS350" s="150"/>
      <c r="FT350" s="150"/>
      <c r="FU350" s="150"/>
      <c r="FV350" s="150"/>
      <c r="FW350" s="150"/>
      <c r="FX350" s="150"/>
      <c r="FY350" s="150"/>
      <c r="FZ350" s="150"/>
      <c r="GA350" s="150"/>
      <c r="GB350" s="150"/>
      <c r="GC350" s="150"/>
      <c r="GD350" s="150"/>
      <c r="GE350" s="150"/>
      <c r="GF350" s="150"/>
      <c r="GG350" s="150"/>
      <c r="GH350" s="150"/>
      <c r="GI350" s="150"/>
      <c r="GJ350" s="150"/>
      <c r="GK350" s="150"/>
      <c r="GL350" s="150"/>
      <c r="GM350" s="150"/>
      <c r="GN350" s="150"/>
      <c r="GO350" s="150"/>
      <c r="GP350" s="150"/>
      <c r="GQ350" s="150"/>
      <c r="GR350" s="150"/>
      <c r="GS350" s="150"/>
      <c r="GT350" s="150"/>
      <c r="GU350" s="150"/>
      <c r="GV350" s="150"/>
      <c r="GW350" s="150"/>
      <c r="GX350" s="150"/>
      <c r="GY350" s="150"/>
      <c r="GZ350" s="150"/>
      <c r="HA350" s="150"/>
      <c r="HB350" s="150"/>
      <c r="HC350" s="150"/>
      <c r="HD350" s="150"/>
      <c r="HE350" s="150"/>
      <c r="HF350" s="150"/>
      <c r="HG350" s="150"/>
      <c r="HH350" s="150"/>
      <c r="HI350" s="150"/>
      <c r="HJ350" s="150"/>
      <c r="HK350" s="150"/>
      <c r="HL350" s="150"/>
    </row>
    <row r="351" spans="1:220" s="152" customFormat="1" ht="14.25">
      <c r="A351" s="153"/>
      <c r="C351" s="154"/>
      <c r="D351" s="155"/>
      <c r="F351" s="194"/>
      <c r="H351" s="155"/>
      <c r="AJ351" s="156"/>
      <c r="AK351" s="156"/>
      <c r="AQ351" s="154"/>
      <c r="AW351" s="154"/>
      <c r="AX351" s="154"/>
      <c r="AY351" s="158"/>
      <c r="BA351" s="279"/>
      <c r="CH351" s="154"/>
      <c r="CQ351" s="149"/>
      <c r="CS351" s="147"/>
      <c r="CV351" s="150"/>
      <c r="CW351" s="150"/>
      <c r="CX351" s="150"/>
      <c r="CY351" s="150"/>
      <c r="CZ351" s="150"/>
      <c r="DA351" s="150"/>
      <c r="DB351" s="150"/>
      <c r="DC351" s="150"/>
      <c r="DD351" s="150"/>
      <c r="DE351" s="150"/>
      <c r="DF351" s="150"/>
      <c r="DG351" s="150"/>
      <c r="DH351" s="150"/>
      <c r="DI351" s="150"/>
      <c r="DJ351" s="150"/>
      <c r="DK351" s="150"/>
      <c r="DL351" s="150"/>
      <c r="DM351" s="150"/>
      <c r="DN351" s="150"/>
      <c r="DO351" s="150"/>
      <c r="DP351" s="150"/>
      <c r="DQ351" s="150"/>
      <c r="DR351" s="150"/>
      <c r="DS351" s="150"/>
      <c r="DT351" s="150"/>
      <c r="DU351" s="150"/>
      <c r="DV351" s="150"/>
      <c r="DW351" s="150"/>
      <c r="DX351" s="150"/>
      <c r="DY351" s="150"/>
      <c r="DZ351" s="150"/>
      <c r="EA351" s="150"/>
      <c r="EB351" s="150"/>
      <c r="EC351" s="150"/>
      <c r="ED351" s="150"/>
      <c r="EE351" s="150"/>
      <c r="EF351" s="150"/>
      <c r="EG351" s="150"/>
      <c r="EH351" s="150"/>
      <c r="EI351" s="150"/>
      <c r="EJ351" s="150"/>
      <c r="EK351" s="150"/>
      <c r="EL351" s="150"/>
      <c r="EM351" s="150"/>
      <c r="EN351" s="150"/>
      <c r="EO351" s="150"/>
      <c r="EP351" s="150"/>
      <c r="EQ351" s="150"/>
      <c r="ER351" s="150"/>
      <c r="ES351" s="150"/>
      <c r="ET351" s="150"/>
      <c r="EU351" s="150"/>
      <c r="EV351" s="150"/>
      <c r="EW351" s="150"/>
      <c r="EX351" s="150"/>
      <c r="EY351" s="150"/>
      <c r="EZ351" s="150"/>
      <c r="FA351" s="150"/>
      <c r="FB351" s="150"/>
      <c r="FC351" s="150"/>
      <c r="FD351" s="150"/>
      <c r="FE351" s="150"/>
      <c r="FF351" s="150"/>
      <c r="FG351" s="150"/>
      <c r="FH351" s="150"/>
      <c r="FI351" s="150"/>
      <c r="FJ351" s="150"/>
      <c r="FK351" s="150"/>
      <c r="FL351" s="150"/>
      <c r="FM351" s="150"/>
      <c r="FN351" s="150"/>
      <c r="FO351" s="150"/>
      <c r="FP351" s="150"/>
      <c r="FQ351" s="150"/>
      <c r="FR351" s="150"/>
      <c r="FS351" s="150"/>
      <c r="FT351" s="150"/>
      <c r="FU351" s="150"/>
      <c r="FV351" s="150"/>
      <c r="FW351" s="150"/>
      <c r="FX351" s="150"/>
      <c r="FY351" s="150"/>
      <c r="FZ351" s="150"/>
      <c r="GA351" s="150"/>
      <c r="GB351" s="150"/>
      <c r="GC351" s="150"/>
      <c r="GD351" s="150"/>
      <c r="GE351" s="150"/>
      <c r="GF351" s="150"/>
      <c r="GG351" s="150"/>
      <c r="GH351" s="150"/>
      <c r="GI351" s="150"/>
      <c r="GJ351" s="150"/>
      <c r="GK351" s="150"/>
      <c r="GL351" s="150"/>
      <c r="GM351" s="150"/>
      <c r="GN351" s="150"/>
      <c r="GO351" s="150"/>
      <c r="GP351" s="150"/>
      <c r="GQ351" s="150"/>
      <c r="GR351" s="150"/>
      <c r="GS351" s="150"/>
      <c r="GT351" s="150"/>
      <c r="GU351" s="150"/>
      <c r="GV351" s="150"/>
      <c r="GW351" s="150"/>
      <c r="GX351" s="150"/>
      <c r="GY351" s="150"/>
      <c r="GZ351" s="150"/>
      <c r="HA351" s="150"/>
      <c r="HB351" s="150"/>
      <c r="HC351" s="150"/>
      <c r="HD351" s="150"/>
      <c r="HE351" s="150"/>
      <c r="HF351" s="150"/>
      <c r="HG351" s="150"/>
      <c r="HH351" s="150"/>
      <c r="HI351" s="150"/>
      <c r="HJ351" s="150"/>
      <c r="HK351" s="150"/>
      <c r="HL351" s="150"/>
    </row>
    <row r="352" spans="1:220" s="152" customFormat="1" ht="14.25">
      <c r="A352" s="153"/>
      <c r="C352" s="154"/>
      <c r="D352" s="155"/>
      <c r="F352" s="194"/>
      <c r="H352" s="155"/>
      <c r="AJ352" s="156"/>
      <c r="AK352" s="156"/>
      <c r="AQ352" s="154"/>
      <c r="AW352" s="154"/>
      <c r="AX352" s="154"/>
      <c r="AY352" s="158"/>
      <c r="BA352" s="279"/>
      <c r="CH352" s="154"/>
      <c r="CQ352" s="149"/>
      <c r="CS352" s="147"/>
      <c r="CV352" s="150"/>
      <c r="CW352" s="150"/>
      <c r="CX352" s="150"/>
      <c r="CY352" s="150"/>
      <c r="CZ352" s="150"/>
      <c r="DA352" s="150"/>
      <c r="DB352" s="150"/>
      <c r="DC352" s="150"/>
      <c r="DD352" s="150"/>
      <c r="DE352" s="150"/>
      <c r="DF352" s="150"/>
      <c r="DG352" s="150"/>
      <c r="DH352" s="150"/>
      <c r="DI352" s="150"/>
      <c r="DJ352" s="150"/>
      <c r="DK352" s="150"/>
      <c r="DL352" s="150"/>
      <c r="DM352" s="150"/>
      <c r="DN352" s="150"/>
      <c r="DO352" s="150"/>
      <c r="DP352" s="150"/>
      <c r="DQ352" s="150"/>
      <c r="DR352" s="150"/>
      <c r="DS352" s="150"/>
      <c r="DT352" s="150"/>
      <c r="DU352" s="150"/>
      <c r="DV352" s="150"/>
      <c r="DW352" s="150"/>
      <c r="DX352" s="150"/>
      <c r="DY352" s="150"/>
      <c r="DZ352" s="150"/>
      <c r="EA352" s="150"/>
      <c r="EB352" s="150"/>
      <c r="EC352" s="150"/>
      <c r="ED352" s="150"/>
      <c r="EE352" s="150"/>
      <c r="EF352" s="150"/>
      <c r="EG352" s="150"/>
      <c r="EH352" s="150"/>
      <c r="EI352" s="150"/>
      <c r="EJ352" s="150"/>
      <c r="EK352" s="150"/>
      <c r="EL352" s="150"/>
      <c r="EM352" s="150"/>
      <c r="EN352" s="150"/>
      <c r="EO352" s="150"/>
      <c r="EP352" s="150"/>
      <c r="EQ352" s="150"/>
      <c r="ER352" s="150"/>
      <c r="ES352" s="150"/>
      <c r="ET352" s="150"/>
      <c r="EU352" s="150"/>
      <c r="EV352" s="150"/>
      <c r="EW352" s="150"/>
      <c r="EX352" s="150"/>
      <c r="EY352" s="150"/>
      <c r="EZ352" s="150"/>
      <c r="FA352" s="150"/>
      <c r="FB352" s="150"/>
      <c r="FC352" s="150"/>
      <c r="FD352" s="150"/>
      <c r="FE352" s="150"/>
      <c r="FF352" s="150"/>
      <c r="FG352" s="150"/>
      <c r="FH352" s="150"/>
      <c r="FI352" s="150"/>
      <c r="FJ352" s="150"/>
      <c r="FK352" s="150"/>
      <c r="FL352" s="150"/>
      <c r="FM352" s="150"/>
      <c r="FN352" s="150"/>
      <c r="FO352" s="150"/>
      <c r="FP352" s="150"/>
      <c r="FQ352" s="150"/>
      <c r="FR352" s="150"/>
      <c r="FS352" s="150"/>
      <c r="FT352" s="150"/>
      <c r="FU352" s="150"/>
      <c r="FV352" s="150"/>
      <c r="FW352" s="150"/>
      <c r="FX352" s="150"/>
      <c r="FY352" s="150"/>
      <c r="FZ352" s="150"/>
      <c r="GA352" s="150"/>
      <c r="GB352" s="150"/>
      <c r="GC352" s="150"/>
      <c r="GD352" s="150"/>
      <c r="GE352" s="150"/>
      <c r="GF352" s="150"/>
      <c r="GG352" s="150"/>
      <c r="GH352" s="150"/>
      <c r="GI352" s="150"/>
      <c r="GJ352" s="150"/>
      <c r="GK352" s="150"/>
      <c r="GL352" s="150"/>
      <c r="GM352" s="150"/>
      <c r="GN352" s="150"/>
      <c r="GO352" s="150"/>
      <c r="GP352" s="150"/>
      <c r="GQ352" s="150"/>
      <c r="GR352" s="150"/>
      <c r="GS352" s="150"/>
      <c r="GT352" s="150"/>
      <c r="GU352" s="150"/>
      <c r="GV352" s="150"/>
      <c r="GW352" s="150"/>
      <c r="GX352" s="150"/>
      <c r="GY352" s="150"/>
      <c r="GZ352" s="150"/>
      <c r="HA352" s="150"/>
      <c r="HB352" s="150"/>
      <c r="HC352" s="150"/>
      <c r="HD352" s="150"/>
      <c r="HE352" s="150"/>
      <c r="HF352" s="150"/>
      <c r="HG352" s="150"/>
      <c r="HH352" s="150"/>
      <c r="HI352" s="150"/>
      <c r="HJ352" s="150"/>
      <c r="HK352" s="150"/>
      <c r="HL352" s="150"/>
    </row>
    <row r="353" spans="1:220" s="152" customFormat="1" ht="14.25">
      <c r="A353" s="153"/>
      <c r="C353" s="154"/>
      <c r="D353" s="155"/>
      <c r="F353" s="194"/>
      <c r="H353" s="155"/>
      <c r="AJ353" s="156"/>
      <c r="AK353" s="156"/>
      <c r="AQ353" s="154"/>
      <c r="AW353" s="154"/>
      <c r="AX353" s="154"/>
      <c r="AY353" s="158"/>
      <c r="BA353" s="279"/>
      <c r="CH353" s="154"/>
      <c r="CQ353" s="149"/>
      <c r="CS353" s="147"/>
      <c r="CV353" s="150"/>
      <c r="CW353" s="150"/>
      <c r="CX353" s="150"/>
      <c r="CY353" s="150"/>
      <c r="CZ353" s="150"/>
      <c r="DA353" s="150"/>
      <c r="DB353" s="150"/>
      <c r="DC353" s="150"/>
      <c r="DD353" s="150"/>
      <c r="DE353" s="150"/>
      <c r="DF353" s="150"/>
      <c r="DG353" s="150"/>
      <c r="DH353" s="150"/>
      <c r="DI353" s="150"/>
      <c r="DJ353" s="150"/>
      <c r="DK353" s="150"/>
      <c r="DL353" s="150"/>
      <c r="DM353" s="150"/>
      <c r="DN353" s="150"/>
      <c r="DO353" s="150"/>
      <c r="DP353" s="150"/>
      <c r="DQ353" s="150"/>
      <c r="DR353" s="150"/>
      <c r="DS353" s="150"/>
      <c r="DT353" s="150"/>
      <c r="DU353" s="150"/>
      <c r="DV353" s="150"/>
      <c r="DW353" s="150"/>
      <c r="DX353" s="150"/>
      <c r="DY353" s="150"/>
      <c r="DZ353" s="150"/>
      <c r="EA353" s="150"/>
      <c r="EB353" s="150"/>
      <c r="EC353" s="150"/>
      <c r="ED353" s="150"/>
      <c r="EE353" s="150"/>
      <c r="EF353" s="150"/>
      <c r="EG353" s="150"/>
      <c r="EH353" s="150"/>
      <c r="EI353" s="150"/>
      <c r="EJ353" s="150"/>
      <c r="EK353" s="150"/>
      <c r="EL353" s="150"/>
      <c r="EM353" s="150"/>
      <c r="EN353" s="150"/>
      <c r="EO353" s="150"/>
      <c r="EP353" s="150"/>
      <c r="EQ353" s="150"/>
      <c r="ER353" s="150"/>
      <c r="ES353" s="150"/>
      <c r="ET353" s="150"/>
      <c r="EU353" s="150"/>
      <c r="EV353" s="150"/>
      <c r="EW353" s="150"/>
      <c r="EX353" s="150"/>
      <c r="EY353" s="150"/>
      <c r="EZ353" s="150"/>
      <c r="FA353" s="150"/>
      <c r="FB353" s="150"/>
      <c r="FC353" s="150"/>
      <c r="FD353" s="150"/>
      <c r="FE353" s="150"/>
      <c r="FF353" s="150"/>
      <c r="FG353" s="150"/>
      <c r="FH353" s="150"/>
      <c r="FI353" s="150"/>
      <c r="FJ353" s="150"/>
      <c r="FK353" s="150"/>
      <c r="FL353" s="150"/>
      <c r="FM353" s="150"/>
      <c r="FN353" s="150"/>
      <c r="FO353" s="150"/>
      <c r="FP353" s="150"/>
      <c r="FQ353" s="150"/>
      <c r="FR353" s="150"/>
      <c r="FS353" s="150"/>
      <c r="FT353" s="150"/>
      <c r="FU353" s="150"/>
      <c r="FV353" s="150"/>
      <c r="FW353" s="150"/>
      <c r="FX353" s="150"/>
      <c r="FY353" s="150"/>
      <c r="FZ353" s="150"/>
      <c r="GA353" s="150"/>
      <c r="GB353" s="150"/>
      <c r="GC353" s="150"/>
      <c r="GD353" s="150"/>
      <c r="GE353" s="150"/>
      <c r="GF353" s="150"/>
      <c r="GG353" s="150"/>
      <c r="GH353" s="150"/>
      <c r="GI353" s="150"/>
      <c r="GJ353" s="150"/>
      <c r="GK353" s="150"/>
      <c r="GL353" s="150"/>
      <c r="GM353" s="150"/>
      <c r="GN353" s="150"/>
      <c r="GO353" s="150"/>
      <c r="GP353" s="150"/>
      <c r="GQ353" s="150"/>
      <c r="GR353" s="150"/>
      <c r="GS353" s="150"/>
      <c r="GT353" s="150"/>
      <c r="GU353" s="150"/>
      <c r="GV353" s="150"/>
      <c r="GW353" s="150"/>
      <c r="GX353" s="150"/>
      <c r="GY353" s="150"/>
      <c r="GZ353" s="150"/>
      <c r="HA353" s="150"/>
      <c r="HB353" s="150"/>
      <c r="HC353" s="150"/>
      <c r="HD353" s="150"/>
      <c r="HE353" s="150"/>
      <c r="HF353" s="150"/>
      <c r="HG353" s="150"/>
      <c r="HH353" s="150"/>
      <c r="HI353" s="150"/>
      <c r="HJ353" s="150"/>
      <c r="HK353" s="150"/>
      <c r="HL353" s="150"/>
    </row>
    <row r="354" spans="1:220" s="152" customFormat="1" ht="14.25">
      <c r="A354" s="153"/>
      <c r="C354" s="154"/>
      <c r="D354" s="155"/>
      <c r="F354" s="194"/>
      <c r="H354" s="155"/>
      <c r="AJ354" s="156"/>
      <c r="AK354" s="156"/>
      <c r="AQ354" s="154"/>
      <c r="AW354" s="154"/>
      <c r="AX354" s="154"/>
      <c r="AY354" s="158"/>
      <c r="BA354" s="279"/>
      <c r="CH354" s="154"/>
      <c r="CQ354" s="149"/>
      <c r="CS354" s="147"/>
      <c r="CV354" s="150"/>
      <c r="CW354" s="150"/>
      <c r="CX354" s="150"/>
      <c r="CY354" s="150"/>
      <c r="CZ354" s="150"/>
      <c r="DA354" s="150"/>
      <c r="DB354" s="150"/>
      <c r="DC354" s="150"/>
      <c r="DD354" s="150"/>
      <c r="DE354" s="150"/>
      <c r="DF354" s="150"/>
      <c r="DG354" s="150"/>
      <c r="DH354" s="150"/>
      <c r="DI354" s="150"/>
      <c r="DJ354" s="150"/>
      <c r="DK354" s="150"/>
      <c r="DL354" s="150"/>
      <c r="DM354" s="150"/>
      <c r="DN354" s="150"/>
      <c r="DO354" s="150"/>
      <c r="DP354" s="150"/>
      <c r="DQ354" s="150"/>
      <c r="DR354" s="150"/>
      <c r="DS354" s="150"/>
      <c r="DT354" s="150"/>
      <c r="DU354" s="150"/>
      <c r="DV354" s="150"/>
      <c r="DW354" s="150"/>
      <c r="DX354" s="150"/>
      <c r="DY354" s="150"/>
      <c r="DZ354" s="150"/>
      <c r="EA354" s="150"/>
      <c r="EB354" s="150"/>
      <c r="EC354" s="150"/>
      <c r="ED354" s="150"/>
      <c r="EE354" s="150"/>
      <c r="EF354" s="150"/>
      <c r="EG354" s="150"/>
      <c r="EH354" s="150"/>
      <c r="EI354" s="150"/>
      <c r="EJ354" s="150"/>
      <c r="EK354" s="150"/>
      <c r="EL354" s="150"/>
      <c r="EM354" s="150"/>
      <c r="EN354" s="150"/>
      <c r="EO354" s="150"/>
      <c r="EP354" s="150"/>
      <c r="EQ354" s="150"/>
      <c r="ER354" s="150"/>
      <c r="ES354" s="150"/>
      <c r="ET354" s="150"/>
      <c r="EU354" s="150"/>
      <c r="EV354" s="150"/>
      <c r="EW354" s="150"/>
      <c r="EX354" s="150"/>
      <c r="EY354" s="150"/>
      <c r="EZ354" s="150"/>
      <c r="FA354" s="150"/>
      <c r="FB354" s="150"/>
      <c r="FC354" s="150"/>
      <c r="FD354" s="150"/>
      <c r="FE354" s="150"/>
      <c r="FF354" s="150"/>
      <c r="FG354" s="150"/>
      <c r="FH354" s="150"/>
      <c r="FI354" s="150"/>
      <c r="FJ354" s="150"/>
      <c r="FK354" s="150"/>
      <c r="FL354" s="150"/>
      <c r="FM354" s="150"/>
      <c r="FN354" s="150"/>
      <c r="FO354" s="150"/>
      <c r="FP354" s="150"/>
      <c r="FQ354" s="150"/>
      <c r="FR354" s="150"/>
      <c r="FS354" s="150"/>
      <c r="FT354" s="150"/>
      <c r="FU354" s="150"/>
      <c r="FV354" s="150"/>
      <c r="FW354" s="150"/>
      <c r="FX354" s="150"/>
      <c r="FY354" s="150"/>
      <c r="FZ354" s="150"/>
      <c r="GA354" s="150"/>
      <c r="GB354" s="150"/>
      <c r="GC354" s="150"/>
      <c r="GD354" s="150"/>
      <c r="GE354" s="150"/>
      <c r="GF354" s="150"/>
      <c r="GG354" s="150"/>
      <c r="GH354" s="150"/>
      <c r="GI354" s="150"/>
      <c r="GJ354" s="150"/>
      <c r="GK354" s="150"/>
      <c r="GL354" s="150"/>
      <c r="GM354" s="150"/>
      <c r="GN354" s="150"/>
      <c r="GO354" s="150"/>
      <c r="GP354" s="150"/>
      <c r="GQ354" s="150"/>
      <c r="GR354" s="150"/>
      <c r="GS354" s="150"/>
      <c r="GT354" s="150"/>
      <c r="GU354" s="150"/>
      <c r="GV354" s="150"/>
      <c r="GW354" s="150"/>
      <c r="GX354" s="150"/>
      <c r="GY354" s="150"/>
      <c r="GZ354" s="150"/>
      <c r="HA354" s="150"/>
      <c r="HB354" s="150"/>
      <c r="HC354" s="150"/>
      <c r="HD354" s="150"/>
      <c r="HE354" s="150"/>
      <c r="HF354" s="150"/>
      <c r="HG354" s="150"/>
      <c r="HH354" s="150"/>
      <c r="HI354" s="150"/>
      <c r="HJ354" s="150"/>
      <c r="HK354" s="150"/>
      <c r="HL354" s="150"/>
    </row>
    <row r="355" spans="1:220" s="152" customFormat="1" ht="14.25">
      <c r="A355" s="153"/>
      <c r="C355" s="154"/>
      <c r="D355" s="155"/>
      <c r="F355" s="194"/>
      <c r="H355" s="155"/>
      <c r="AJ355" s="156"/>
      <c r="AK355" s="156"/>
      <c r="AQ355" s="154"/>
      <c r="AW355" s="154"/>
      <c r="AX355" s="154"/>
      <c r="AY355" s="158"/>
      <c r="BA355" s="279"/>
      <c r="CH355" s="154"/>
      <c r="CQ355" s="149"/>
      <c r="CS355" s="147"/>
      <c r="CV355" s="150"/>
      <c r="CW355" s="150"/>
      <c r="CX355" s="150"/>
      <c r="CY355" s="150"/>
      <c r="CZ355" s="150"/>
      <c r="DA355" s="150"/>
      <c r="DB355" s="150"/>
      <c r="DC355" s="150"/>
      <c r="DD355" s="150"/>
      <c r="DE355" s="150"/>
      <c r="DF355" s="150"/>
      <c r="DG355" s="150"/>
      <c r="DH355" s="150"/>
      <c r="DI355" s="150"/>
      <c r="DJ355" s="150"/>
      <c r="DK355" s="150"/>
      <c r="DL355" s="150"/>
      <c r="DM355" s="150"/>
      <c r="DN355" s="150"/>
      <c r="DO355" s="150"/>
      <c r="DP355" s="150"/>
      <c r="DQ355" s="150"/>
      <c r="DR355" s="150"/>
      <c r="DS355" s="150"/>
      <c r="DT355" s="150"/>
      <c r="DU355" s="150"/>
      <c r="DV355" s="150"/>
      <c r="DW355" s="150"/>
      <c r="DX355" s="150"/>
      <c r="DY355" s="150"/>
      <c r="DZ355" s="150"/>
      <c r="EA355" s="150"/>
      <c r="EB355" s="150"/>
      <c r="EC355" s="150"/>
      <c r="ED355" s="150"/>
      <c r="EE355" s="150"/>
      <c r="EF355" s="150"/>
      <c r="EG355" s="150"/>
      <c r="EH355" s="150"/>
      <c r="EI355" s="150"/>
      <c r="EJ355" s="150"/>
      <c r="EK355" s="150"/>
      <c r="EL355" s="150"/>
      <c r="EM355" s="150"/>
      <c r="EN355" s="150"/>
      <c r="EO355" s="150"/>
      <c r="EP355" s="150"/>
      <c r="EQ355" s="150"/>
      <c r="ER355" s="150"/>
      <c r="ES355" s="150"/>
      <c r="ET355" s="150"/>
      <c r="EU355" s="150"/>
      <c r="EV355" s="150"/>
      <c r="EW355" s="150"/>
      <c r="EX355" s="150"/>
      <c r="EY355" s="150"/>
      <c r="EZ355" s="150"/>
      <c r="FA355" s="150"/>
      <c r="FB355" s="150"/>
      <c r="FC355" s="150"/>
      <c r="FD355" s="150"/>
      <c r="FE355" s="150"/>
      <c r="FF355" s="150"/>
      <c r="FG355" s="150"/>
      <c r="FH355" s="150"/>
      <c r="FI355" s="150"/>
      <c r="FJ355" s="150"/>
      <c r="FK355" s="150"/>
      <c r="FL355" s="150"/>
      <c r="FM355" s="150"/>
      <c r="FN355" s="150"/>
      <c r="FO355" s="150"/>
      <c r="FP355" s="150"/>
      <c r="FQ355" s="150"/>
      <c r="FR355" s="150"/>
      <c r="FS355" s="150"/>
      <c r="FT355" s="150"/>
      <c r="FU355" s="150"/>
      <c r="FV355" s="150"/>
      <c r="FW355" s="150"/>
      <c r="FX355" s="150"/>
      <c r="FY355" s="150"/>
      <c r="FZ355" s="150"/>
      <c r="GA355" s="150"/>
      <c r="GB355" s="150"/>
      <c r="GC355" s="150"/>
      <c r="GD355" s="150"/>
      <c r="GE355" s="150"/>
      <c r="GF355" s="150"/>
      <c r="GG355" s="150"/>
      <c r="GH355" s="150"/>
      <c r="GI355" s="150"/>
      <c r="GJ355" s="150"/>
      <c r="GK355" s="150"/>
      <c r="GL355" s="150"/>
      <c r="GM355" s="150"/>
      <c r="GN355" s="150"/>
      <c r="GO355" s="150"/>
      <c r="GP355" s="150"/>
      <c r="GQ355" s="150"/>
      <c r="GR355" s="150"/>
      <c r="GS355" s="150"/>
      <c r="GT355" s="150"/>
      <c r="GU355" s="150"/>
      <c r="GV355" s="150"/>
      <c r="GW355" s="150"/>
      <c r="GX355" s="150"/>
      <c r="GY355" s="150"/>
      <c r="GZ355" s="150"/>
      <c r="HA355" s="150"/>
      <c r="HB355" s="150"/>
      <c r="HC355" s="150"/>
      <c r="HD355" s="150"/>
      <c r="HE355" s="150"/>
      <c r="HF355" s="150"/>
      <c r="HG355" s="150"/>
      <c r="HH355" s="150"/>
      <c r="HI355" s="150"/>
      <c r="HJ355" s="150"/>
      <c r="HK355" s="150"/>
      <c r="HL355" s="150"/>
    </row>
    <row r="356" spans="1:220" s="152" customFormat="1" ht="14.25">
      <c r="A356" s="153"/>
      <c r="C356" s="154"/>
      <c r="D356" s="155"/>
      <c r="F356" s="194"/>
      <c r="H356" s="155"/>
      <c r="AJ356" s="156"/>
      <c r="AK356" s="156"/>
      <c r="AQ356" s="154"/>
      <c r="AW356" s="154"/>
      <c r="AX356" s="154"/>
      <c r="AY356" s="158"/>
      <c r="BA356" s="279"/>
      <c r="CH356" s="154"/>
      <c r="CQ356" s="149"/>
      <c r="CS356" s="147"/>
      <c r="CV356" s="150"/>
      <c r="CW356" s="150"/>
      <c r="CX356" s="150"/>
      <c r="CY356" s="150"/>
      <c r="CZ356" s="150"/>
      <c r="DA356" s="150"/>
      <c r="DB356" s="150"/>
      <c r="DC356" s="150"/>
      <c r="DD356" s="150"/>
      <c r="DE356" s="150"/>
      <c r="DF356" s="150"/>
      <c r="DG356" s="150"/>
      <c r="DH356" s="150"/>
      <c r="DI356" s="150"/>
      <c r="DJ356" s="150"/>
      <c r="DK356" s="150"/>
      <c r="DL356" s="150"/>
      <c r="DM356" s="150"/>
      <c r="DN356" s="150"/>
      <c r="DO356" s="150"/>
      <c r="DP356" s="150"/>
      <c r="DQ356" s="150"/>
      <c r="DR356" s="150"/>
      <c r="DS356" s="150"/>
      <c r="DT356" s="150"/>
      <c r="DU356" s="150"/>
      <c r="DV356" s="150"/>
      <c r="DW356" s="150"/>
      <c r="DX356" s="150"/>
      <c r="DY356" s="150"/>
      <c r="DZ356" s="150"/>
      <c r="EA356" s="150"/>
      <c r="EB356" s="150"/>
      <c r="EC356" s="150"/>
      <c r="ED356" s="150"/>
      <c r="EE356" s="150"/>
      <c r="EF356" s="150"/>
      <c r="EG356" s="150"/>
      <c r="EH356" s="150"/>
      <c r="EI356" s="150"/>
      <c r="EJ356" s="150"/>
      <c r="EK356" s="150"/>
      <c r="EL356" s="150"/>
      <c r="EM356" s="150"/>
      <c r="EN356" s="150"/>
      <c r="EO356" s="150"/>
      <c r="EP356" s="150"/>
      <c r="EQ356" s="150"/>
      <c r="ER356" s="150"/>
      <c r="ES356" s="150"/>
      <c r="ET356" s="150"/>
      <c r="EU356" s="150"/>
      <c r="EV356" s="150"/>
      <c r="EW356" s="150"/>
      <c r="EX356" s="150"/>
      <c r="EY356" s="150"/>
      <c r="EZ356" s="150"/>
      <c r="FA356" s="150"/>
      <c r="FB356" s="150"/>
      <c r="FC356" s="150"/>
      <c r="FD356" s="150"/>
      <c r="FE356" s="150"/>
      <c r="FF356" s="150"/>
      <c r="FG356" s="150"/>
      <c r="FH356" s="150"/>
      <c r="FI356" s="150"/>
      <c r="FJ356" s="150"/>
      <c r="FK356" s="150"/>
      <c r="FL356" s="150"/>
      <c r="FM356" s="150"/>
      <c r="FN356" s="150"/>
      <c r="FO356" s="150"/>
      <c r="FP356" s="150"/>
      <c r="FQ356" s="150"/>
      <c r="FR356" s="150"/>
      <c r="FS356" s="150"/>
      <c r="FT356" s="150"/>
      <c r="FU356" s="150"/>
      <c r="FV356" s="150"/>
      <c r="FW356" s="150"/>
      <c r="FX356" s="150"/>
      <c r="FY356" s="150"/>
      <c r="FZ356" s="150"/>
      <c r="GA356" s="150"/>
      <c r="GB356" s="150"/>
      <c r="GC356" s="150"/>
      <c r="GD356" s="150"/>
      <c r="GE356" s="150"/>
      <c r="GF356" s="150"/>
      <c r="GG356" s="150"/>
      <c r="GH356" s="150"/>
      <c r="GI356" s="150"/>
      <c r="GJ356" s="150"/>
      <c r="GK356" s="150"/>
      <c r="GL356" s="150"/>
      <c r="GM356" s="150"/>
      <c r="GN356" s="150"/>
      <c r="GO356" s="150"/>
      <c r="GP356" s="150"/>
      <c r="GQ356" s="150"/>
      <c r="GR356" s="150"/>
      <c r="GS356" s="150"/>
      <c r="GT356" s="150"/>
      <c r="GU356" s="150"/>
      <c r="GV356" s="150"/>
      <c r="GW356" s="150"/>
      <c r="GX356" s="150"/>
      <c r="GY356" s="150"/>
      <c r="GZ356" s="150"/>
      <c r="HA356" s="150"/>
      <c r="HB356" s="150"/>
      <c r="HC356" s="150"/>
      <c r="HD356" s="150"/>
      <c r="HE356" s="150"/>
      <c r="HF356" s="150"/>
      <c r="HG356" s="150"/>
      <c r="HH356" s="150"/>
      <c r="HI356" s="150"/>
      <c r="HJ356" s="150"/>
      <c r="HK356" s="150"/>
      <c r="HL356" s="150"/>
    </row>
    <row r="357" spans="1:220" s="152" customFormat="1" ht="14.25">
      <c r="A357" s="153"/>
      <c r="C357" s="154"/>
      <c r="D357" s="155"/>
      <c r="F357" s="194"/>
      <c r="H357" s="155"/>
      <c r="AJ357" s="156"/>
      <c r="AK357" s="156"/>
      <c r="AQ357" s="154"/>
      <c r="AW357" s="154"/>
      <c r="AX357" s="154"/>
      <c r="AY357" s="158"/>
      <c r="BA357" s="279"/>
      <c r="CH357" s="154"/>
      <c r="CQ357" s="149"/>
      <c r="CS357" s="147"/>
      <c r="CV357" s="150"/>
      <c r="CW357" s="150"/>
      <c r="CX357" s="150"/>
      <c r="CY357" s="150"/>
      <c r="CZ357" s="150"/>
      <c r="DA357" s="150"/>
      <c r="DB357" s="150"/>
      <c r="DC357" s="150"/>
      <c r="DD357" s="150"/>
      <c r="DE357" s="150"/>
      <c r="DF357" s="150"/>
      <c r="DG357" s="150"/>
      <c r="DH357" s="150"/>
      <c r="DI357" s="150"/>
      <c r="DJ357" s="150"/>
      <c r="DK357" s="150"/>
      <c r="DL357" s="150"/>
      <c r="DM357" s="150"/>
      <c r="DN357" s="150"/>
      <c r="DO357" s="150"/>
      <c r="DP357" s="150"/>
      <c r="DQ357" s="150"/>
      <c r="DR357" s="150"/>
      <c r="DS357" s="150"/>
      <c r="DT357" s="150"/>
      <c r="DU357" s="150"/>
      <c r="DV357" s="150"/>
      <c r="DW357" s="150"/>
      <c r="DX357" s="150"/>
      <c r="DY357" s="150"/>
      <c r="DZ357" s="150"/>
      <c r="EA357" s="150"/>
      <c r="EB357" s="150"/>
      <c r="EC357" s="150"/>
      <c r="ED357" s="150"/>
      <c r="EE357" s="150"/>
      <c r="EF357" s="150"/>
      <c r="EG357" s="150"/>
      <c r="EH357" s="150"/>
      <c r="EI357" s="150"/>
      <c r="EJ357" s="150"/>
      <c r="EK357" s="150"/>
      <c r="EL357" s="150"/>
      <c r="EM357" s="150"/>
      <c r="EN357" s="150"/>
      <c r="EO357" s="150"/>
      <c r="EP357" s="150"/>
      <c r="EQ357" s="150"/>
      <c r="ER357" s="150"/>
      <c r="ES357" s="150"/>
      <c r="ET357" s="150"/>
      <c r="EU357" s="150"/>
      <c r="EV357" s="150"/>
      <c r="EW357" s="150"/>
      <c r="EX357" s="150"/>
      <c r="EY357" s="150"/>
      <c r="EZ357" s="150"/>
      <c r="FA357" s="150"/>
      <c r="FB357" s="150"/>
      <c r="FC357" s="150"/>
      <c r="FD357" s="150"/>
      <c r="FE357" s="150"/>
      <c r="FF357" s="150"/>
      <c r="FG357" s="150"/>
      <c r="FH357" s="150"/>
      <c r="FI357" s="150"/>
      <c r="FJ357" s="150"/>
      <c r="FK357" s="150"/>
      <c r="FL357" s="150"/>
      <c r="FM357" s="150"/>
      <c r="FN357" s="150"/>
      <c r="FO357" s="150"/>
      <c r="FP357" s="150"/>
      <c r="FQ357" s="150"/>
      <c r="FR357" s="150"/>
      <c r="FS357" s="150"/>
      <c r="FT357" s="150"/>
      <c r="FU357" s="150"/>
      <c r="FV357" s="150"/>
      <c r="FW357" s="150"/>
      <c r="FX357" s="150"/>
      <c r="FY357" s="150"/>
      <c r="FZ357" s="150"/>
      <c r="GA357" s="150"/>
      <c r="GB357" s="150"/>
      <c r="GC357" s="150"/>
      <c r="GD357" s="150"/>
      <c r="GE357" s="150"/>
      <c r="GF357" s="150"/>
      <c r="GG357" s="150"/>
      <c r="GH357" s="150"/>
      <c r="GI357" s="150"/>
      <c r="GJ357" s="150"/>
      <c r="GK357" s="150"/>
      <c r="GL357" s="150"/>
      <c r="GM357" s="150"/>
      <c r="GN357" s="150"/>
      <c r="GO357" s="150"/>
      <c r="GP357" s="150"/>
      <c r="GQ357" s="150"/>
      <c r="GR357" s="150"/>
      <c r="GS357" s="150"/>
      <c r="GT357" s="150"/>
      <c r="GU357" s="150"/>
      <c r="GV357" s="150"/>
      <c r="GW357" s="150"/>
      <c r="GX357" s="150"/>
      <c r="GY357" s="150"/>
      <c r="GZ357" s="150"/>
      <c r="HA357" s="150"/>
      <c r="HB357" s="150"/>
      <c r="HC357" s="150"/>
      <c r="HD357" s="150"/>
      <c r="HE357" s="150"/>
      <c r="HF357" s="150"/>
      <c r="HG357" s="150"/>
      <c r="HH357" s="150"/>
      <c r="HI357" s="150"/>
      <c r="HJ357" s="150"/>
      <c r="HK357" s="150"/>
      <c r="HL357" s="150"/>
    </row>
    <row r="358" spans="1:220" s="152" customFormat="1" ht="14.25">
      <c r="A358" s="153"/>
      <c r="C358" s="154"/>
      <c r="D358" s="155"/>
      <c r="F358" s="194"/>
      <c r="H358" s="155"/>
      <c r="AJ358" s="156"/>
      <c r="AK358" s="156"/>
      <c r="AQ358" s="154"/>
      <c r="AW358" s="154"/>
      <c r="AX358" s="154"/>
      <c r="AY358" s="158"/>
      <c r="BA358" s="279"/>
      <c r="CH358" s="154"/>
      <c r="CQ358" s="149"/>
      <c r="CS358" s="147"/>
      <c r="CV358" s="150"/>
      <c r="CW358" s="150"/>
      <c r="CX358" s="150"/>
      <c r="CY358" s="150"/>
      <c r="CZ358" s="150"/>
      <c r="DA358" s="150"/>
      <c r="DB358" s="150"/>
      <c r="DC358" s="150"/>
      <c r="DD358" s="150"/>
      <c r="DE358" s="150"/>
      <c r="DF358" s="150"/>
      <c r="DG358" s="150"/>
      <c r="DH358" s="150"/>
      <c r="DI358" s="150"/>
      <c r="DJ358" s="150"/>
      <c r="DK358" s="150"/>
      <c r="DL358" s="150"/>
      <c r="DM358" s="150"/>
      <c r="DN358" s="150"/>
      <c r="DO358" s="150"/>
      <c r="DP358" s="150"/>
      <c r="DQ358" s="150"/>
      <c r="DR358" s="150"/>
      <c r="DS358" s="150"/>
      <c r="DT358" s="150"/>
      <c r="DU358" s="150"/>
      <c r="DV358" s="150"/>
      <c r="DW358" s="150"/>
      <c r="DX358" s="150"/>
      <c r="DY358" s="150"/>
      <c r="DZ358" s="150"/>
      <c r="EA358" s="150"/>
      <c r="EB358" s="150"/>
      <c r="EC358" s="150"/>
      <c r="ED358" s="150"/>
      <c r="EE358" s="150"/>
      <c r="EF358" s="150"/>
      <c r="EG358" s="150"/>
      <c r="EH358" s="150"/>
      <c r="EI358" s="150"/>
      <c r="EJ358" s="150"/>
      <c r="EK358" s="150"/>
      <c r="EL358" s="150"/>
      <c r="EM358" s="150"/>
      <c r="EN358" s="150"/>
      <c r="EO358" s="150"/>
      <c r="EP358" s="150"/>
      <c r="EQ358" s="150"/>
      <c r="ER358" s="150"/>
      <c r="ES358" s="150"/>
      <c r="ET358" s="150"/>
      <c r="EU358" s="150"/>
      <c r="EV358" s="150"/>
      <c r="EW358" s="150"/>
      <c r="EX358" s="150"/>
      <c r="EY358" s="150"/>
      <c r="EZ358" s="150"/>
      <c r="FA358" s="150"/>
      <c r="FB358" s="150"/>
      <c r="FC358" s="150"/>
      <c r="FD358" s="150"/>
      <c r="FE358" s="150"/>
      <c r="FF358" s="150"/>
      <c r="FG358" s="150"/>
      <c r="FH358" s="150"/>
      <c r="FI358" s="150"/>
      <c r="FJ358" s="150"/>
      <c r="FK358" s="150"/>
      <c r="FL358" s="150"/>
      <c r="FM358" s="150"/>
      <c r="FN358" s="150"/>
      <c r="FO358" s="150"/>
      <c r="FP358" s="150"/>
      <c r="FQ358" s="150"/>
      <c r="FR358" s="150"/>
      <c r="FS358" s="150"/>
      <c r="FT358" s="150"/>
      <c r="FU358" s="150"/>
      <c r="FV358" s="150"/>
      <c r="FW358" s="150"/>
      <c r="FX358" s="150"/>
      <c r="FY358" s="150"/>
      <c r="FZ358" s="150"/>
      <c r="GA358" s="150"/>
      <c r="GB358" s="150"/>
      <c r="GC358" s="150"/>
      <c r="GD358" s="150"/>
      <c r="GE358" s="150"/>
      <c r="GF358" s="150"/>
      <c r="GG358" s="150"/>
      <c r="GH358" s="150"/>
      <c r="GI358" s="150"/>
      <c r="GJ358" s="150"/>
      <c r="GK358" s="150"/>
      <c r="GL358" s="150"/>
      <c r="GM358" s="150"/>
      <c r="GN358" s="150"/>
      <c r="GO358" s="150"/>
      <c r="GP358" s="150"/>
      <c r="GQ358" s="150"/>
      <c r="GR358" s="150"/>
      <c r="GS358" s="150"/>
      <c r="GT358" s="150"/>
      <c r="GU358" s="150"/>
      <c r="GV358" s="150"/>
      <c r="GW358" s="150"/>
      <c r="GX358" s="150"/>
      <c r="GY358" s="150"/>
      <c r="GZ358" s="150"/>
      <c r="HA358" s="150"/>
      <c r="HB358" s="150"/>
      <c r="HC358" s="150"/>
      <c r="HD358" s="150"/>
      <c r="HE358" s="150"/>
      <c r="HF358" s="150"/>
      <c r="HG358" s="150"/>
      <c r="HH358" s="150"/>
      <c r="HI358" s="150"/>
      <c r="HJ358" s="150"/>
      <c r="HK358" s="150"/>
      <c r="HL358" s="150"/>
    </row>
    <row r="359" spans="1:220" s="152" customFormat="1" ht="14.25">
      <c r="A359" s="153"/>
      <c r="C359" s="154"/>
      <c r="D359" s="155"/>
      <c r="F359" s="194"/>
      <c r="H359" s="155"/>
      <c r="AJ359" s="156"/>
      <c r="AK359" s="156"/>
      <c r="AQ359" s="154"/>
      <c r="AW359" s="154"/>
      <c r="AX359" s="154"/>
      <c r="AY359" s="158"/>
      <c r="BA359" s="279"/>
      <c r="CH359" s="154"/>
      <c r="CQ359" s="149"/>
      <c r="CS359" s="147"/>
      <c r="CV359" s="150"/>
      <c r="CW359" s="150"/>
      <c r="CX359" s="150"/>
      <c r="CY359" s="150"/>
      <c r="CZ359" s="150"/>
      <c r="DA359" s="150"/>
      <c r="DB359" s="150"/>
      <c r="DC359" s="150"/>
      <c r="DD359" s="150"/>
      <c r="DE359" s="150"/>
      <c r="DF359" s="150"/>
      <c r="DG359" s="150"/>
      <c r="DH359" s="150"/>
      <c r="DI359" s="150"/>
      <c r="DJ359" s="150"/>
      <c r="DK359" s="150"/>
      <c r="DL359" s="150"/>
      <c r="DM359" s="150"/>
      <c r="DN359" s="150"/>
      <c r="DO359" s="150"/>
      <c r="DP359" s="150"/>
      <c r="DQ359" s="150"/>
      <c r="DR359" s="150"/>
      <c r="DS359" s="150"/>
      <c r="DT359" s="150"/>
      <c r="DU359" s="150"/>
      <c r="DV359" s="150"/>
      <c r="DW359" s="150"/>
      <c r="DX359" s="150"/>
      <c r="DY359" s="150"/>
      <c r="DZ359" s="150"/>
      <c r="EA359" s="150"/>
      <c r="EB359" s="150"/>
      <c r="EC359" s="150"/>
      <c r="ED359" s="150"/>
      <c r="EE359" s="150"/>
      <c r="EF359" s="150"/>
      <c r="EG359" s="150"/>
      <c r="EH359" s="150"/>
      <c r="EI359" s="150"/>
      <c r="EJ359" s="150"/>
      <c r="EK359" s="150"/>
      <c r="EL359" s="150"/>
      <c r="EM359" s="150"/>
      <c r="EN359" s="150"/>
      <c r="EO359" s="150"/>
      <c r="EP359" s="150"/>
      <c r="EQ359" s="150"/>
      <c r="ER359" s="150"/>
      <c r="ES359" s="150"/>
      <c r="ET359" s="150"/>
      <c r="EU359" s="150"/>
      <c r="EV359" s="150"/>
      <c r="EW359" s="150"/>
      <c r="EX359" s="150"/>
      <c r="EY359" s="150"/>
      <c r="EZ359" s="150"/>
      <c r="FA359" s="150"/>
      <c r="FB359" s="150"/>
      <c r="FC359" s="150"/>
      <c r="FD359" s="150"/>
      <c r="FE359" s="150"/>
      <c r="FF359" s="150"/>
      <c r="FG359" s="150"/>
      <c r="FH359" s="150"/>
      <c r="FI359" s="150"/>
      <c r="FJ359" s="150"/>
      <c r="FK359" s="150"/>
      <c r="FL359" s="150"/>
      <c r="FM359" s="150"/>
      <c r="FN359" s="150"/>
      <c r="FO359" s="150"/>
      <c r="FP359" s="150"/>
      <c r="FQ359" s="150"/>
      <c r="FR359" s="150"/>
      <c r="FS359" s="150"/>
      <c r="FT359" s="150"/>
      <c r="FU359" s="150"/>
      <c r="FV359" s="150"/>
      <c r="FW359" s="150"/>
      <c r="FX359" s="150"/>
      <c r="FY359" s="150"/>
      <c r="FZ359" s="150"/>
      <c r="GA359" s="150"/>
      <c r="GB359" s="150"/>
      <c r="GC359" s="150"/>
      <c r="GD359" s="150"/>
      <c r="GE359" s="150"/>
      <c r="GF359" s="150"/>
      <c r="GG359" s="150"/>
      <c r="GH359" s="150"/>
      <c r="GI359" s="150"/>
      <c r="GJ359" s="150"/>
      <c r="GK359" s="150"/>
      <c r="GL359" s="150"/>
      <c r="GM359" s="150"/>
      <c r="GN359" s="150"/>
      <c r="GO359" s="150"/>
      <c r="GP359" s="150"/>
      <c r="GQ359" s="150"/>
      <c r="GR359" s="150"/>
      <c r="GS359" s="150"/>
      <c r="GT359" s="150"/>
      <c r="GU359" s="150"/>
      <c r="GV359" s="150"/>
      <c r="GW359" s="150"/>
      <c r="GX359" s="150"/>
      <c r="GY359" s="150"/>
      <c r="GZ359" s="150"/>
      <c r="HA359" s="150"/>
      <c r="HB359" s="150"/>
      <c r="HC359" s="150"/>
      <c r="HD359" s="150"/>
      <c r="HE359" s="150"/>
      <c r="HF359" s="150"/>
      <c r="HG359" s="150"/>
      <c r="HH359" s="150"/>
      <c r="HI359" s="150"/>
      <c r="HJ359" s="150"/>
      <c r="HK359" s="150"/>
      <c r="HL359" s="150"/>
    </row>
    <row r="360" spans="1:220" s="152" customFormat="1" ht="14.25">
      <c r="A360" s="153"/>
      <c r="C360" s="154"/>
      <c r="D360" s="155"/>
      <c r="F360" s="194"/>
      <c r="H360" s="155"/>
      <c r="AJ360" s="156"/>
      <c r="AK360" s="156"/>
      <c r="AQ360" s="154"/>
      <c r="AW360" s="154"/>
      <c r="AX360" s="154"/>
      <c r="AY360" s="158"/>
      <c r="BA360" s="279"/>
      <c r="CH360" s="154"/>
      <c r="CQ360" s="149"/>
      <c r="CS360" s="147"/>
      <c r="CV360" s="150"/>
      <c r="CW360" s="150"/>
      <c r="CX360" s="150"/>
      <c r="CY360" s="150"/>
      <c r="CZ360" s="150"/>
      <c r="DA360" s="150"/>
      <c r="DB360" s="150"/>
      <c r="DC360" s="150"/>
      <c r="DD360" s="150"/>
      <c r="DE360" s="150"/>
      <c r="DF360" s="150"/>
      <c r="DG360" s="150"/>
      <c r="DH360" s="150"/>
      <c r="DI360" s="150"/>
      <c r="DJ360" s="150"/>
      <c r="DK360" s="150"/>
      <c r="DL360" s="150"/>
      <c r="DM360" s="150"/>
      <c r="DN360" s="150"/>
      <c r="DO360" s="150"/>
      <c r="DP360" s="150"/>
      <c r="DQ360" s="150"/>
      <c r="DR360" s="150"/>
      <c r="DS360" s="150"/>
      <c r="DT360" s="150"/>
      <c r="DU360" s="150"/>
      <c r="DV360" s="150"/>
      <c r="DW360" s="150"/>
      <c r="DX360" s="150"/>
      <c r="DY360" s="150"/>
      <c r="DZ360" s="150"/>
      <c r="EA360" s="150"/>
      <c r="EB360" s="150"/>
      <c r="EC360" s="150"/>
      <c r="ED360" s="150"/>
      <c r="EE360" s="150"/>
      <c r="EF360" s="150"/>
      <c r="EG360" s="150"/>
      <c r="EH360" s="150"/>
      <c r="EI360" s="150"/>
      <c r="EJ360" s="150"/>
      <c r="EK360" s="150"/>
      <c r="EL360" s="150"/>
      <c r="EM360" s="150"/>
      <c r="EN360" s="150"/>
      <c r="EO360" s="150"/>
      <c r="EP360" s="150"/>
      <c r="EQ360" s="150"/>
      <c r="ER360" s="150"/>
      <c r="ES360" s="150"/>
      <c r="ET360" s="150"/>
      <c r="EU360" s="150"/>
      <c r="EV360" s="150"/>
      <c r="EW360" s="150"/>
      <c r="EX360" s="150"/>
      <c r="EY360" s="150"/>
      <c r="EZ360" s="150"/>
      <c r="FA360" s="150"/>
      <c r="FB360" s="150"/>
      <c r="FC360" s="150"/>
      <c r="FD360" s="150"/>
      <c r="FE360" s="150"/>
      <c r="FF360" s="150"/>
      <c r="FG360" s="150"/>
      <c r="FH360" s="150"/>
      <c r="FI360" s="150"/>
      <c r="FJ360" s="150"/>
      <c r="FK360" s="150"/>
      <c r="FL360" s="150"/>
      <c r="FM360" s="150"/>
      <c r="FN360" s="150"/>
      <c r="FO360" s="150"/>
      <c r="FP360" s="150"/>
      <c r="FQ360" s="150"/>
      <c r="FR360" s="150"/>
      <c r="FS360" s="150"/>
      <c r="FT360" s="150"/>
      <c r="FU360" s="150"/>
      <c r="FV360" s="150"/>
      <c r="FW360" s="150"/>
      <c r="FX360" s="150"/>
      <c r="FY360" s="150"/>
      <c r="FZ360" s="150"/>
      <c r="GA360" s="150"/>
      <c r="GB360" s="150"/>
      <c r="GC360" s="150"/>
      <c r="GD360" s="150"/>
      <c r="GE360" s="150"/>
      <c r="GF360" s="150"/>
      <c r="GG360" s="150"/>
      <c r="GH360" s="150"/>
      <c r="GI360" s="150"/>
      <c r="GJ360" s="150"/>
      <c r="GK360" s="150"/>
      <c r="GL360" s="150"/>
      <c r="GM360" s="150"/>
      <c r="GN360" s="150"/>
      <c r="GO360" s="150"/>
      <c r="GP360" s="150"/>
      <c r="GQ360" s="150"/>
      <c r="GR360" s="150"/>
      <c r="GS360" s="150"/>
      <c r="GT360" s="150"/>
      <c r="GU360" s="150"/>
      <c r="GV360" s="150"/>
      <c r="GW360" s="150"/>
      <c r="GX360" s="150"/>
      <c r="GY360" s="150"/>
      <c r="GZ360" s="150"/>
      <c r="HA360" s="150"/>
      <c r="HB360" s="150"/>
      <c r="HC360" s="150"/>
      <c r="HD360" s="150"/>
      <c r="HE360" s="150"/>
      <c r="HF360" s="150"/>
      <c r="HG360" s="150"/>
      <c r="HH360" s="150"/>
      <c r="HI360" s="150"/>
      <c r="HJ360" s="150"/>
      <c r="HK360" s="150"/>
      <c r="HL360" s="150"/>
    </row>
    <row r="361" spans="1:220" s="152" customFormat="1" ht="14.25">
      <c r="A361" s="153"/>
      <c r="C361" s="154"/>
      <c r="D361" s="155"/>
      <c r="F361" s="194"/>
      <c r="H361" s="155"/>
      <c r="AJ361" s="156"/>
      <c r="AK361" s="156"/>
      <c r="AQ361" s="154"/>
      <c r="AW361" s="154"/>
      <c r="AX361" s="154"/>
      <c r="AY361" s="158"/>
      <c r="BA361" s="279"/>
      <c r="CH361" s="154"/>
      <c r="CQ361" s="149"/>
      <c r="CS361" s="147"/>
      <c r="CV361" s="150"/>
      <c r="CW361" s="150"/>
      <c r="CX361" s="150"/>
      <c r="CY361" s="150"/>
      <c r="CZ361" s="150"/>
      <c r="DA361" s="150"/>
      <c r="DB361" s="150"/>
      <c r="DC361" s="150"/>
      <c r="DD361" s="150"/>
      <c r="DE361" s="150"/>
      <c r="DF361" s="150"/>
      <c r="DG361" s="150"/>
      <c r="DH361" s="150"/>
      <c r="DI361" s="150"/>
      <c r="DJ361" s="150"/>
      <c r="DK361" s="150"/>
      <c r="DL361" s="150"/>
      <c r="DM361" s="150"/>
      <c r="DN361" s="150"/>
      <c r="DO361" s="150"/>
      <c r="DP361" s="150"/>
      <c r="DQ361" s="150"/>
      <c r="DR361" s="150"/>
      <c r="DS361" s="150"/>
      <c r="DT361" s="150"/>
      <c r="DU361" s="150"/>
      <c r="DV361" s="150"/>
      <c r="DW361" s="150"/>
      <c r="DX361" s="150"/>
      <c r="DY361" s="150"/>
      <c r="DZ361" s="150"/>
      <c r="EA361" s="150"/>
      <c r="EB361" s="150"/>
      <c r="EC361" s="150"/>
      <c r="ED361" s="150"/>
      <c r="EE361" s="150"/>
      <c r="EF361" s="150"/>
      <c r="EG361" s="150"/>
      <c r="EH361" s="150"/>
      <c r="EI361" s="150"/>
      <c r="EJ361" s="150"/>
      <c r="EK361" s="150"/>
      <c r="EL361" s="150"/>
      <c r="EM361" s="150"/>
      <c r="EN361" s="150"/>
      <c r="EO361" s="150"/>
      <c r="EP361" s="150"/>
      <c r="EQ361" s="150"/>
      <c r="ER361" s="150"/>
      <c r="ES361" s="150"/>
      <c r="ET361" s="150"/>
      <c r="EU361" s="150"/>
      <c r="EV361" s="150"/>
      <c r="EW361" s="150"/>
      <c r="EX361" s="150"/>
      <c r="EY361" s="150"/>
      <c r="EZ361" s="150"/>
      <c r="FA361" s="150"/>
      <c r="FB361" s="150"/>
      <c r="FC361" s="150"/>
      <c r="FD361" s="150"/>
      <c r="FE361" s="150"/>
      <c r="FF361" s="150"/>
      <c r="FG361" s="150"/>
      <c r="FH361" s="150"/>
      <c r="FI361" s="150"/>
      <c r="FJ361" s="150"/>
      <c r="FK361" s="150"/>
      <c r="FL361" s="150"/>
      <c r="FM361" s="150"/>
      <c r="FN361" s="150"/>
      <c r="FO361" s="150"/>
      <c r="FP361" s="150"/>
      <c r="FQ361" s="150"/>
      <c r="FR361" s="150"/>
      <c r="FS361" s="150"/>
      <c r="FT361" s="150"/>
      <c r="FU361" s="150"/>
      <c r="FV361" s="150"/>
      <c r="FW361" s="150"/>
      <c r="FX361" s="150"/>
      <c r="FY361" s="150"/>
      <c r="FZ361" s="150"/>
      <c r="GA361" s="150"/>
      <c r="GB361" s="150"/>
      <c r="GC361" s="150"/>
      <c r="GD361" s="150"/>
      <c r="GE361" s="150"/>
      <c r="GF361" s="150"/>
      <c r="GG361" s="150"/>
      <c r="GH361" s="150"/>
      <c r="GI361" s="150"/>
      <c r="GJ361" s="150"/>
      <c r="GK361" s="150"/>
      <c r="GL361" s="150"/>
      <c r="GM361" s="150"/>
      <c r="GN361" s="150"/>
      <c r="GO361" s="150"/>
      <c r="GP361" s="150"/>
      <c r="GQ361" s="150"/>
      <c r="GR361" s="150"/>
      <c r="GS361" s="150"/>
      <c r="GT361" s="150"/>
      <c r="GU361" s="150"/>
      <c r="GV361" s="150"/>
      <c r="GW361" s="150"/>
      <c r="GX361" s="150"/>
      <c r="GY361" s="150"/>
      <c r="GZ361" s="150"/>
      <c r="HA361" s="150"/>
      <c r="HB361" s="150"/>
      <c r="HC361" s="150"/>
      <c r="HD361" s="150"/>
      <c r="HE361" s="150"/>
      <c r="HF361" s="150"/>
      <c r="HG361" s="150"/>
      <c r="HH361" s="150"/>
      <c r="HI361" s="150"/>
      <c r="HJ361" s="150"/>
      <c r="HK361" s="150"/>
      <c r="HL361" s="150"/>
    </row>
    <row r="362" spans="1:220" s="152" customFormat="1" ht="14.25">
      <c r="A362" s="153"/>
      <c r="C362" s="154"/>
      <c r="D362" s="155"/>
      <c r="F362" s="194"/>
      <c r="H362" s="155"/>
      <c r="AJ362" s="156"/>
      <c r="AK362" s="156"/>
      <c r="AQ362" s="154"/>
      <c r="AW362" s="154"/>
      <c r="AX362" s="154"/>
      <c r="AY362" s="158"/>
      <c r="BA362" s="279"/>
      <c r="CH362" s="154"/>
      <c r="CQ362" s="149"/>
      <c r="CS362" s="147"/>
      <c r="CV362" s="150"/>
      <c r="CW362" s="150"/>
      <c r="CX362" s="150"/>
      <c r="CY362" s="150"/>
      <c r="CZ362" s="150"/>
      <c r="DA362" s="150"/>
      <c r="DB362" s="150"/>
      <c r="DC362" s="150"/>
      <c r="DD362" s="150"/>
      <c r="DE362" s="150"/>
      <c r="DF362" s="150"/>
      <c r="DG362" s="150"/>
      <c r="DH362" s="150"/>
      <c r="DI362" s="150"/>
      <c r="DJ362" s="150"/>
      <c r="DK362" s="150"/>
      <c r="DL362" s="150"/>
      <c r="DM362" s="150"/>
      <c r="DN362" s="150"/>
      <c r="DO362" s="150"/>
      <c r="DP362" s="150"/>
      <c r="DQ362" s="150"/>
      <c r="DR362" s="150"/>
      <c r="DS362" s="150"/>
      <c r="DT362" s="150"/>
      <c r="DU362" s="150"/>
      <c r="DV362" s="150"/>
      <c r="DW362" s="150"/>
      <c r="DX362" s="150"/>
      <c r="DY362" s="150"/>
      <c r="DZ362" s="150"/>
      <c r="EA362" s="150"/>
      <c r="EB362" s="150"/>
      <c r="EC362" s="150"/>
      <c r="ED362" s="150"/>
      <c r="EE362" s="150"/>
      <c r="EF362" s="150"/>
      <c r="EG362" s="150"/>
      <c r="EH362" s="150"/>
      <c r="EI362" s="150"/>
      <c r="EJ362" s="150"/>
      <c r="EK362" s="150"/>
      <c r="EL362" s="150"/>
      <c r="EM362" s="150"/>
      <c r="EN362" s="150"/>
      <c r="EO362" s="150"/>
      <c r="EP362" s="150"/>
      <c r="EQ362" s="150"/>
      <c r="ER362" s="150"/>
      <c r="ES362" s="150"/>
      <c r="ET362" s="150"/>
      <c r="EU362" s="150"/>
      <c r="EV362" s="150"/>
      <c r="EW362" s="150"/>
      <c r="EX362" s="150"/>
      <c r="EY362" s="150"/>
      <c r="EZ362" s="150"/>
      <c r="FA362" s="150"/>
      <c r="FB362" s="150"/>
      <c r="FC362" s="150"/>
      <c r="FD362" s="150"/>
      <c r="FE362" s="150"/>
      <c r="FF362" s="150"/>
      <c r="FG362" s="150"/>
      <c r="FH362" s="150"/>
      <c r="FI362" s="150"/>
      <c r="FJ362" s="150"/>
      <c r="FK362" s="150"/>
      <c r="FL362" s="150"/>
      <c r="FM362" s="150"/>
      <c r="FN362" s="150"/>
      <c r="FO362" s="150"/>
      <c r="FP362" s="150"/>
      <c r="FQ362" s="150"/>
      <c r="FR362" s="150"/>
      <c r="FS362" s="150"/>
      <c r="FT362" s="150"/>
      <c r="FU362" s="150"/>
      <c r="FV362" s="150"/>
      <c r="FW362" s="150"/>
      <c r="FX362" s="150"/>
      <c r="FY362" s="150"/>
      <c r="FZ362" s="150"/>
      <c r="GA362" s="150"/>
      <c r="GB362" s="150"/>
      <c r="GC362" s="150"/>
      <c r="GD362" s="150"/>
      <c r="GE362" s="150"/>
      <c r="GF362" s="150"/>
      <c r="GG362" s="150"/>
      <c r="GH362" s="150"/>
      <c r="GI362" s="150"/>
      <c r="GJ362" s="150"/>
      <c r="GK362" s="150"/>
      <c r="GL362" s="150"/>
      <c r="GM362" s="150"/>
      <c r="GN362" s="150"/>
      <c r="GO362" s="150"/>
      <c r="GP362" s="150"/>
      <c r="GQ362" s="150"/>
      <c r="GR362" s="150"/>
      <c r="GS362" s="150"/>
      <c r="GT362" s="150"/>
      <c r="GU362" s="150"/>
      <c r="GV362" s="150"/>
      <c r="GW362" s="150"/>
      <c r="GX362" s="150"/>
      <c r="GY362" s="150"/>
      <c r="GZ362" s="150"/>
      <c r="HA362" s="150"/>
      <c r="HB362" s="150"/>
      <c r="HC362" s="150"/>
      <c r="HD362" s="150"/>
      <c r="HE362" s="150"/>
      <c r="HF362" s="150"/>
      <c r="HG362" s="150"/>
      <c r="HH362" s="150"/>
      <c r="HI362" s="150"/>
      <c r="HJ362" s="150"/>
      <c r="HK362" s="150"/>
      <c r="HL362" s="150"/>
    </row>
    <row r="363" spans="1:220" s="152" customFormat="1" ht="14.25">
      <c r="A363" s="153"/>
      <c r="C363" s="154"/>
      <c r="D363" s="155"/>
      <c r="F363" s="194"/>
      <c r="H363" s="155"/>
      <c r="AJ363" s="156"/>
      <c r="AK363" s="156"/>
      <c r="AQ363" s="154"/>
      <c r="AW363" s="154"/>
      <c r="AX363" s="154"/>
      <c r="AY363" s="158"/>
      <c r="BA363" s="279"/>
      <c r="CH363" s="154"/>
      <c r="CQ363" s="149"/>
      <c r="CS363" s="147"/>
      <c r="CV363" s="150"/>
      <c r="CW363" s="150"/>
      <c r="CX363" s="150"/>
      <c r="CY363" s="150"/>
      <c r="CZ363" s="150"/>
      <c r="DA363" s="150"/>
      <c r="DB363" s="150"/>
      <c r="DC363" s="150"/>
      <c r="DD363" s="150"/>
      <c r="DE363" s="150"/>
      <c r="DF363" s="150"/>
      <c r="DG363" s="150"/>
      <c r="DH363" s="150"/>
      <c r="DI363" s="150"/>
      <c r="DJ363" s="150"/>
      <c r="DK363" s="150"/>
      <c r="DL363" s="150"/>
      <c r="DM363" s="150"/>
      <c r="DN363" s="150"/>
      <c r="DO363" s="150"/>
      <c r="DP363" s="150"/>
      <c r="DQ363" s="150"/>
      <c r="DR363" s="150"/>
      <c r="DS363" s="150"/>
      <c r="DT363" s="150"/>
      <c r="DU363" s="150"/>
      <c r="DV363" s="150"/>
      <c r="DW363" s="150"/>
      <c r="DX363" s="150"/>
      <c r="DY363" s="150"/>
      <c r="DZ363" s="150"/>
      <c r="EA363" s="150"/>
      <c r="EB363" s="150"/>
      <c r="EC363" s="150"/>
      <c r="ED363" s="150"/>
      <c r="EE363" s="150"/>
      <c r="EF363" s="150"/>
      <c r="EG363" s="150"/>
      <c r="EH363" s="150"/>
      <c r="EI363" s="150"/>
      <c r="EJ363" s="150"/>
      <c r="EK363" s="150"/>
      <c r="EL363" s="150"/>
      <c r="EM363" s="150"/>
      <c r="EN363" s="150"/>
      <c r="EO363" s="150"/>
      <c r="EP363" s="150"/>
      <c r="EQ363" s="150"/>
      <c r="ER363" s="150"/>
      <c r="ES363" s="150"/>
      <c r="ET363" s="150"/>
      <c r="EU363" s="150"/>
      <c r="EV363" s="150"/>
      <c r="EW363" s="150"/>
      <c r="EX363" s="150"/>
      <c r="EY363" s="150"/>
      <c r="EZ363" s="150"/>
      <c r="FA363" s="150"/>
      <c r="FB363" s="150"/>
      <c r="FC363" s="150"/>
      <c r="FD363" s="150"/>
      <c r="FE363" s="150"/>
      <c r="FF363" s="150"/>
      <c r="FG363" s="150"/>
      <c r="FH363" s="150"/>
      <c r="FI363" s="150"/>
      <c r="FJ363" s="150"/>
      <c r="FK363" s="150"/>
      <c r="FL363" s="150"/>
      <c r="FM363" s="150"/>
      <c r="FN363" s="150"/>
      <c r="FO363" s="150"/>
      <c r="FP363" s="150"/>
      <c r="FQ363" s="150"/>
      <c r="FR363" s="150"/>
      <c r="FS363" s="150"/>
      <c r="FT363" s="150"/>
      <c r="FU363" s="150"/>
      <c r="FV363" s="150"/>
      <c r="FW363" s="150"/>
      <c r="FX363" s="150"/>
      <c r="FY363" s="150"/>
      <c r="FZ363" s="150"/>
      <c r="GA363" s="150"/>
      <c r="GB363" s="150"/>
      <c r="GC363" s="150"/>
      <c r="GD363" s="150"/>
      <c r="GE363" s="150"/>
      <c r="GF363" s="150"/>
      <c r="GG363" s="150"/>
      <c r="GH363" s="150"/>
      <c r="GI363" s="150"/>
      <c r="GJ363" s="150"/>
      <c r="GK363" s="150"/>
      <c r="GL363" s="150"/>
      <c r="GM363" s="150"/>
      <c r="GN363" s="150"/>
      <c r="GO363" s="150"/>
      <c r="GP363" s="150"/>
      <c r="GQ363" s="150"/>
      <c r="GR363" s="150"/>
      <c r="GS363" s="150"/>
      <c r="GT363" s="150"/>
      <c r="GU363" s="150"/>
      <c r="GV363" s="150"/>
      <c r="GW363" s="150"/>
      <c r="GX363" s="150"/>
      <c r="GY363" s="150"/>
      <c r="GZ363" s="150"/>
      <c r="HA363" s="150"/>
      <c r="HB363" s="150"/>
      <c r="HC363" s="150"/>
      <c r="HD363" s="150"/>
      <c r="HE363" s="150"/>
      <c r="HF363" s="150"/>
      <c r="HG363" s="150"/>
      <c r="HH363" s="150"/>
      <c r="HI363" s="150"/>
      <c r="HJ363" s="150"/>
      <c r="HK363" s="150"/>
      <c r="HL363" s="150"/>
    </row>
    <row r="364" spans="1:220" s="152" customFormat="1" ht="14.25">
      <c r="A364" s="153"/>
      <c r="C364" s="154"/>
      <c r="D364" s="155"/>
      <c r="F364" s="194"/>
      <c r="H364" s="155"/>
      <c r="AJ364" s="156"/>
      <c r="AK364" s="156"/>
      <c r="AQ364" s="154"/>
      <c r="AW364" s="154"/>
      <c r="AX364" s="154"/>
      <c r="AY364" s="158"/>
      <c r="BA364" s="279"/>
      <c r="CH364" s="154"/>
      <c r="CQ364" s="149"/>
      <c r="CS364" s="147"/>
      <c r="CV364" s="150"/>
      <c r="CW364" s="150"/>
      <c r="CX364" s="150"/>
      <c r="CY364" s="150"/>
      <c r="CZ364" s="150"/>
      <c r="DA364" s="150"/>
      <c r="DB364" s="150"/>
      <c r="DC364" s="150"/>
      <c r="DD364" s="150"/>
      <c r="DE364" s="150"/>
      <c r="DF364" s="150"/>
      <c r="DG364" s="150"/>
      <c r="DH364" s="150"/>
      <c r="DI364" s="150"/>
      <c r="DJ364" s="150"/>
      <c r="DK364" s="150"/>
      <c r="DL364" s="150"/>
      <c r="DM364" s="150"/>
      <c r="DN364" s="150"/>
      <c r="DO364" s="150"/>
      <c r="DP364" s="150"/>
      <c r="DQ364" s="150"/>
      <c r="DR364" s="150"/>
      <c r="DS364" s="150"/>
      <c r="DT364" s="150"/>
      <c r="DU364" s="150"/>
      <c r="DV364" s="150"/>
      <c r="DW364" s="150"/>
      <c r="DX364" s="150"/>
      <c r="DY364" s="150"/>
      <c r="DZ364" s="150"/>
      <c r="EA364" s="150"/>
      <c r="EB364" s="150"/>
      <c r="EC364" s="150"/>
      <c r="ED364" s="150"/>
      <c r="EE364" s="150"/>
      <c r="EF364" s="150"/>
      <c r="EG364" s="150"/>
      <c r="EH364" s="150"/>
      <c r="EI364" s="150"/>
      <c r="EJ364" s="150"/>
      <c r="EK364" s="150"/>
      <c r="EL364" s="150"/>
      <c r="EM364" s="150"/>
      <c r="EN364" s="150"/>
      <c r="EO364" s="150"/>
      <c r="EP364" s="150"/>
      <c r="EQ364" s="150"/>
      <c r="ER364" s="150"/>
      <c r="ES364" s="150"/>
      <c r="ET364" s="150"/>
      <c r="EU364" s="150"/>
      <c r="EV364" s="150"/>
      <c r="EW364" s="150"/>
      <c r="EX364" s="150"/>
      <c r="EY364" s="150"/>
      <c r="EZ364" s="150"/>
      <c r="FA364" s="150"/>
      <c r="FB364" s="150"/>
      <c r="FC364" s="150"/>
      <c r="FD364" s="150"/>
      <c r="FE364" s="150"/>
      <c r="FF364" s="150"/>
      <c r="FG364" s="150"/>
      <c r="FH364" s="150"/>
      <c r="FI364" s="150"/>
      <c r="FJ364" s="150"/>
      <c r="FK364" s="150"/>
      <c r="FL364" s="150"/>
      <c r="FM364" s="150"/>
      <c r="FN364" s="150"/>
      <c r="FO364" s="150"/>
      <c r="FP364" s="150"/>
      <c r="FQ364" s="150"/>
      <c r="FR364" s="150"/>
      <c r="FS364" s="150"/>
      <c r="FT364" s="150"/>
      <c r="FU364" s="150"/>
      <c r="FV364" s="150"/>
      <c r="FW364" s="150"/>
      <c r="FX364" s="150"/>
      <c r="FY364" s="150"/>
      <c r="FZ364" s="150"/>
      <c r="GA364" s="150"/>
      <c r="GB364" s="150"/>
      <c r="GC364" s="150"/>
      <c r="GD364" s="150"/>
      <c r="GE364" s="150"/>
      <c r="GF364" s="150"/>
      <c r="GG364" s="150"/>
      <c r="GH364" s="150"/>
      <c r="GI364" s="150"/>
      <c r="GJ364" s="150"/>
      <c r="GK364" s="150"/>
      <c r="GL364" s="150"/>
      <c r="GM364" s="150"/>
      <c r="GN364" s="150"/>
      <c r="GO364" s="150"/>
      <c r="GP364" s="150"/>
      <c r="GQ364" s="150"/>
      <c r="GR364" s="150"/>
      <c r="GS364" s="150"/>
      <c r="GT364" s="150"/>
      <c r="GU364" s="150"/>
      <c r="GV364" s="150"/>
      <c r="GW364" s="150"/>
      <c r="GX364" s="150"/>
      <c r="GY364" s="150"/>
      <c r="GZ364" s="150"/>
      <c r="HA364" s="150"/>
      <c r="HB364" s="150"/>
      <c r="HC364" s="150"/>
      <c r="HD364" s="150"/>
      <c r="HE364" s="150"/>
      <c r="HF364" s="150"/>
      <c r="HG364" s="150"/>
      <c r="HH364" s="150"/>
      <c r="HI364" s="150"/>
      <c r="HJ364" s="150"/>
      <c r="HK364" s="150"/>
      <c r="HL364" s="150"/>
    </row>
    <row r="365" spans="1:220" s="152" customFormat="1" ht="14.25">
      <c r="A365" s="153"/>
      <c r="C365" s="154"/>
      <c r="D365" s="155"/>
      <c r="F365" s="194"/>
      <c r="H365" s="155"/>
      <c r="AJ365" s="156"/>
      <c r="AK365" s="156"/>
      <c r="AQ365" s="154"/>
      <c r="AW365" s="154"/>
      <c r="AX365" s="154"/>
      <c r="AY365" s="158"/>
      <c r="BA365" s="279"/>
      <c r="CH365" s="154"/>
      <c r="CQ365" s="149"/>
      <c r="CS365" s="147"/>
      <c r="CV365" s="150"/>
      <c r="CW365" s="150"/>
      <c r="CX365" s="150"/>
      <c r="CY365" s="150"/>
      <c r="CZ365" s="150"/>
      <c r="DA365" s="150"/>
      <c r="DB365" s="150"/>
      <c r="DC365" s="150"/>
      <c r="DD365" s="150"/>
      <c r="DE365" s="150"/>
      <c r="DF365" s="150"/>
      <c r="DG365" s="150"/>
      <c r="DH365" s="150"/>
      <c r="DI365" s="150"/>
      <c r="DJ365" s="150"/>
      <c r="DK365" s="150"/>
      <c r="DL365" s="150"/>
      <c r="DM365" s="150"/>
      <c r="DN365" s="150"/>
      <c r="DO365" s="150"/>
      <c r="DP365" s="150"/>
      <c r="DQ365" s="150"/>
      <c r="DR365" s="150"/>
      <c r="DS365" s="150"/>
      <c r="DT365" s="150"/>
      <c r="DU365" s="150"/>
      <c r="DV365" s="150"/>
      <c r="DW365" s="150"/>
      <c r="DX365" s="150"/>
      <c r="DY365" s="150"/>
      <c r="DZ365" s="150"/>
      <c r="EA365" s="150"/>
      <c r="EB365" s="150"/>
      <c r="EC365" s="150"/>
      <c r="ED365" s="150"/>
      <c r="EE365" s="150"/>
      <c r="EF365" s="150"/>
      <c r="EG365" s="150"/>
      <c r="EH365" s="150"/>
      <c r="EI365" s="150"/>
      <c r="EJ365" s="150"/>
      <c r="EK365" s="150"/>
      <c r="EL365" s="150"/>
      <c r="EM365" s="150"/>
      <c r="EN365" s="150"/>
      <c r="EO365" s="150"/>
      <c r="EP365" s="150"/>
      <c r="EQ365" s="150"/>
      <c r="ER365" s="150"/>
      <c r="ES365" s="150"/>
      <c r="ET365" s="150"/>
      <c r="EU365" s="150"/>
      <c r="EV365" s="150"/>
      <c r="EW365" s="150"/>
      <c r="EX365" s="150"/>
      <c r="EY365" s="150"/>
      <c r="EZ365" s="150"/>
      <c r="FA365" s="150"/>
      <c r="FB365" s="150"/>
      <c r="FC365" s="150"/>
      <c r="FD365" s="150"/>
      <c r="FE365" s="150"/>
      <c r="FF365" s="150"/>
      <c r="FG365" s="150"/>
      <c r="FH365" s="150"/>
      <c r="FI365" s="150"/>
      <c r="FJ365" s="150"/>
      <c r="FK365" s="150"/>
      <c r="FL365" s="150"/>
      <c r="FM365" s="150"/>
      <c r="FN365" s="150"/>
      <c r="FO365" s="150"/>
      <c r="FP365" s="150"/>
      <c r="FQ365" s="150"/>
      <c r="FR365" s="150"/>
      <c r="FS365" s="150"/>
      <c r="FT365" s="150"/>
      <c r="FU365" s="150"/>
      <c r="FV365" s="150"/>
      <c r="FW365" s="150"/>
      <c r="FX365" s="150"/>
      <c r="FY365" s="150"/>
      <c r="FZ365" s="150"/>
      <c r="GA365" s="150"/>
      <c r="GB365" s="150"/>
      <c r="GC365" s="150"/>
      <c r="GD365" s="150"/>
      <c r="GE365" s="150"/>
      <c r="GF365" s="150"/>
      <c r="GG365" s="150"/>
      <c r="GH365" s="150"/>
      <c r="GI365" s="150"/>
      <c r="GJ365" s="150"/>
      <c r="GK365" s="150"/>
      <c r="GL365" s="150"/>
      <c r="GM365" s="150"/>
      <c r="GN365" s="150"/>
      <c r="GO365" s="150"/>
      <c r="GP365" s="150"/>
      <c r="GQ365" s="150"/>
      <c r="GR365" s="150"/>
      <c r="GS365" s="150"/>
      <c r="GT365" s="150"/>
      <c r="GU365" s="150"/>
      <c r="GV365" s="150"/>
      <c r="GW365" s="150"/>
      <c r="GX365" s="150"/>
      <c r="GY365" s="150"/>
      <c r="GZ365" s="150"/>
      <c r="HA365" s="150"/>
      <c r="HB365" s="150"/>
      <c r="HC365" s="150"/>
      <c r="HD365" s="150"/>
      <c r="HE365" s="150"/>
      <c r="HF365" s="150"/>
      <c r="HG365" s="150"/>
      <c r="HH365" s="150"/>
      <c r="HI365" s="150"/>
      <c r="HJ365" s="150"/>
      <c r="HK365" s="150"/>
      <c r="HL365" s="150"/>
    </row>
    <row r="366" spans="1:220" s="152" customFormat="1" ht="14.25">
      <c r="A366" s="153"/>
      <c r="C366" s="154"/>
      <c r="D366" s="155"/>
      <c r="F366" s="194"/>
      <c r="H366" s="155"/>
      <c r="AJ366" s="156"/>
      <c r="AK366" s="156"/>
      <c r="AQ366" s="154"/>
      <c r="AW366" s="154"/>
      <c r="AX366" s="154"/>
      <c r="AY366" s="158"/>
      <c r="BA366" s="279"/>
      <c r="CH366" s="154"/>
      <c r="CQ366" s="149"/>
      <c r="CS366" s="147"/>
      <c r="CV366" s="150"/>
      <c r="CW366" s="150"/>
      <c r="CX366" s="150"/>
      <c r="CY366" s="150"/>
      <c r="CZ366" s="150"/>
      <c r="DA366" s="150"/>
      <c r="DB366" s="150"/>
      <c r="DC366" s="150"/>
      <c r="DD366" s="150"/>
      <c r="DE366" s="150"/>
      <c r="DF366" s="150"/>
      <c r="DG366" s="150"/>
      <c r="DH366" s="150"/>
      <c r="DI366" s="150"/>
      <c r="DJ366" s="150"/>
      <c r="DK366" s="150"/>
      <c r="DL366" s="150"/>
      <c r="DM366" s="150"/>
      <c r="DN366" s="150"/>
      <c r="DO366" s="150"/>
      <c r="DP366" s="150"/>
      <c r="DQ366" s="150"/>
      <c r="DR366" s="150"/>
      <c r="DS366" s="150"/>
      <c r="DT366" s="150"/>
      <c r="DU366" s="150"/>
      <c r="DV366" s="150"/>
      <c r="DW366" s="150"/>
      <c r="DX366" s="150"/>
      <c r="DY366" s="150"/>
      <c r="DZ366" s="150"/>
      <c r="EA366" s="150"/>
      <c r="EB366" s="150"/>
      <c r="EC366" s="150"/>
      <c r="ED366" s="150"/>
      <c r="EE366" s="150"/>
      <c r="EF366" s="150"/>
      <c r="EG366" s="150"/>
      <c r="EH366" s="150"/>
      <c r="EI366" s="150"/>
      <c r="EJ366" s="150"/>
      <c r="EK366" s="150"/>
      <c r="EL366" s="150"/>
      <c r="EM366" s="150"/>
      <c r="EN366" s="150"/>
      <c r="EO366" s="150"/>
      <c r="EP366" s="150"/>
      <c r="EQ366" s="150"/>
      <c r="ER366" s="150"/>
      <c r="ES366" s="150"/>
      <c r="ET366" s="150"/>
      <c r="EU366" s="150"/>
      <c r="EV366" s="150"/>
      <c r="EW366" s="150"/>
      <c r="EX366" s="150"/>
      <c r="EY366" s="150"/>
      <c r="EZ366" s="150"/>
      <c r="FA366" s="150"/>
      <c r="FB366" s="150"/>
      <c r="FC366" s="150"/>
      <c r="FD366" s="150"/>
      <c r="FE366" s="150"/>
      <c r="FF366" s="150"/>
      <c r="FG366" s="150"/>
      <c r="FH366" s="150"/>
      <c r="FI366" s="150"/>
      <c r="FJ366" s="150"/>
      <c r="FK366" s="150"/>
      <c r="FL366" s="150"/>
      <c r="FM366" s="150"/>
      <c r="FN366" s="150"/>
      <c r="FO366" s="150"/>
      <c r="FP366" s="150"/>
      <c r="FQ366" s="150"/>
      <c r="FR366" s="150"/>
      <c r="FS366" s="150"/>
      <c r="FT366" s="150"/>
      <c r="FU366" s="150"/>
      <c r="FV366" s="150"/>
      <c r="FW366" s="150"/>
      <c r="FX366" s="150"/>
      <c r="FY366" s="150"/>
      <c r="FZ366" s="150"/>
      <c r="GA366" s="150"/>
      <c r="GB366" s="150"/>
      <c r="GC366" s="150"/>
      <c r="GD366" s="150"/>
      <c r="GE366" s="150"/>
      <c r="GF366" s="150"/>
      <c r="GG366" s="150"/>
      <c r="GH366" s="150"/>
      <c r="GI366" s="150"/>
      <c r="GJ366" s="150"/>
      <c r="GK366" s="150"/>
      <c r="GL366" s="150"/>
      <c r="GM366" s="150"/>
      <c r="GN366" s="150"/>
      <c r="GO366" s="150"/>
      <c r="GP366" s="150"/>
      <c r="GQ366" s="150"/>
      <c r="GR366" s="150"/>
      <c r="GS366" s="150"/>
      <c r="GT366" s="150"/>
      <c r="GU366" s="150"/>
      <c r="GV366" s="150"/>
      <c r="GW366" s="150"/>
      <c r="GX366" s="150"/>
      <c r="GY366" s="150"/>
      <c r="GZ366" s="150"/>
      <c r="HA366" s="150"/>
      <c r="HB366" s="150"/>
      <c r="HC366" s="150"/>
      <c r="HD366" s="150"/>
      <c r="HE366" s="150"/>
      <c r="HF366" s="150"/>
      <c r="HG366" s="150"/>
      <c r="HH366" s="150"/>
      <c r="HI366" s="150"/>
      <c r="HJ366" s="150"/>
      <c r="HK366" s="150"/>
      <c r="HL366" s="150"/>
    </row>
    <row r="367" spans="1:220" s="152" customFormat="1" ht="14.25">
      <c r="A367" s="153"/>
      <c r="C367" s="154"/>
      <c r="D367" s="155"/>
      <c r="F367" s="194"/>
      <c r="H367" s="155"/>
      <c r="AJ367" s="156"/>
      <c r="AK367" s="156"/>
      <c r="AQ367" s="154"/>
      <c r="AW367" s="154"/>
      <c r="AX367" s="154"/>
      <c r="AY367" s="158"/>
      <c r="BA367" s="279"/>
      <c r="CH367" s="154"/>
      <c r="CQ367" s="149"/>
      <c r="CS367" s="147"/>
      <c r="CV367" s="150"/>
      <c r="CW367" s="150"/>
      <c r="CX367" s="150"/>
      <c r="CY367" s="150"/>
      <c r="CZ367" s="150"/>
      <c r="DA367" s="150"/>
      <c r="DB367" s="150"/>
      <c r="DC367" s="150"/>
      <c r="DD367" s="150"/>
      <c r="DE367" s="150"/>
      <c r="DF367" s="150"/>
      <c r="DG367" s="150"/>
      <c r="DH367" s="150"/>
      <c r="DI367" s="150"/>
      <c r="DJ367" s="150"/>
      <c r="DK367" s="150"/>
      <c r="DL367" s="150"/>
      <c r="DM367" s="150"/>
      <c r="DN367" s="150"/>
      <c r="DO367" s="150"/>
      <c r="DP367" s="150"/>
      <c r="DQ367" s="150"/>
      <c r="DR367" s="150"/>
      <c r="DS367" s="150"/>
      <c r="DT367" s="150"/>
      <c r="DU367" s="150"/>
      <c r="DV367" s="150"/>
      <c r="DW367" s="150"/>
      <c r="DX367" s="150"/>
      <c r="DY367" s="150"/>
      <c r="DZ367" s="150"/>
      <c r="EA367" s="150"/>
      <c r="EB367" s="150"/>
      <c r="EC367" s="150"/>
      <c r="ED367" s="150"/>
      <c r="EE367" s="150"/>
      <c r="EF367" s="150"/>
      <c r="EG367" s="150"/>
      <c r="EH367" s="150"/>
      <c r="EI367" s="150"/>
      <c r="EJ367" s="150"/>
      <c r="EK367" s="150"/>
      <c r="EL367" s="150"/>
      <c r="EM367" s="150"/>
      <c r="EN367" s="150"/>
      <c r="EO367" s="150"/>
      <c r="EP367" s="150"/>
      <c r="EQ367" s="150"/>
      <c r="ER367" s="150"/>
      <c r="ES367" s="150"/>
      <c r="ET367" s="150"/>
      <c r="EU367" s="150"/>
      <c r="EV367" s="150"/>
      <c r="EW367" s="150"/>
      <c r="EX367" s="150"/>
      <c r="EY367" s="150"/>
      <c r="EZ367" s="150"/>
      <c r="FA367" s="150"/>
      <c r="FB367" s="150"/>
      <c r="FC367" s="150"/>
      <c r="FD367" s="150"/>
      <c r="FE367" s="150"/>
      <c r="FF367" s="150"/>
      <c r="FG367" s="150"/>
      <c r="FH367" s="150"/>
      <c r="FI367" s="150"/>
      <c r="FJ367" s="150"/>
      <c r="FK367" s="150"/>
      <c r="FL367" s="150"/>
      <c r="FM367" s="150"/>
      <c r="FN367" s="150"/>
      <c r="FO367" s="150"/>
      <c r="FP367" s="150"/>
      <c r="FQ367" s="150"/>
      <c r="FR367" s="150"/>
      <c r="FS367" s="150"/>
      <c r="FT367" s="150"/>
      <c r="FU367" s="150"/>
      <c r="FV367" s="150"/>
      <c r="FW367" s="150"/>
      <c r="FX367" s="150"/>
      <c r="FY367" s="150"/>
      <c r="FZ367" s="150"/>
      <c r="GA367" s="150"/>
      <c r="GB367" s="150"/>
      <c r="GC367" s="150"/>
      <c r="GD367" s="150"/>
      <c r="GE367" s="150"/>
      <c r="GF367" s="150"/>
      <c r="GG367" s="150"/>
      <c r="GH367" s="150"/>
      <c r="GI367" s="150"/>
      <c r="GJ367" s="150"/>
      <c r="GK367" s="150"/>
      <c r="GL367" s="150"/>
      <c r="GM367" s="150"/>
      <c r="GN367" s="150"/>
      <c r="GO367" s="150"/>
      <c r="GP367" s="150"/>
      <c r="GQ367" s="150"/>
      <c r="GR367" s="150"/>
      <c r="GS367" s="150"/>
      <c r="GT367" s="150"/>
      <c r="GU367" s="150"/>
      <c r="GV367" s="150"/>
      <c r="GW367" s="150"/>
      <c r="GX367" s="150"/>
      <c r="GY367" s="150"/>
      <c r="GZ367" s="150"/>
      <c r="HA367" s="150"/>
      <c r="HB367" s="150"/>
      <c r="HC367" s="150"/>
      <c r="HD367" s="150"/>
      <c r="HE367" s="150"/>
      <c r="HF367" s="150"/>
      <c r="HG367" s="150"/>
      <c r="HH367" s="150"/>
      <c r="HI367" s="150"/>
      <c r="HJ367" s="150"/>
      <c r="HK367" s="150"/>
      <c r="HL367" s="150"/>
    </row>
    <row r="368" spans="1:220" s="152" customFormat="1" ht="14.25">
      <c r="A368" s="153"/>
      <c r="C368" s="154"/>
      <c r="D368" s="155"/>
      <c r="F368" s="194"/>
      <c r="H368" s="155"/>
      <c r="AJ368" s="156"/>
      <c r="AK368" s="156"/>
      <c r="AQ368" s="154"/>
      <c r="AW368" s="154"/>
      <c r="AX368" s="154"/>
      <c r="AY368" s="158"/>
      <c r="BA368" s="279"/>
      <c r="CH368" s="154"/>
      <c r="CQ368" s="149"/>
      <c r="CS368" s="147"/>
      <c r="CV368" s="150"/>
      <c r="CW368" s="150"/>
      <c r="CX368" s="150"/>
      <c r="CY368" s="150"/>
      <c r="CZ368" s="150"/>
      <c r="DA368" s="150"/>
      <c r="DB368" s="150"/>
      <c r="DC368" s="150"/>
      <c r="DD368" s="150"/>
      <c r="DE368" s="150"/>
      <c r="DF368" s="150"/>
      <c r="DG368" s="150"/>
      <c r="DH368" s="150"/>
      <c r="DI368" s="150"/>
      <c r="DJ368" s="150"/>
      <c r="DK368" s="150"/>
      <c r="DL368" s="150"/>
      <c r="DM368" s="150"/>
      <c r="DN368" s="150"/>
      <c r="DO368" s="150"/>
      <c r="DP368" s="150"/>
      <c r="DQ368" s="150"/>
      <c r="DR368" s="150"/>
      <c r="DS368" s="150"/>
      <c r="DT368" s="150"/>
      <c r="DU368" s="150"/>
      <c r="DV368" s="150"/>
      <c r="DW368" s="150"/>
      <c r="DX368" s="150"/>
      <c r="DY368" s="150"/>
      <c r="DZ368" s="150"/>
      <c r="EA368" s="150"/>
      <c r="EB368" s="150"/>
      <c r="EC368" s="150"/>
      <c r="ED368" s="150"/>
      <c r="EE368" s="150"/>
      <c r="EF368" s="150"/>
      <c r="EG368" s="150"/>
      <c r="EH368" s="150"/>
      <c r="EI368" s="150"/>
      <c r="EJ368" s="150"/>
      <c r="EK368" s="150"/>
      <c r="EL368" s="150"/>
      <c r="EM368" s="150"/>
      <c r="EN368" s="150"/>
      <c r="EO368" s="150"/>
      <c r="EP368" s="150"/>
      <c r="EQ368" s="150"/>
      <c r="ER368" s="150"/>
      <c r="ES368" s="150"/>
      <c r="ET368" s="150"/>
      <c r="EU368" s="150"/>
      <c r="EV368" s="150"/>
      <c r="EW368" s="150"/>
      <c r="EX368" s="150"/>
      <c r="EY368" s="150"/>
      <c r="EZ368" s="150"/>
      <c r="FA368" s="150"/>
      <c r="FB368" s="150"/>
      <c r="FC368" s="150"/>
      <c r="FD368" s="150"/>
      <c r="FE368" s="150"/>
      <c r="FF368" s="150"/>
      <c r="FG368" s="150"/>
      <c r="FH368" s="150"/>
      <c r="FI368" s="150"/>
      <c r="FJ368" s="150"/>
      <c r="FK368" s="150"/>
      <c r="FL368" s="150"/>
      <c r="FM368" s="150"/>
      <c r="FN368" s="150"/>
      <c r="FO368" s="150"/>
      <c r="FP368" s="150"/>
      <c r="FQ368" s="150"/>
      <c r="FR368" s="150"/>
      <c r="FS368" s="150"/>
      <c r="FT368" s="150"/>
      <c r="FU368" s="150"/>
      <c r="FV368" s="150"/>
      <c r="FW368" s="150"/>
      <c r="FX368" s="150"/>
      <c r="FY368" s="150"/>
      <c r="FZ368" s="150"/>
      <c r="GA368" s="150"/>
      <c r="GB368" s="150"/>
      <c r="GC368" s="150"/>
      <c r="GD368" s="150"/>
      <c r="GE368" s="150"/>
      <c r="GF368" s="150"/>
      <c r="GG368" s="150"/>
      <c r="GH368" s="150"/>
      <c r="GI368" s="150"/>
      <c r="GJ368" s="150"/>
      <c r="GK368" s="150"/>
      <c r="GL368" s="150"/>
      <c r="GM368" s="150"/>
      <c r="GN368" s="150"/>
      <c r="GO368" s="150"/>
      <c r="GP368" s="150"/>
      <c r="GQ368" s="150"/>
      <c r="GR368" s="150"/>
      <c r="GS368" s="150"/>
      <c r="GT368" s="150"/>
      <c r="GU368" s="150"/>
      <c r="GV368" s="150"/>
      <c r="GW368" s="150"/>
      <c r="GX368" s="150"/>
      <c r="GY368" s="150"/>
      <c r="GZ368" s="150"/>
      <c r="HA368" s="150"/>
      <c r="HB368" s="150"/>
      <c r="HC368" s="150"/>
      <c r="HD368" s="150"/>
      <c r="HE368" s="150"/>
      <c r="HF368" s="150"/>
      <c r="HG368" s="150"/>
      <c r="HH368" s="150"/>
      <c r="HI368" s="150"/>
      <c r="HJ368" s="150"/>
      <c r="HK368" s="150"/>
      <c r="HL368" s="150"/>
    </row>
    <row r="369" spans="1:220" s="152" customFormat="1" ht="14.25">
      <c r="A369" s="153"/>
      <c r="C369" s="154"/>
      <c r="D369" s="155"/>
      <c r="F369" s="194"/>
      <c r="H369" s="155"/>
      <c r="AJ369" s="156"/>
      <c r="AK369" s="156"/>
      <c r="AQ369" s="154"/>
      <c r="AW369" s="154"/>
      <c r="AX369" s="154"/>
      <c r="AY369" s="158"/>
      <c r="BA369" s="279"/>
      <c r="CH369" s="154"/>
      <c r="CQ369" s="149"/>
      <c r="CS369" s="147"/>
      <c r="CV369" s="150"/>
      <c r="CW369" s="150"/>
      <c r="CX369" s="150"/>
      <c r="CY369" s="150"/>
      <c r="CZ369" s="150"/>
      <c r="DA369" s="150"/>
      <c r="DB369" s="150"/>
      <c r="DC369" s="150"/>
      <c r="DD369" s="150"/>
      <c r="DE369" s="150"/>
      <c r="DF369" s="150"/>
      <c r="DG369" s="150"/>
      <c r="DH369" s="150"/>
      <c r="DI369" s="150"/>
      <c r="DJ369" s="150"/>
      <c r="DK369" s="150"/>
      <c r="DL369" s="150"/>
      <c r="DM369" s="150"/>
      <c r="DN369" s="150"/>
      <c r="DO369" s="150"/>
      <c r="DP369" s="150"/>
      <c r="DQ369" s="150"/>
      <c r="DR369" s="150"/>
      <c r="DS369" s="150"/>
      <c r="DT369" s="150"/>
      <c r="DU369" s="150"/>
      <c r="DV369" s="150"/>
      <c r="DW369" s="150"/>
      <c r="DX369" s="150"/>
      <c r="DY369" s="150"/>
      <c r="DZ369" s="150"/>
      <c r="EA369" s="150"/>
      <c r="EB369" s="150"/>
      <c r="EC369" s="150"/>
      <c r="ED369" s="150"/>
      <c r="EE369" s="150"/>
      <c r="EF369" s="150"/>
      <c r="EG369" s="150"/>
      <c r="EH369" s="150"/>
      <c r="EI369" s="150"/>
      <c r="EJ369" s="150"/>
      <c r="EK369" s="150"/>
      <c r="EL369" s="150"/>
      <c r="EM369" s="150"/>
      <c r="EN369" s="150"/>
      <c r="EO369" s="150"/>
      <c r="EP369" s="150"/>
      <c r="EQ369" s="150"/>
      <c r="ER369" s="150"/>
      <c r="ES369" s="150"/>
      <c r="ET369" s="150"/>
      <c r="EU369" s="150"/>
      <c r="EV369" s="150"/>
      <c r="EW369" s="150"/>
      <c r="EX369" s="150"/>
      <c r="EY369" s="150"/>
      <c r="EZ369" s="150"/>
      <c r="FA369" s="150"/>
      <c r="FB369" s="150"/>
      <c r="FC369" s="150"/>
      <c r="FD369" s="150"/>
      <c r="FE369" s="150"/>
      <c r="FF369" s="150"/>
      <c r="FG369" s="150"/>
      <c r="FH369" s="150"/>
      <c r="FI369" s="150"/>
      <c r="FJ369" s="150"/>
      <c r="FK369" s="150"/>
      <c r="FL369" s="150"/>
      <c r="FM369" s="150"/>
      <c r="FN369" s="150"/>
      <c r="FO369" s="150"/>
      <c r="FP369" s="150"/>
      <c r="FQ369" s="150"/>
      <c r="FR369" s="150"/>
      <c r="FS369" s="150"/>
      <c r="FT369" s="150"/>
      <c r="FU369" s="150"/>
      <c r="FV369" s="150"/>
      <c r="FW369" s="150"/>
      <c r="FX369" s="150"/>
      <c r="FY369" s="150"/>
      <c r="FZ369" s="150"/>
      <c r="GA369" s="150"/>
      <c r="GB369" s="150"/>
      <c r="GC369" s="150"/>
      <c r="GD369" s="150"/>
      <c r="GE369" s="150"/>
      <c r="GF369" s="150"/>
      <c r="GG369" s="150"/>
      <c r="GH369" s="150"/>
      <c r="GI369" s="150"/>
      <c r="GJ369" s="150"/>
      <c r="GK369" s="150"/>
      <c r="GL369" s="150"/>
      <c r="GM369" s="150"/>
      <c r="GN369" s="150"/>
      <c r="GO369" s="150"/>
      <c r="GP369" s="150"/>
      <c r="GQ369" s="150"/>
      <c r="GR369" s="150"/>
      <c r="GS369" s="150"/>
      <c r="GT369" s="150"/>
      <c r="GU369" s="150"/>
      <c r="GV369" s="150"/>
      <c r="GW369" s="150"/>
      <c r="GX369" s="150"/>
      <c r="GY369" s="150"/>
      <c r="GZ369" s="150"/>
      <c r="HA369" s="150"/>
      <c r="HB369" s="150"/>
      <c r="HC369" s="150"/>
      <c r="HD369" s="150"/>
      <c r="HE369" s="150"/>
      <c r="HF369" s="150"/>
      <c r="HG369" s="150"/>
      <c r="HH369" s="150"/>
      <c r="HI369" s="150"/>
      <c r="HJ369" s="150"/>
      <c r="HK369" s="150"/>
      <c r="HL369" s="150"/>
    </row>
    <row r="370" spans="1:220" s="152" customFormat="1" ht="14.25">
      <c r="A370" s="153"/>
      <c r="C370" s="154"/>
      <c r="D370" s="155"/>
      <c r="F370" s="194"/>
      <c r="H370" s="155"/>
      <c r="AJ370" s="156"/>
      <c r="AK370" s="156"/>
      <c r="AQ370" s="154"/>
      <c r="AW370" s="154"/>
      <c r="AX370" s="154"/>
      <c r="AY370" s="158"/>
      <c r="BA370" s="279"/>
      <c r="CH370" s="154"/>
      <c r="CQ370" s="149"/>
      <c r="CS370" s="147"/>
      <c r="CV370" s="150"/>
      <c r="CW370" s="150"/>
      <c r="CX370" s="150"/>
      <c r="CY370" s="150"/>
      <c r="CZ370" s="150"/>
      <c r="DA370" s="150"/>
      <c r="DB370" s="150"/>
      <c r="DC370" s="150"/>
      <c r="DD370" s="150"/>
      <c r="DE370" s="150"/>
      <c r="DF370" s="150"/>
      <c r="DG370" s="150"/>
      <c r="DH370" s="150"/>
      <c r="DI370" s="150"/>
      <c r="DJ370" s="150"/>
      <c r="DK370" s="150"/>
      <c r="DL370" s="150"/>
      <c r="DM370" s="150"/>
      <c r="DN370" s="150"/>
      <c r="DO370" s="150"/>
      <c r="DP370" s="150"/>
      <c r="DQ370" s="150"/>
      <c r="DR370" s="150"/>
      <c r="DS370" s="150"/>
      <c r="DT370" s="150"/>
      <c r="DU370" s="150"/>
      <c r="DV370" s="150"/>
      <c r="DW370" s="150"/>
      <c r="DX370" s="150"/>
      <c r="DY370" s="150"/>
      <c r="DZ370" s="150"/>
      <c r="EA370" s="150"/>
      <c r="EB370" s="150"/>
      <c r="EC370" s="150"/>
      <c r="ED370" s="150"/>
      <c r="EE370" s="150"/>
      <c r="EF370" s="150"/>
      <c r="EG370" s="150"/>
      <c r="EH370" s="150"/>
      <c r="EI370" s="150"/>
      <c r="EJ370" s="150"/>
      <c r="EK370" s="150"/>
      <c r="EL370" s="150"/>
      <c r="EM370" s="150"/>
      <c r="EN370" s="150"/>
      <c r="EO370" s="150"/>
      <c r="EP370" s="150"/>
      <c r="EQ370" s="150"/>
      <c r="ER370" s="150"/>
      <c r="ES370" s="150"/>
      <c r="ET370" s="150"/>
      <c r="EU370" s="150"/>
      <c r="EV370" s="150"/>
      <c r="EW370" s="150"/>
      <c r="EX370" s="150"/>
      <c r="EY370" s="150"/>
      <c r="EZ370" s="150"/>
      <c r="FA370" s="150"/>
      <c r="FB370" s="150"/>
      <c r="FC370" s="150"/>
      <c r="FD370" s="150"/>
      <c r="FE370" s="150"/>
      <c r="FF370" s="150"/>
      <c r="FG370" s="150"/>
      <c r="FH370" s="150"/>
      <c r="FI370" s="150"/>
      <c r="FJ370" s="150"/>
      <c r="FK370" s="150"/>
      <c r="FL370" s="150"/>
      <c r="FM370" s="150"/>
      <c r="FN370" s="150"/>
      <c r="FO370" s="150"/>
      <c r="FP370" s="150"/>
      <c r="FQ370" s="150"/>
      <c r="FR370" s="150"/>
      <c r="FS370" s="150"/>
      <c r="FT370" s="150"/>
      <c r="FU370" s="150"/>
      <c r="FV370" s="150"/>
      <c r="FW370" s="150"/>
      <c r="FX370" s="150"/>
      <c r="FY370" s="150"/>
      <c r="FZ370" s="150"/>
      <c r="GA370" s="150"/>
      <c r="GB370" s="150"/>
      <c r="GC370" s="150"/>
      <c r="GD370" s="150"/>
      <c r="GE370" s="150"/>
      <c r="GF370" s="150"/>
      <c r="GG370" s="150"/>
      <c r="GH370" s="150"/>
      <c r="GI370" s="150"/>
      <c r="GJ370" s="150"/>
      <c r="GK370" s="150"/>
      <c r="GL370" s="150"/>
      <c r="GM370" s="150"/>
      <c r="GN370" s="150"/>
      <c r="GO370" s="150"/>
      <c r="GP370" s="150"/>
      <c r="GQ370" s="150"/>
      <c r="GR370" s="150"/>
      <c r="GS370" s="150"/>
      <c r="GT370" s="150"/>
      <c r="GU370" s="150"/>
      <c r="GV370" s="150"/>
      <c r="GW370" s="150"/>
      <c r="GX370" s="150"/>
      <c r="GY370" s="150"/>
      <c r="GZ370" s="150"/>
      <c r="HA370" s="150"/>
      <c r="HB370" s="150"/>
      <c r="HC370" s="150"/>
      <c r="HD370" s="150"/>
      <c r="HE370" s="150"/>
      <c r="HF370" s="150"/>
      <c r="HG370" s="150"/>
      <c r="HH370" s="150"/>
      <c r="HI370" s="150"/>
      <c r="HJ370" s="150"/>
      <c r="HK370" s="150"/>
      <c r="HL370" s="150"/>
    </row>
    <row r="371" spans="1:220" s="152" customFormat="1" ht="14.25">
      <c r="A371" s="153"/>
      <c r="C371" s="154"/>
      <c r="D371" s="155"/>
      <c r="F371" s="194"/>
      <c r="H371" s="155"/>
      <c r="AJ371" s="156"/>
      <c r="AK371" s="156"/>
      <c r="AQ371" s="154"/>
      <c r="AW371" s="154"/>
      <c r="AX371" s="154"/>
      <c r="AY371" s="158"/>
      <c r="BA371" s="279"/>
      <c r="CH371" s="154"/>
      <c r="CQ371" s="149"/>
      <c r="CS371" s="147"/>
      <c r="CV371" s="150"/>
      <c r="CW371" s="150"/>
      <c r="CX371" s="150"/>
      <c r="CY371" s="150"/>
      <c r="CZ371" s="150"/>
      <c r="DA371" s="150"/>
      <c r="DB371" s="150"/>
      <c r="DC371" s="150"/>
      <c r="DD371" s="150"/>
      <c r="DE371" s="150"/>
      <c r="DF371" s="150"/>
      <c r="DG371" s="150"/>
      <c r="DH371" s="150"/>
      <c r="DI371" s="150"/>
      <c r="DJ371" s="150"/>
      <c r="DK371" s="150"/>
      <c r="DL371" s="150"/>
      <c r="DM371" s="150"/>
      <c r="DN371" s="150"/>
      <c r="DO371" s="150"/>
      <c r="DP371" s="150"/>
      <c r="DQ371" s="150"/>
      <c r="DR371" s="150"/>
      <c r="DS371" s="150"/>
      <c r="DT371" s="150"/>
      <c r="DU371" s="150"/>
      <c r="DV371" s="150"/>
      <c r="DW371" s="150"/>
      <c r="DX371" s="150"/>
      <c r="DY371" s="150"/>
      <c r="DZ371" s="150"/>
      <c r="EA371" s="150"/>
      <c r="EB371" s="150"/>
      <c r="EC371" s="150"/>
      <c r="ED371" s="150"/>
      <c r="EE371" s="150"/>
      <c r="EF371" s="150"/>
      <c r="EG371" s="150"/>
      <c r="EH371" s="150"/>
      <c r="EI371" s="150"/>
      <c r="EJ371" s="150"/>
      <c r="EK371" s="150"/>
      <c r="EL371" s="150"/>
      <c r="EM371" s="150"/>
      <c r="EN371" s="150"/>
      <c r="EO371" s="150"/>
      <c r="EP371" s="150"/>
      <c r="EQ371" s="150"/>
      <c r="ER371" s="150"/>
      <c r="ES371" s="150"/>
      <c r="ET371" s="150"/>
      <c r="EU371" s="150"/>
      <c r="EV371" s="150"/>
      <c r="EW371" s="150"/>
      <c r="EX371" s="150"/>
      <c r="EY371" s="150"/>
      <c r="EZ371" s="150"/>
      <c r="FA371" s="150"/>
      <c r="FB371" s="150"/>
      <c r="FC371" s="150"/>
      <c r="FD371" s="150"/>
      <c r="FE371" s="150"/>
      <c r="FF371" s="150"/>
      <c r="FG371" s="150"/>
      <c r="FH371" s="150"/>
      <c r="FI371" s="150"/>
      <c r="FJ371" s="150"/>
      <c r="FK371" s="150"/>
      <c r="FL371" s="150"/>
      <c r="FM371" s="150"/>
      <c r="FN371" s="150"/>
      <c r="FO371" s="150"/>
      <c r="FP371" s="150"/>
      <c r="FQ371" s="150"/>
      <c r="FR371" s="150"/>
      <c r="FS371" s="150"/>
      <c r="FT371" s="150"/>
      <c r="FU371" s="150"/>
      <c r="FV371" s="150"/>
      <c r="FW371" s="150"/>
      <c r="FX371" s="150"/>
      <c r="FY371" s="150"/>
      <c r="FZ371" s="150"/>
      <c r="GA371" s="150"/>
      <c r="GB371" s="150"/>
      <c r="GC371" s="150"/>
      <c r="GD371" s="150"/>
      <c r="GE371" s="150"/>
      <c r="GF371" s="150"/>
      <c r="GG371" s="150"/>
      <c r="GH371" s="150"/>
      <c r="GI371" s="150"/>
      <c r="GJ371" s="150"/>
      <c r="GK371" s="150"/>
      <c r="GL371" s="150"/>
      <c r="GM371" s="150"/>
      <c r="GN371" s="150"/>
      <c r="GO371" s="150"/>
      <c r="GP371" s="150"/>
      <c r="GQ371" s="150"/>
      <c r="GR371" s="150"/>
      <c r="GS371" s="150"/>
      <c r="GT371" s="150"/>
      <c r="GU371" s="150"/>
      <c r="GV371" s="150"/>
      <c r="GW371" s="150"/>
      <c r="GX371" s="150"/>
      <c r="GY371" s="150"/>
      <c r="GZ371" s="150"/>
      <c r="HA371" s="150"/>
      <c r="HB371" s="150"/>
      <c r="HC371" s="150"/>
      <c r="HD371" s="150"/>
      <c r="HE371" s="150"/>
      <c r="HF371" s="150"/>
      <c r="HG371" s="150"/>
      <c r="HH371" s="150"/>
      <c r="HI371" s="150"/>
      <c r="HJ371" s="150"/>
      <c r="HK371" s="150"/>
      <c r="HL371" s="150"/>
    </row>
    <row r="372" spans="1:220" s="152" customFormat="1" ht="14.25">
      <c r="A372" s="153"/>
      <c r="C372" s="154"/>
      <c r="D372" s="155"/>
      <c r="F372" s="194"/>
      <c r="H372" s="155"/>
      <c r="AJ372" s="156"/>
      <c r="AK372" s="156"/>
      <c r="AQ372" s="154"/>
      <c r="AW372" s="154"/>
      <c r="AX372" s="154"/>
      <c r="AY372" s="158"/>
      <c r="BA372" s="279"/>
      <c r="CH372" s="154"/>
      <c r="CQ372" s="149"/>
      <c r="CS372" s="147"/>
      <c r="CV372" s="150"/>
      <c r="CW372" s="150"/>
      <c r="CX372" s="150"/>
      <c r="CY372" s="150"/>
      <c r="CZ372" s="150"/>
      <c r="DA372" s="150"/>
      <c r="DB372" s="150"/>
      <c r="DC372" s="150"/>
      <c r="DD372" s="150"/>
      <c r="DE372" s="150"/>
      <c r="DF372" s="150"/>
      <c r="DG372" s="150"/>
      <c r="DH372" s="150"/>
      <c r="DI372" s="150"/>
      <c r="DJ372" s="150"/>
      <c r="DK372" s="150"/>
      <c r="DL372" s="150"/>
      <c r="DM372" s="150"/>
      <c r="DN372" s="150"/>
      <c r="DO372" s="150"/>
      <c r="DP372" s="150"/>
      <c r="DQ372" s="150"/>
      <c r="DR372" s="150"/>
      <c r="DS372" s="150"/>
      <c r="DT372" s="150"/>
      <c r="DU372" s="150"/>
      <c r="DV372" s="150"/>
      <c r="DW372" s="150"/>
      <c r="DX372" s="150"/>
      <c r="DY372" s="150"/>
      <c r="DZ372" s="150"/>
      <c r="EA372" s="150"/>
      <c r="EB372" s="150"/>
      <c r="EC372" s="150"/>
      <c r="ED372" s="150"/>
      <c r="EE372" s="150"/>
      <c r="EF372" s="150"/>
      <c r="EG372" s="150"/>
      <c r="EH372" s="150"/>
      <c r="EI372" s="150"/>
      <c r="EJ372" s="150"/>
      <c r="EK372" s="150"/>
      <c r="EL372" s="150"/>
      <c r="EM372" s="150"/>
      <c r="EN372" s="150"/>
      <c r="EO372" s="150"/>
      <c r="EP372" s="150"/>
      <c r="EQ372" s="150"/>
      <c r="ER372" s="150"/>
      <c r="ES372" s="150"/>
      <c r="ET372" s="150"/>
      <c r="EU372" s="150"/>
      <c r="EV372" s="150"/>
      <c r="EW372" s="150"/>
      <c r="EX372" s="150"/>
      <c r="EY372" s="150"/>
      <c r="EZ372" s="150"/>
      <c r="FA372" s="150"/>
      <c r="FB372" s="150"/>
      <c r="FC372" s="150"/>
      <c r="FD372" s="150"/>
      <c r="FE372" s="150"/>
      <c r="FF372" s="150"/>
      <c r="FG372" s="150"/>
      <c r="FH372" s="150"/>
      <c r="FI372" s="150"/>
      <c r="FJ372" s="150"/>
      <c r="FK372" s="150"/>
      <c r="FL372" s="150"/>
      <c r="FM372" s="150"/>
      <c r="FN372" s="150"/>
      <c r="FO372" s="150"/>
      <c r="FP372" s="150"/>
      <c r="FQ372" s="150"/>
      <c r="FR372" s="150"/>
      <c r="FS372" s="150"/>
      <c r="FT372" s="150"/>
      <c r="FU372" s="150"/>
      <c r="FV372" s="150"/>
      <c r="FW372" s="150"/>
      <c r="FX372" s="150"/>
      <c r="FY372" s="150"/>
      <c r="FZ372" s="150"/>
      <c r="GA372" s="150"/>
      <c r="GB372" s="150"/>
      <c r="GC372" s="150"/>
      <c r="GD372" s="150"/>
      <c r="GE372" s="150"/>
      <c r="GF372" s="150"/>
      <c r="GG372" s="150"/>
      <c r="GH372" s="150"/>
      <c r="GI372" s="150"/>
      <c r="GJ372" s="150"/>
      <c r="GK372" s="150"/>
      <c r="GL372" s="150"/>
      <c r="GM372" s="150"/>
      <c r="GN372" s="150"/>
      <c r="GO372" s="150"/>
      <c r="GP372" s="150"/>
      <c r="GQ372" s="150"/>
      <c r="GR372" s="150"/>
      <c r="GS372" s="150"/>
      <c r="GT372" s="150"/>
      <c r="GU372" s="150"/>
      <c r="GV372" s="150"/>
      <c r="GW372" s="150"/>
      <c r="GX372" s="150"/>
      <c r="GY372" s="150"/>
      <c r="GZ372" s="150"/>
      <c r="HA372" s="150"/>
      <c r="HB372" s="150"/>
      <c r="HC372" s="150"/>
      <c r="HD372" s="150"/>
      <c r="HE372" s="150"/>
      <c r="HF372" s="150"/>
      <c r="HG372" s="150"/>
      <c r="HH372" s="150"/>
      <c r="HI372" s="150"/>
      <c r="HJ372" s="150"/>
      <c r="HK372" s="150"/>
      <c r="HL372" s="150"/>
    </row>
    <row r="373" spans="1:220" s="152" customFormat="1" ht="14.25">
      <c r="A373" s="153"/>
      <c r="C373" s="154"/>
      <c r="D373" s="155"/>
      <c r="F373" s="194"/>
      <c r="H373" s="155"/>
      <c r="AJ373" s="156"/>
      <c r="AK373" s="156"/>
      <c r="AQ373" s="154"/>
      <c r="AW373" s="154"/>
      <c r="AX373" s="154"/>
      <c r="AY373" s="158"/>
      <c r="BA373" s="279"/>
      <c r="CH373" s="154"/>
      <c r="CQ373" s="149"/>
      <c r="CS373" s="147"/>
      <c r="CV373" s="150"/>
      <c r="CW373" s="150"/>
      <c r="CX373" s="150"/>
      <c r="CY373" s="150"/>
      <c r="CZ373" s="150"/>
      <c r="DA373" s="150"/>
      <c r="DB373" s="150"/>
      <c r="DC373" s="150"/>
      <c r="DD373" s="150"/>
      <c r="DE373" s="150"/>
      <c r="DF373" s="150"/>
      <c r="DG373" s="150"/>
      <c r="DH373" s="150"/>
      <c r="DI373" s="150"/>
      <c r="DJ373" s="150"/>
      <c r="DK373" s="150"/>
      <c r="DL373" s="150"/>
      <c r="DM373" s="150"/>
      <c r="DN373" s="150"/>
      <c r="DO373" s="150"/>
      <c r="DP373" s="150"/>
      <c r="DQ373" s="150"/>
      <c r="DR373" s="150"/>
      <c r="DS373" s="150"/>
      <c r="DT373" s="150"/>
      <c r="DU373" s="150"/>
      <c r="DV373" s="150"/>
      <c r="DW373" s="150"/>
      <c r="DX373" s="150"/>
      <c r="DY373" s="150"/>
      <c r="DZ373" s="150"/>
      <c r="EA373" s="150"/>
      <c r="EB373" s="150"/>
      <c r="EC373" s="150"/>
      <c r="ED373" s="150"/>
      <c r="EE373" s="150"/>
      <c r="EF373" s="150"/>
      <c r="EG373" s="150"/>
      <c r="EH373" s="150"/>
      <c r="EI373" s="150"/>
      <c r="EJ373" s="150"/>
      <c r="EK373" s="150"/>
      <c r="EL373" s="150"/>
      <c r="EM373" s="150"/>
      <c r="EN373" s="150"/>
      <c r="EO373" s="150"/>
      <c r="EP373" s="150"/>
      <c r="EQ373" s="150"/>
      <c r="ER373" s="150"/>
      <c r="ES373" s="150"/>
      <c r="ET373" s="150"/>
      <c r="EU373" s="150"/>
      <c r="EV373" s="150"/>
      <c r="EW373" s="150"/>
      <c r="EX373" s="150"/>
      <c r="EY373" s="150"/>
      <c r="EZ373" s="150"/>
      <c r="FA373" s="150"/>
      <c r="FB373" s="150"/>
      <c r="FC373" s="150"/>
      <c r="FD373" s="150"/>
      <c r="FE373" s="150"/>
      <c r="FF373" s="150"/>
      <c r="FG373" s="150"/>
      <c r="FH373" s="150"/>
      <c r="FI373" s="150"/>
      <c r="FJ373" s="150"/>
      <c r="FK373" s="150"/>
      <c r="FL373" s="150"/>
      <c r="FM373" s="150"/>
      <c r="FN373" s="150"/>
      <c r="FO373" s="150"/>
      <c r="FP373" s="150"/>
      <c r="FQ373" s="150"/>
      <c r="FR373" s="150"/>
      <c r="FS373" s="150"/>
      <c r="FT373" s="150"/>
      <c r="FU373" s="150"/>
      <c r="FV373" s="150"/>
      <c r="FW373" s="150"/>
      <c r="FX373" s="150"/>
      <c r="FY373" s="150"/>
      <c r="FZ373" s="150"/>
      <c r="GA373" s="150"/>
      <c r="GB373" s="150"/>
      <c r="GC373" s="150"/>
      <c r="GD373" s="150"/>
      <c r="GE373" s="150"/>
      <c r="GF373" s="150"/>
      <c r="GG373" s="150"/>
      <c r="GH373" s="150"/>
      <c r="GI373" s="150"/>
      <c r="GJ373" s="150"/>
      <c r="GK373" s="150"/>
      <c r="GL373" s="150"/>
      <c r="GM373" s="150"/>
      <c r="GN373" s="150"/>
      <c r="GO373" s="150"/>
      <c r="GP373" s="150"/>
      <c r="GQ373" s="150"/>
      <c r="GR373" s="150"/>
      <c r="GS373" s="150"/>
      <c r="GT373" s="150"/>
      <c r="GU373" s="150"/>
      <c r="GV373" s="150"/>
      <c r="GW373" s="150"/>
      <c r="GX373" s="150"/>
      <c r="GY373" s="150"/>
      <c r="GZ373" s="150"/>
      <c r="HA373" s="150"/>
      <c r="HB373" s="150"/>
      <c r="HC373" s="150"/>
      <c r="HD373" s="150"/>
      <c r="HE373" s="150"/>
      <c r="HF373" s="150"/>
      <c r="HG373" s="150"/>
      <c r="HH373" s="150"/>
      <c r="HI373" s="150"/>
      <c r="HJ373" s="150"/>
      <c r="HK373" s="150"/>
      <c r="HL373" s="150"/>
    </row>
    <row r="374" spans="1:220" s="152" customFormat="1" ht="14.25">
      <c r="A374" s="153"/>
      <c r="C374" s="154"/>
      <c r="D374" s="155"/>
      <c r="F374" s="194"/>
      <c r="H374" s="155"/>
      <c r="AJ374" s="156"/>
      <c r="AK374" s="156"/>
      <c r="AQ374" s="154"/>
      <c r="AW374" s="154"/>
      <c r="AX374" s="154"/>
      <c r="AY374" s="158"/>
      <c r="BA374" s="279"/>
      <c r="CH374" s="154"/>
      <c r="CQ374" s="149"/>
      <c r="CS374" s="147"/>
      <c r="CV374" s="150"/>
      <c r="CW374" s="150"/>
      <c r="CX374" s="150"/>
      <c r="CY374" s="150"/>
      <c r="CZ374" s="150"/>
      <c r="DA374" s="150"/>
      <c r="DB374" s="150"/>
      <c r="DC374" s="150"/>
      <c r="DD374" s="150"/>
      <c r="DE374" s="150"/>
      <c r="DF374" s="150"/>
      <c r="DG374" s="150"/>
      <c r="DH374" s="150"/>
      <c r="DI374" s="150"/>
      <c r="DJ374" s="150"/>
      <c r="DK374" s="150"/>
      <c r="DL374" s="150"/>
      <c r="DM374" s="150"/>
      <c r="DN374" s="150"/>
      <c r="DO374" s="150"/>
      <c r="DP374" s="150"/>
      <c r="DQ374" s="150"/>
      <c r="DR374" s="150"/>
      <c r="DS374" s="150"/>
      <c r="DT374" s="150"/>
      <c r="DU374" s="150"/>
      <c r="DV374" s="150"/>
      <c r="DW374" s="150"/>
      <c r="DX374" s="150"/>
      <c r="DY374" s="150"/>
      <c r="DZ374" s="150"/>
      <c r="EA374" s="150"/>
      <c r="EB374" s="150"/>
      <c r="EC374" s="150"/>
      <c r="ED374" s="150"/>
      <c r="EE374" s="150"/>
      <c r="EF374" s="150"/>
      <c r="EG374" s="150"/>
      <c r="EH374" s="150"/>
      <c r="EI374" s="150"/>
      <c r="EJ374" s="150"/>
      <c r="EK374" s="150"/>
      <c r="EL374" s="150"/>
      <c r="EM374" s="150"/>
      <c r="EN374" s="150"/>
      <c r="EO374" s="150"/>
      <c r="EP374" s="150"/>
      <c r="EQ374" s="150"/>
      <c r="ER374" s="150"/>
      <c r="ES374" s="150"/>
      <c r="ET374" s="150"/>
      <c r="EU374" s="150"/>
      <c r="EV374" s="150"/>
      <c r="EW374" s="150"/>
      <c r="EX374" s="150"/>
      <c r="EY374" s="150"/>
      <c r="EZ374" s="150"/>
      <c r="FA374" s="150"/>
      <c r="FB374" s="150"/>
      <c r="FC374" s="150"/>
      <c r="FD374" s="150"/>
      <c r="FE374" s="150"/>
      <c r="FF374" s="150"/>
      <c r="FG374" s="150"/>
      <c r="FH374" s="150"/>
      <c r="FI374" s="150"/>
      <c r="FJ374" s="150"/>
      <c r="FK374" s="150"/>
      <c r="FL374" s="150"/>
      <c r="FM374" s="150"/>
      <c r="FN374" s="150"/>
      <c r="FO374" s="150"/>
      <c r="FP374" s="150"/>
      <c r="FQ374" s="150"/>
      <c r="FR374" s="150"/>
      <c r="FS374" s="150"/>
      <c r="FT374" s="150"/>
      <c r="FU374" s="150"/>
      <c r="FV374" s="150"/>
      <c r="FW374" s="150"/>
      <c r="FX374" s="150"/>
      <c r="FY374" s="150"/>
      <c r="FZ374" s="150"/>
      <c r="GA374" s="150"/>
      <c r="GB374" s="150"/>
      <c r="GC374" s="150"/>
      <c r="GD374" s="150"/>
      <c r="GE374" s="150"/>
      <c r="GF374" s="150"/>
      <c r="GG374" s="150"/>
      <c r="GH374" s="150"/>
      <c r="GI374" s="150"/>
      <c r="GJ374" s="150"/>
      <c r="GK374" s="150"/>
      <c r="GL374" s="150"/>
      <c r="GM374" s="150"/>
      <c r="GN374" s="150"/>
      <c r="GO374" s="150"/>
      <c r="GP374" s="150"/>
      <c r="GQ374" s="150"/>
      <c r="GR374" s="150"/>
      <c r="GS374" s="150"/>
      <c r="GT374" s="150"/>
      <c r="GU374" s="150"/>
      <c r="GV374" s="150"/>
      <c r="GW374" s="150"/>
      <c r="GX374" s="150"/>
      <c r="GY374" s="150"/>
      <c r="GZ374" s="150"/>
      <c r="HA374" s="150"/>
      <c r="HB374" s="150"/>
      <c r="HC374" s="150"/>
      <c r="HD374" s="150"/>
      <c r="HE374" s="150"/>
      <c r="HF374" s="150"/>
      <c r="HG374" s="150"/>
      <c r="HH374" s="150"/>
      <c r="HI374" s="150"/>
      <c r="HJ374" s="150"/>
      <c r="HK374" s="150"/>
      <c r="HL374" s="150"/>
    </row>
    <row r="375" spans="1:220" s="152" customFormat="1" ht="14.25">
      <c r="A375" s="153"/>
      <c r="C375" s="154"/>
      <c r="D375" s="155"/>
      <c r="F375" s="194"/>
      <c r="H375" s="155"/>
      <c r="AJ375" s="156"/>
      <c r="AK375" s="156"/>
      <c r="AQ375" s="154"/>
      <c r="AW375" s="154"/>
      <c r="AX375" s="154"/>
      <c r="AY375" s="158"/>
      <c r="BA375" s="279"/>
      <c r="CH375" s="154"/>
      <c r="CQ375" s="149"/>
      <c r="CS375" s="147"/>
      <c r="CV375" s="150"/>
      <c r="CW375" s="150"/>
      <c r="CX375" s="150"/>
      <c r="CY375" s="150"/>
      <c r="CZ375" s="150"/>
      <c r="DA375" s="150"/>
      <c r="DB375" s="150"/>
      <c r="DC375" s="150"/>
      <c r="DD375" s="150"/>
      <c r="DE375" s="150"/>
      <c r="DF375" s="150"/>
      <c r="DG375" s="150"/>
      <c r="DH375" s="150"/>
      <c r="DI375" s="150"/>
      <c r="DJ375" s="150"/>
      <c r="DK375" s="150"/>
      <c r="DL375" s="150"/>
      <c r="DM375" s="150"/>
      <c r="DN375" s="150"/>
      <c r="DO375" s="150"/>
      <c r="DP375" s="150"/>
      <c r="DQ375" s="150"/>
      <c r="DR375" s="150"/>
      <c r="DS375" s="150"/>
      <c r="DT375" s="150"/>
      <c r="DU375" s="150"/>
      <c r="DV375" s="150"/>
      <c r="DW375" s="150"/>
      <c r="DX375" s="150"/>
      <c r="DY375" s="150"/>
      <c r="DZ375" s="150"/>
      <c r="EA375" s="150"/>
      <c r="EB375" s="150"/>
      <c r="EC375" s="150"/>
      <c r="ED375" s="150"/>
      <c r="EE375" s="150"/>
      <c r="EF375" s="150"/>
      <c r="EG375" s="150"/>
      <c r="EH375" s="150"/>
      <c r="EI375" s="150"/>
      <c r="EJ375" s="150"/>
      <c r="EK375" s="150"/>
      <c r="EL375" s="150"/>
      <c r="EM375" s="150"/>
      <c r="EN375" s="150"/>
      <c r="EO375" s="150"/>
      <c r="EP375" s="150"/>
      <c r="EQ375" s="150"/>
      <c r="ER375" s="150"/>
      <c r="ES375" s="150"/>
      <c r="ET375" s="150"/>
      <c r="EU375" s="150"/>
      <c r="EV375" s="150"/>
      <c r="EW375" s="150"/>
      <c r="EX375" s="150"/>
      <c r="EY375" s="150"/>
      <c r="EZ375" s="150"/>
      <c r="FA375" s="150"/>
      <c r="FB375" s="150"/>
      <c r="FC375" s="150"/>
      <c r="FD375" s="150"/>
      <c r="FE375" s="150"/>
      <c r="FF375" s="150"/>
      <c r="FG375" s="150"/>
      <c r="FH375" s="150"/>
      <c r="FI375" s="150"/>
      <c r="FJ375" s="150"/>
      <c r="FK375" s="150"/>
      <c r="FL375" s="150"/>
      <c r="FM375" s="150"/>
      <c r="FN375" s="150"/>
      <c r="FO375" s="150"/>
      <c r="FP375" s="150"/>
      <c r="FQ375" s="150"/>
      <c r="FR375" s="150"/>
      <c r="FS375" s="150"/>
      <c r="FT375" s="150"/>
      <c r="FU375" s="150"/>
      <c r="FV375" s="150"/>
      <c r="FW375" s="150"/>
      <c r="FX375" s="150"/>
      <c r="FY375" s="150"/>
      <c r="FZ375" s="150"/>
      <c r="GA375" s="150"/>
      <c r="GB375" s="150"/>
      <c r="GC375" s="150"/>
      <c r="GD375" s="150"/>
      <c r="GE375" s="150"/>
      <c r="GF375" s="150"/>
      <c r="GG375" s="150"/>
      <c r="GH375" s="150"/>
      <c r="GI375" s="150"/>
      <c r="GJ375" s="150"/>
      <c r="GK375" s="150"/>
      <c r="GL375" s="150"/>
      <c r="GM375" s="150"/>
      <c r="GN375" s="150"/>
      <c r="GO375" s="150"/>
      <c r="GP375" s="150"/>
      <c r="GQ375" s="150"/>
      <c r="GR375" s="150"/>
      <c r="GS375" s="150"/>
      <c r="GT375" s="150"/>
      <c r="GU375" s="150"/>
      <c r="GV375" s="150"/>
      <c r="GW375" s="150"/>
      <c r="GX375" s="150"/>
      <c r="GY375" s="150"/>
      <c r="GZ375" s="150"/>
      <c r="HA375" s="150"/>
      <c r="HB375" s="150"/>
      <c r="HC375" s="150"/>
      <c r="HD375" s="150"/>
      <c r="HE375" s="150"/>
      <c r="HF375" s="150"/>
      <c r="HG375" s="150"/>
      <c r="HH375" s="150"/>
      <c r="HI375" s="150"/>
      <c r="HJ375" s="150"/>
      <c r="HK375" s="150"/>
      <c r="HL375" s="150"/>
    </row>
    <row r="376" spans="1:220" s="152" customFormat="1" ht="14.25">
      <c r="A376" s="153"/>
      <c r="C376" s="154"/>
      <c r="D376" s="155"/>
      <c r="F376" s="194"/>
      <c r="H376" s="155"/>
      <c r="AJ376" s="156"/>
      <c r="AK376" s="156"/>
      <c r="AQ376" s="154"/>
      <c r="AW376" s="154"/>
      <c r="AX376" s="154"/>
      <c r="AY376" s="158"/>
      <c r="BA376" s="279"/>
      <c r="CH376" s="154"/>
      <c r="CQ376" s="149"/>
      <c r="CS376" s="147"/>
      <c r="CV376" s="150"/>
      <c r="CW376" s="150"/>
      <c r="CX376" s="150"/>
      <c r="CY376" s="150"/>
      <c r="CZ376" s="150"/>
      <c r="DA376" s="150"/>
      <c r="DB376" s="150"/>
      <c r="DC376" s="150"/>
      <c r="DD376" s="150"/>
      <c r="DE376" s="150"/>
      <c r="DF376" s="150"/>
      <c r="DG376" s="150"/>
      <c r="DH376" s="150"/>
      <c r="DI376" s="150"/>
      <c r="DJ376" s="150"/>
      <c r="DK376" s="150"/>
      <c r="DL376" s="150"/>
      <c r="DM376" s="150"/>
      <c r="DN376" s="150"/>
      <c r="DO376" s="150"/>
      <c r="DP376" s="150"/>
      <c r="DQ376" s="150"/>
      <c r="DR376" s="150"/>
      <c r="DS376" s="150"/>
      <c r="DT376" s="150"/>
      <c r="DU376" s="150"/>
      <c r="DV376" s="150"/>
      <c r="DW376" s="150"/>
      <c r="DX376" s="150"/>
      <c r="DY376" s="150"/>
      <c r="DZ376" s="150"/>
      <c r="EA376" s="150"/>
      <c r="EB376" s="150"/>
      <c r="EC376" s="150"/>
      <c r="ED376" s="150"/>
      <c r="EE376" s="150"/>
      <c r="EF376" s="150"/>
      <c r="EG376" s="150"/>
      <c r="EH376" s="150"/>
      <c r="EI376" s="150"/>
      <c r="EJ376" s="150"/>
      <c r="EK376" s="150"/>
      <c r="EL376" s="150"/>
      <c r="EM376" s="150"/>
      <c r="EN376" s="150"/>
      <c r="EO376" s="150"/>
      <c r="EP376" s="150"/>
      <c r="EQ376" s="150"/>
      <c r="ER376" s="150"/>
      <c r="ES376" s="150"/>
      <c r="ET376" s="150"/>
      <c r="EU376" s="150"/>
      <c r="EV376" s="150"/>
      <c r="EW376" s="150"/>
      <c r="EX376" s="150"/>
      <c r="EY376" s="150"/>
      <c r="EZ376" s="150"/>
      <c r="FA376" s="150"/>
      <c r="FB376" s="150"/>
      <c r="FC376" s="150"/>
      <c r="FD376" s="150"/>
      <c r="FE376" s="150"/>
      <c r="FF376" s="150"/>
      <c r="FG376" s="150"/>
      <c r="FH376" s="150"/>
      <c r="FI376" s="150"/>
      <c r="FJ376" s="150"/>
      <c r="FK376" s="150"/>
      <c r="FL376" s="150"/>
      <c r="FM376" s="150"/>
      <c r="FN376" s="150"/>
      <c r="FO376" s="150"/>
      <c r="FP376" s="150"/>
      <c r="FQ376" s="150"/>
      <c r="FR376" s="150"/>
      <c r="FS376" s="150"/>
      <c r="FT376" s="150"/>
      <c r="FU376" s="150"/>
      <c r="FV376" s="150"/>
      <c r="FW376" s="150"/>
      <c r="FX376" s="150"/>
      <c r="FY376" s="150"/>
      <c r="FZ376" s="150"/>
      <c r="GA376" s="150"/>
      <c r="GB376" s="150"/>
      <c r="GC376" s="150"/>
      <c r="GD376" s="150"/>
      <c r="GE376" s="150"/>
      <c r="GF376" s="150"/>
      <c r="GG376" s="150"/>
      <c r="GH376" s="150"/>
      <c r="GI376" s="150"/>
      <c r="GJ376" s="150"/>
      <c r="GK376" s="150"/>
      <c r="GL376" s="150"/>
      <c r="GM376" s="150"/>
      <c r="GN376" s="150"/>
      <c r="GO376" s="150"/>
      <c r="GP376" s="150"/>
      <c r="GQ376" s="150"/>
      <c r="GR376" s="150"/>
      <c r="GS376" s="150"/>
      <c r="GT376" s="150"/>
      <c r="GU376" s="150"/>
      <c r="GV376" s="150"/>
      <c r="GW376" s="150"/>
      <c r="GX376" s="150"/>
      <c r="GY376" s="150"/>
      <c r="GZ376" s="150"/>
      <c r="HA376" s="150"/>
      <c r="HB376" s="150"/>
      <c r="HC376" s="150"/>
      <c r="HD376" s="150"/>
      <c r="HE376" s="150"/>
      <c r="HF376" s="150"/>
      <c r="HG376" s="150"/>
      <c r="HH376" s="150"/>
      <c r="HI376" s="150"/>
      <c r="HJ376" s="150"/>
      <c r="HK376" s="150"/>
      <c r="HL376" s="150"/>
    </row>
    <row r="377" spans="1:220" s="152" customFormat="1" ht="14.25">
      <c r="A377" s="153"/>
      <c r="C377" s="154"/>
      <c r="D377" s="155"/>
      <c r="F377" s="194"/>
      <c r="H377" s="155"/>
      <c r="AJ377" s="156"/>
      <c r="AK377" s="156"/>
      <c r="AQ377" s="154"/>
      <c r="AW377" s="154"/>
      <c r="AX377" s="154"/>
      <c r="AY377" s="158"/>
      <c r="BA377" s="279"/>
      <c r="CH377" s="154"/>
      <c r="CQ377" s="149"/>
      <c r="CS377" s="147"/>
      <c r="CV377" s="150"/>
      <c r="CW377" s="150"/>
      <c r="CX377" s="150"/>
      <c r="CY377" s="150"/>
      <c r="CZ377" s="150"/>
      <c r="DA377" s="150"/>
      <c r="DB377" s="150"/>
      <c r="DC377" s="150"/>
      <c r="DD377" s="150"/>
      <c r="DE377" s="150"/>
      <c r="DF377" s="150"/>
      <c r="DG377" s="150"/>
      <c r="DH377" s="150"/>
      <c r="DI377" s="150"/>
      <c r="DJ377" s="150"/>
      <c r="DK377" s="150"/>
      <c r="DL377" s="150"/>
      <c r="DM377" s="150"/>
      <c r="DN377" s="150"/>
      <c r="DO377" s="150"/>
      <c r="DP377" s="150"/>
      <c r="DQ377" s="150"/>
      <c r="DR377" s="150"/>
      <c r="DS377" s="150"/>
      <c r="DT377" s="150"/>
      <c r="DU377" s="150"/>
      <c r="DV377" s="150"/>
      <c r="DW377" s="150"/>
      <c r="DX377" s="150"/>
      <c r="DY377" s="150"/>
      <c r="DZ377" s="150"/>
      <c r="EA377" s="150"/>
      <c r="EB377" s="150"/>
      <c r="EC377" s="150"/>
      <c r="ED377" s="150"/>
      <c r="EE377" s="150"/>
      <c r="EF377" s="150"/>
      <c r="EG377" s="150"/>
      <c r="EH377" s="150"/>
      <c r="EI377" s="150"/>
      <c r="EJ377" s="150"/>
      <c r="EK377" s="150"/>
      <c r="EL377" s="150"/>
      <c r="EM377" s="150"/>
      <c r="EN377" s="150"/>
      <c r="EO377" s="150"/>
      <c r="EP377" s="150"/>
      <c r="EQ377" s="150"/>
      <c r="ER377" s="150"/>
      <c r="ES377" s="150"/>
      <c r="ET377" s="150"/>
      <c r="EU377" s="150"/>
      <c r="EV377" s="150"/>
      <c r="EW377" s="150"/>
      <c r="EX377" s="150"/>
      <c r="EY377" s="150"/>
      <c r="EZ377" s="150"/>
      <c r="FA377" s="150"/>
      <c r="FB377" s="150"/>
      <c r="FC377" s="150"/>
      <c r="FD377" s="150"/>
      <c r="FE377" s="150"/>
      <c r="FF377" s="150"/>
      <c r="FG377" s="150"/>
      <c r="FH377" s="150"/>
      <c r="FI377" s="150"/>
      <c r="FJ377" s="150"/>
      <c r="FK377" s="150"/>
      <c r="FL377" s="150"/>
      <c r="FM377" s="150"/>
      <c r="FN377" s="150"/>
      <c r="FO377" s="150"/>
      <c r="FP377" s="150"/>
      <c r="FQ377" s="150"/>
      <c r="FR377" s="150"/>
      <c r="FS377" s="150"/>
      <c r="FT377" s="150"/>
      <c r="FU377" s="150"/>
      <c r="FV377" s="150"/>
      <c r="FW377" s="150"/>
      <c r="FX377" s="150"/>
      <c r="FY377" s="150"/>
      <c r="FZ377" s="150"/>
      <c r="GA377" s="150"/>
      <c r="GB377" s="150"/>
      <c r="GC377" s="150"/>
      <c r="GD377" s="150"/>
      <c r="GE377" s="150"/>
      <c r="GF377" s="150"/>
      <c r="GG377" s="150"/>
      <c r="GH377" s="150"/>
      <c r="GI377" s="150"/>
      <c r="GJ377" s="150"/>
      <c r="GK377" s="150"/>
      <c r="GL377" s="150"/>
      <c r="GM377" s="150"/>
      <c r="GN377" s="150"/>
      <c r="GO377" s="150"/>
      <c r="GP377" s="150"/>
      <c r="GQ377" s="150"/>
      <c r="GR377" s="150"/>
      <c r="GS377" s="150"/>
      <c r="GT377" s="150"/>
      <c r="GU377" s="150"/>
      <c r="GV377" s="150"/>
      <c r="GW377" s="150"/>
      <c r="GX377" s="150"/>
      <c r="GY377" s="150"/>
      <c r="GZ377" s="150"/>
      <c r="HA377" s="150"/>
      <c r="HB377" s="150"/>
      <c r="HC377" s="150"/>
      <c r="HD377" s="150"/>
      <c r="HE377" s="150"/>
      <c r="HF377" s="150"/>
      <c r="HG377" s="150"/>
      <c r="HH377" s="150"/>
      <c r="HI377" s="150"/>
      <c r="HJ377" s="150"/>
      <c r="HK377" s="150"/>
      <c r="HL377" s="150"/>
    </row>
    <row r="378" spans="1:220" s="152" customFormat="1" ht="14.25">
      <c r="A378" s="153"/>
      <c r="C378" s="154"/>
      <c r="D378" s="155"/>
      <c r="F378" s="194"/>
      <c r="H378" s="155"/>
      <c r="AJ378" s="156"/>
      <c r="AK378" s="156"/>
      <c r="AQ378" s="154"/>
      <c r="AW378" s="154"/>
      <c r="AX378" s="154"/>
      <c r="AY378" s="158"/>
      <c r="BA378" s="279"/>
      <c r="CH378" s="154"/>
      <c r="CQ378" s="149"/>
      <c r="CS378" s="147"/>
      <c r="CV378" s="150"/>
      <c r="CW378" s="150"/>
      <c r="CX378" s="150"/>
      <c r="CY378" s="150"/>
      <c r="CZ378" s="150"/>
      <c r="DA378" s="150"/>
      <c r="DB378" s="150"/>
      <c r="DC378" s="150"/>
      <c r="DD378" s="150"/>
      <c r="DE378" s="150"/>
      <c r="DF378" s="150"/>
      <c r="DG378" s="150"/>
      <c r="DH378" s="150"/>
      <c r="DI378" s="150"/>
      <c r="DJ378" s="150"/>
      <c r="DK378" s="150"/>
      <c r="DL378" s="150"/>
      <c r="DM378" s="150"/>
      <c r="DN378" s="150"/>
      <c r="DO378" s="150"/>
      <c r="DP378" s="150"/>
      <c r="DQ378" s="150"/>
      <c r="DR378" s="150"/>
      <c r="DS378" s="150"/>
      <c r="DT378" s="150"/>
      <c r="DU378" s="150"/>
      <c r="DV378" s="150"/>
      <c r="DW378" s="150"/>
      <c r="DX378" s="150"/>
      <c r="DY378" s="150"/>
      <c r="DZ378" s="150"/>
      <c r="EA378" s="150"/>
      <c r="EB378" s="150"/>
      <c r="EC378" s="150"/>
      <c r="ED378" s="150"/>
      <c r="EE378" s="150"/>
      <c r="EF378" s="150"/>
      <c r="EG378" s="150"/>
      <c r="EH378" s="150"/>
      <c r="EI378" s="150"/>
      <c r="EJ378" s="150"/>
      <c r="EK378" s="150"/>
      <c r="EL378" s="150"/>
      <c r="EM378" s="150"/>
      <c r="EN378" s="150"/>
      <c r="EO378" s="150"/>
      <c r="EP378" s="150"/>
      <c r="EQ378" s="150"/>
      <c r="ER378" s="150"/>
      <c r="ES378" s="150"/>
      <c r="ET378" s="150"/>
      <c r="EU378" s="150"/>
      <c r="EV378" s="150"/>
      <c r="EW378" s="150"/>
      <c r="EX378" s="150"/>
      <c r="EY378" s="150"/>
      <c r="EZ378" s="150"/>
      <c r="FA378" s="150"/>
      <c r="FB378" s="150"/>
      <c r="FC378" s="150"/>
      <c r="FD378" s="150"/>
      <c r="FE378" s="150"/>
      <c r="FF378" s="150"/>
      <c r="FG378" s="150"/>
      <c r="FH378" s="150"/>
      <c r="FI378" s="150"/>
      <c r="FJ378" s="150"/>
      <c r="FK378" s="150"/>
      <c r="FL378" s="150"/>
      <c r="FM378" s="150"/>
      <c r="FN378" s="150"/>
      <c r="FO378" s="150"/>
      <c r="FP378" s="150"/>
      <c r="FQ378" s="150"/>
      <c r="FR378" s="150"/>
      <c r="FS378" s="150"/>
      <c r="FT378" s="150"/>
      <c r="FU378" s="150"/>
      <c r="FV378" s="150"/>
      <c r="FW378" s="150"/>
      <c r="FX378" s="150"/>
      <c r="FY378" s="150"/>
      <c r="FZ378" s="150"/>
      <c r="GA378" s="150"/>
      <c r="GB378" s="150"/>
      <c r="GC378" s="150"/>
      <c r="GD378" s="150"/>
      <c r="GE378" s="150"/>
      <c r="GF378" s="150"/>
      <c r="GG378" s="150"/>
      <c r="GH378" s="150"/>
      <c r="GI378" s="150"/>
      <c r="GJ378" s="150"/>
      <c r="GK378" s="150"/>
      <c r="GL378" s="150"/>
      <c r="GM378" s="150"/>
      <c r="GN378" s="150"/>
      <c r="GO378" s="150"/>
      <c r="GP378" s="150"/>
      <c r="GQ378" s="150"/>
      <c r="GR378" s="150"/>
      <c r="GS378" s="150"/>
      <c r="GT378" s="150"/>
      <c r="GU378" s="150"/>
      <c r="GV378" s="150"/>
      <c r="GW378" s="150"/>
      <c r="GX378" s="150"/>
      <c r="GY378" s="150"/>
      <c r="GZ378" s="150"/>
      <c r="HA378" s="150"/>
      <c r="HB378" s="150"/>
      <c r="HC378" s="150"/>
      <c r="HD378" s="150"/>
      <c r="HE378" s="150"/>
      <c r="HF378" s="150"/>
      <c r="HG378" s="150"/>
      <c r="HH378" s="150"/>
      <c r="HI378" s="150"/>
      <c r="HJ378" s="150"/>
      <c r="HK378" s="150"/>
      <c r="HL378" s="150"/>
    </row>
    <row r="379" spans="1:220" s="152" customFormat="1" ht="14.25">
      <c r="A379" s="153"/>
      <c r="C379" s="154"/>
      <c r="D379" s="155"/>
      <c r="F379" s="194"/>
      <c r="H379" s="155"/>
      <c r="AJ379" s="156"/>
      <c r="AK379" s="156"/>
      <c r="AQ379" s="154"/>
      <c r="AW379" s="154"/>
      <c r="AX379" s="154"/>
      <c r="AY379" s="158"/>
      <c r="BA379" s="279"/>
      <c r="CH379" s="154"/>
      <c r="CQ379" s="149"/>
      <c r="CS379" s="147"/>
      <c r="CV379" s="150"/>
      <c r="CW379" s="150"/>
      <c r="CX379" s="150"/>
      <c r="CY379" s="150"/>
      <c r="CZ379" s="150"/>
      <c r="DA379" s="150"/>
      <c r="DB379" s="150"/>
      <c r="DC379" s="150"/>
      <c r="DD379" s="150"/>
      <c r="DE379" s="150"/>
      <c r="DF379" s="150"/>
      <c r="DG379" s="150"/>
      <c r="DH379" s="150"/>
      <c r="DI379" s="150"/>
      <c r="DJ379" s="150"/>
      <c r="DK379" s="150"/>
      <c r="DL379" s="150"/>
      <c r="DM379" s="150"/>
      <c r="DN379" s="150"/>
      <c r="DO379" s="150"/>
      <c r="DP379" s="150"/>
      <c r="DQ379" s="150"/>
      <c r="DR379" s="150"/>
      <c r="DS379" s="150"/>
      <c r="DT379" s="150"/>
      <c r="DU379" s="150"/>
      <c r="DV379" s="150"/>
      <c r="DW379" s="150"/>
      <c r="DX379" s="150"/>
      <c r="DY379" s="150"/>
      <c r="DZ379" s="150"/>
      <c r="EA379" s="150"/>
      <c r="EB379" s="150"/>
      <c r="EC379" s="150"/>
      <c r="ED379" s="150"/>
      <c r="EE379" s="150"/>
      <c r="EF379" s="150"/>
      <c r="EG379" s="150"/>
      <c r="EH379" s="150"/>
      <c r="EI379" s="150"/>
      <c r="EJ379" s="150"/>
      <c r="EK379" s="150"/>
      <c r="EL379" s="150"/>
      <c r="EM379" s="150"/>
      <c r="EN379" s="150"/>
      <c r="EO379" s="150"/>
      <c r="EP379" s="150"/>
      <c r="EQ379" s="150"/>
      <c r="ER379" s="150"/>
      <c r="ES379" s="150"/>
      <c r="ET379" s="150"/>
      <c r="EU379" s="150"/>
      <c r="EV379" s="150"/>
      <c r="EW379" s="150"/>
      <c r="EX379" s="150"/>
      <c r="EY379" s="150"/>
      <c r="EZ379" s="150"/>
      <c r="FA379" s="150"/>
      <c r="FB379" s="150"/>
      <c r="FC379" s="150"/>
      <c r="FD379" s="150"/>
      <c r="FE379" s="150"/>
      <c r="FF379" s="150"/>
      <c r="FG379" s="150"/>
      <c r="FH379" s="150"/>
      <c r="FI379" s="150"/>
      <c r="FJ379" s="150"/>
      <c r="FK379" s="150"/>
      <c r="FL379" s="150"/>
      <c r="FM379" s="150"/>
      <c r="FN379" s="150"/>
      <c r="FO379" s="150"/>
      <c r="FP379" s="150"/>
      <c r="FQ379" s="150"/>
      <c r="FR379" s="150"/>
      <c r="FS379" s="150"/>
      <c r="FT379" s="150"/>
      <c r="FU379" s="150"/>
      <c r="FV379" s="150"/>
      <c r="FW379" s="150"/>
      <c r="FX379" s="150"/>
      <c r="FY379" s="150"/>
      <c r="FZ379" s="150"/>
      <c r="GA379" s="150"/>
      <c r="GB379" s="150"/>
      <c r="GC379" s="150"/>
      <c r="GD379" s="150"/>
      <c r="GE379" s="150"/>
      <c r="GF379" s="150"/>
      <c r="GG379" s="150"/>
      <c r="GH379" s="150"/>
      <c r="GI379" s="150"/>
      <c r="GJ379" s="150"/>
      <c r="GK379" s="150"/>
      <c r="GL379" s="150"/>
      <c r="GM379" s="150"/>
      <c r="GN379" s="150"/>
      <c r="GO379" s="150"/>
      <c r="GP379" s="150"/>
      <c r="GQ379" s="150"/>
      <c r="GR379" s="150"/>
      <c r="GS379" s="150"/>
      <c r="GT379" s="150"/>
      <c r="GU379" s="150"/>
      <c r="GV379" s="150"/>
      <c r="GW379" s="150"/>
      <c r="GX379" s="150"/>
      <c r="GY379" s="150"/>
      <c r="GZ379" s="150"/>
      <c r="HA379" s="150"/>
      <c r="HB379" s="150"/>
      <c r="HC379" s="150"/>
      <c r="HD379" s="150"/>
      <c r="HE379" s="150"/>
      <c r="HF379" s="150"/>
      <c r="HG379" s="150"/>
      <c r="HH379" s="150"/>
      <c r="HI379" s="150"/>
      <c r="HJ379" s="150"/>
      <c r="HK379" s="150"/>
      <c r="HL379" s="150"/>
    </row>
    <row r="380" spans="1:220" s="152" customFormat="1" ht="14.25">
      <c r="A380" s="153"/>
      <c r="C380" s="154"/>
      <c r="D380" s="155"/>
      <c r="F380" s="194"/>
      <c r="H380" s="155"/>
      <c r="AJ380" s="156"/>
      <c r="AK380" s="156"/>
      <c r="AQ380" s="154"/>
      <c r="AW380" s="154"/>
      <c r="AX380" s="154"/>
      <c r="AY380" s="158"/>
      <c r="BA380" s="279"/>
      <c r="CH380" s="154"/>
      <c r="CQ380" s="149"/>
      <c r="CS380" s="147"/>
      <c r="CV380" s="150"/>
      <c r="CW380" s="150"/>
      <c r="CX380" s="150"/>
      <c r="CY380" s="150"/>
      <c r="CZ380" s="150"/>
      <c r="DA380" s="150"/>
      <c r="DB380" s="150"/>
      <c r="DC380" s="150"/>
      <c r="DD380" s="150"/>
      <c r="DE380" s="150"/>
      <c r="DF380" s="150"/>
      <c r="DG380" s="150"/>
      <c r="DH380" s="150"/>
      <c r="DI380" s="150"/>
      <c r="DJ380" s="150"/>
      <c r="DK380" s="150"/>
      <c r="DL380" s="150"/>
      <c r="DM380" s="150"/>
      <c r="DN380" s="150"/>
      <c r="DO380" s="150"/>
      <c r="DP380" s="150"/>
      <c r="DQ380" s="150"/>
      <c r="DR380" s="150"/>
      <c r="DS380" s="150"/>
      <c r="DT380" s="150"/>
      <c r="DU380" s="150"/>
      <c r="DV380" s="150"/>
      <c r="DW380" s="150"/>
      <c r="DX380" s="150"/>
      <c r="DY380" s="150"/>
      <c r="DZ380" s="150"/>
      <c r="EA380" s="150"/>
      <c r="EB380" s="150"/>
      <c r="EC380" s="150"/>
      <c r="ED380" s="150"/>
      <c r="EE380" s="150"/>
      <c r="EF380" s="150"/>
      <c r="EG380" s="150"/>
      <c r="EH380" s="150"/>
      <c r="EI380" s="150"/>
      <c r="EJ380" s="150"/>
      <c r="EK380" s="150"/>
      <c r="EL380" s="150"/>
      <c r="EM380" s="150"/>
      <c r="EN380" s="150"/>
      <c r="EO380" s="150"/>
      <c r="EP380" s="150"/>
      <c r="EQ380" s="150"/>
      <c r="ER380" s="150"/>
      <c r="ES380" s="150"/>
      <c r="ET380" s="150"/>
      <c r="EU380" s="150"/>
      <c r="EV380" s="150"/>
      <c r="EW380" s="150"/>
      <c r="EX380" s="150"/>
      <c r="EY380" s="150"/>
      <c r="EZ380" s="150"/>
      <c r="FA380" s="150"/>
      <c r="FB380" s="150"/>
      <c r="FC380" s="150"/>
      <c r="FD380" s="150"/>
      <c r="FE380" s="150"/>
      <c r="FF380" s="150"/>
      <c r="FG380" s="150"/>
      <c r="FH380" s="150"/>
      <c r="FI380" s="150"/>
      <c r="FJ380" s="150"/>
      <c r="FK380" s="150"/>
      <c r="FL380" s="150"/>
      <c r="FM380" s="150"/>
      <c r="FN380" s="150"/>
      <c r="FO380" s="150"/>
      <c r="FP380" s="150"/>
      <c r="FQ380" s="150"/>
      <c r="FR380" s="150"/>
      <c r="FS380" s="150"/>
      <c r="FT380" s="150"/>
      <c r="FU380" s="150"/>
      <c r="FV380" s="150"/>
      <c r="FW380" s="150"/>
      <c r="FX380" s="150"/>
      <c r="FY380" s="150"/>
      <c r="FZ380" s="150"/>
      <c r="GA380" s="150"/>
      <c r="GB380" s="150"/>
      <c r="GC380" s="150"/>
      <c r="GD380" s="150"/>
      <c r="GE380" s="150"/>
      <c r="GF380" s="150"/>
      <c r="GG380" s="150"/>
      <c r="GH380" s="150"/>
      <c r="GI380" s="150"/>
      <c r="GJ380" s="150"/>
      <c r="GK380" s="150"/>
      <c r="GL380" s="150"/>
      <c r="GM380" s="150"/>
      <c r="GN380" s="150"/>
      <c r="GO380" s="150"/>
      <c r="GP380" s="150"/>
      <c r="GQ380" s="150"/>
      <c r="GR380" s="150"/>
      <c r="GS380" s="150"/>
      <c r="GT380" s="150"/>
      <c r="GU380" s="150"/>
      <c r="GV380" s="150"/>
      <c r="GW380" s="150"/>
      <c r="GX380" s="150"/>
      <c r="GY380" s="150"/>
      <c r="GZ380" s="150"/>
      <c r="HA380" s="150"/>
      <c r="HB380" s="150"/>
      <c r="HC380" s="150"/>
      <c r="HD380" s="150"/>
      <c r="HE380" s="150"/>
      <c r="HF380" s="150"/>
      <c r="HG380" s="150"/>
      <c r="HH380" s="150"/>
      <c r="HI380" s="150"/>
      <c r="HJ380" s="150"/>
      <c r="HK380" s="150"/>
      <c r="HL380" s="150"/>
    </row>
    <row r="381" spans="1:220" s="152" customFormat="1" ht="14.25">
      <c r="A381" s="153"/>
      <c r="C381" s="154"/>
      <c r="D381" s="155"/>
      <c r="F381" s="194"/>
      <c r="H381" s="155"/>
      <c r="AJ381" s="156"/>
      <c r="AK381" s="156"/>
      <c r="AQ381" s="154"/>
      <c r="AW381" s="154"/>
      <c r="AX381" s="154"/>
      <c r="AY381" s="158"/>
      <c r="BA381" s="279"/>
      <c r="CH381" s="154"/>
      <c r="CQ381" s="149"/>
      <c r="CS381" s="147"/>
      <c r="CV381" s="150"/>
      <c r="CW381" s="150"/>
      <c r="CX381" s="150"/>
      <c r="CY381" s="150"/>
      <c r="CZ381" s="150"/>
      <c r="DA381" s="150"/>
      <c r="DB381" s="150"/>
      <c r="DC381" s="150"/>
      <c r="DD381" s="150"/>
      <c r="DE381" s="150"/>
      <c r="DF381" s="150"/>
      <c r="DG381" s="150"/>
      <c r="DH381" s="150"/>
      <c r="DI381" s="150"/>
      <c r="DJ381" s="150"/>
      <c r="DK381" s="150"/>
      <c r="DL381" s="150"/>
      <c r="DM381" s="150"/>
      <c r="DN381" s="150"/>
      <c r="DO381" s="150"/>
      <c r="DP381" s="150"/>
      <c r="DQ381" s="150"/>
      <c r="DR381" s="150"/>
      <c r="DS381" s="150"/>
      <c r="DT381" s="150"/>
      <c r="DU381" s="150"/>
      <c r="DV381" s="150"/>
      <c r="DW381" s="150"/>
      <c r="DX381" s="150"/>
      <c r="DY381" s="150"/>
      <c r="DZ381" s="150"/>
      <c r="EA381" s="150"/>
      <c r="EB381" s="150"/>
      <c r="EC381" s="150"/>
      <c r="ED381" s="150"/>
      <c r="EE381" s="150"/>
      <c r="EF381" s="150"/>
      <c r="EG381" s="150"/>
      <c r="EH381" s="150"/>
      <c r="EI381" s="150"/>
      <c r="EJ381" s="150"/>
      <c r="EK381" s="150"/>
      <c r="EL381" s="150"/>
      <c r="EM381" s="150"/>
      <c r="EN381" s="150"/>
      <c r="EO381" s="150"/>
      <c r="EP381" s="150"/>
      <c r="EQ381" s="150"/>
      <c r="ER381" s="150"/>
      <c r="ES381" s="150"/>
      <c r="ET381" s="150"/>
      <c r="EU381" s="150"/>
      <c r="EV381" s="150"/>
      <c r="EW381" s="150"/>
      <c r="EX381" s="150"/>
      <c r="EY381" s="150"/>
      <c r="EZ381" s="150"/>
      <c r="FA381" s="150"/>
      <c r="FB381" s="150"/>
      <c r="FC381" s="150"/>
      <c r="FD381" s="150"/>
      <c r="FE381" s="150"/>
      <c r="FF381" s="150"/>
      <c r="FG381" s="150"/>
      <c r="FH381" s="150"/>
      <c r="FI381" s="150"/>
      <c r="FJ381" s="150"/>
      <c r="FK381" s="150"/>
      <c r="FL381" s="150"/>
      <c r="FM381" s="150"/>
      <c r="FN381" s="150"/>
      <c r="FO381" s="150"/>
      <c r="FP381" s="150"/>
      <c r="FQ381" s="150"/>
      <c r="FR381" s="150"/>
      <c r="FS381" s="150"/>
      <c r="FT381" s="150"/>
      <c r="FU381" s="150"/>
      <c r="FV381" s="150"/>
      <c r="FW381" s="150"/>
      <c r="FX381" s="150"/>
      <c r="FY381" s="150"/>
      <c r="FZ381" s="150"/>
      <c r="GA381" s="150"/>
      <c r="GB381" s="150"/>
      <c r="GC381" s="150"/>
      <c r="GD381" s="150"/>
      <c r="GE381" s="150"/>
      <c r="GF381" s="150"/>
      <c r="GG381" s="150"/>
      <c r="GH381" s="150"/>
      <c r="GI381" s="150"/>
      <c r="GJ381" s="150"/>
      <c r="GK381" s="150"/>
      <c r="GL381" s="150"/>
      <c r="GM381" s="150"/>
      <c r="GN381" s="150"/>
      <c r="GO381" s="150"/>
      <c r="GP381" s="150"/>
      <c r="GQ381" s="150"/>
      <c r="GR381" s="150"/>
      <c r="GS381" s="150"/>
      <c r="GT381" s="150"/>
      <c r="GU381" s="150"/>
      <c r="GV381" s="150"/>
      <c r="GW381" s="150"/>
      <c r="GX381" s="150"/>
      <c r="GY381" s="150"/>
      <c r="GZ381" s="150"/>
      <c r="HA381" s="150"/>
      <c r="HB381" s="150"/>
      <c r="HC381" s="150"/>
      <c r="HD381" s="150"/>
      <c r="HE381" s="150"/>
      <c r="HF381" s="150"/>
      <c r="HG381" s="150"/>
      <c r="HH381" s="150"/>
      <c r="HI381" s="150"/>
      <c r="HJ381" s="150"/>
      <c r="HK381" s="150"/>
      <c r="HL381" s="150"/>
    </row>
    <row r="382" spans="1:220" s="152" customFormat="1" ht="14.25">
      <c r="A382" s="153"/>
      <c r="C382" s="154"/>
      <c r="D382" s="155"/>
      <c r="F382" s="194"/>
      <c r="H382" s="155"/>
      <c r="AJ382" s="156"/>
      <c r="AK382" s="156"/>
      <c r="AQ382" s="154"/>
      <c r="AW382" s="154"/>
      <c r="AX382" s="154"/>
      <c r="AY382" s="158"/>
      <c r="BA382" s="279"/>
      <c r="CH382" s="154"/>
      <c r="CQ382" s="149"/>
      <c r="CS382" s="147"/>
      <c r="CV382" s="150"/>
      <c r="CW382" s="150"/>
      <c r="CX382" s="150"/>
      <c r="CY382" s="150"/>
      <c r="CZ382" s="150"/>
      <c r="DA382" s="150"/>
      <c r="DB382" s="150"/>
      <c r="DC382" s="150"/>
      <c r="DD382" s="150"/>
      <c r="DE382" s="150"/>
      <c r="DF382" s="150"/>
      <c r="DG382" s="150"/>
      <c r="DH382" s="150"/>
      <c r="DI382" s="150"/>
      <c r="DJ382" s="150"/>
      <c r="DK382" s="150"/>
      <c r="DL382" s="150"/>
      <c r="DM382" s="150"/>
      <c r="DN382" s="150"/>
      <c r="DO382" s="150"/>
      <c r="DP382" s="150"/>
      <c r="DQ382" s="150"/>
      <c r="DR382" s="150"/>
      <c r="DS382" s="150"/>
      <c r="DT382" s="150"/>
      <c r="DU382" s="150"/>
      <c r="DV382" s="150"/>
      <c r="DW382" s="150"/>
      <c r="DX382" s="150"/>
      <c r="DY382" s="150"/>
      <c r="DZ382" s="150"/>
      <c r="EA382" s="150"/>
      <c r="EB382" s="150"/>
      <c r="EC382" s="150"/>
      <c r="ED382" s="150"/>
      <c r="EE382" s="150"/>
      <c r="EF382" s="150"/>
      <c r="EG382" s="150"/>
      <c r="EH382" s="150"/>
      <c r="EI382" s="150"/>
      <c r="EJ382" s="150"/>
      <c r="EK382" s="150"/>
      <c r="EL382" s="150"/>
      <c r="EM382" s="150"/>
      <c r="EN382" s="150"/>
      <c r="EO382" s="150"/>
      <c r="EP382" s="150"/>
      <c r="EQ382" s="150"/>
      <c r="ER382" s="150"/>
      <c r="ES382" s="150"/>
      <c r="ET382" s="150"/>
      <c r="EU382" s="150"/>
      <c r="EV382" s="150"/>
      <c r="EW382" s="150"/>
      <c r="EX382" s="150"/>
      <c r="EY382" s="150"/>
      <c r="EZ382" s="150"/>
      <c r="FA382" s="150"/>
      <c r="FB382" s="150"/>
      <c r="FC382" s="150"/>
      <c r="FD382" s="150"/>
      <c r="FE382" s="150"/>
      <c r="FF382" s="150"/>
      <c r="FG382" s="150"/>
      <c r="FH382" s="150"/>
      <c r="FI382" s="150"/>
      <c r="FJ382" s="150"/>
      <c r="FK382" s="150"/>
      <c r="FL382" s="150"/>
      <c r="FM382" s="150"/>
      <c r="FN382" s="150"/>
      <c r="FO382" s="150"/>
      <c r="FP382" s="150"/>
      <c r="FQ382" s="150"/>
      <c r="FR382" s="150"/>
      <c r="FS382" s="150"/>
      <c r="FT382" s="150"/>
      <c r="FU382" s="150"/>
      <c r="FV382" s="150"/>
      <c r="FW382" s="150"/>
      <c r="FX382" s="150"/>
      <c r="FY382" s="150"/>
      <c r="FZ382" s="150"/>
      <c r="GA382" s="150"/>
      <c r="GB382" s="150"/>
      <c r="GC382" s="150"/>
      <c r="GD382" s="150"/>
      <c r="GE382" s="150"/>
      <c r="GF382" s="150"/>
      <c r="GG382" s="150"/>
      <c r="GH382" s="150"/>
      <c r="GI382" s="150"/>
      <c r="GJ382" s="150"/>
      <c r="GK382" s="150"/>
      <c r="GL382" s="150"/>
      <c r="GM382" s="150"/>
      <c r="GN382" s="150"/>
      <c r="GO382" s="150"/>
      <c r="GP382" s="150"/>
      <c r="GQ382" s="150"/>
      <c r="GR382" s="150"/>
      <c r="GS382" s="150"/>
      <c r="GT382" s="150"/>
      <c r="GU382" s="150"/>
      <c r="GV382" s="150"/>
      <c r="GW382" s="150"/>
      <c r="GX382" s="150"/>
      <c r="GY382" s="150"/>
      <c r="GZ382" s="150"/>
      <c r="HA382" s="150"/>
      <c r="HB382" s="150"/>
      <c r="HC382" s="150"/>
      <c r="HD382" s="150"/>
      <c r="HE382" s="150"/>
      <c r="HF382" s="150"/>
      <c r="HG382" s="150"/>
      <c r="HH382" s="150"/>
      <c r="HI382" s="150"/>
      <c r="HJ382" s="150"/>
      <c r="HK382" s="150"/>
      <c r="HL382" s="150"/>
    </row>
    <row r="383" spans="1:220" s="152" customFormat="1" ht="14.25">
      <c r="A383" s="153"/>
      <c r="C383" s="154"/>
      <c r="D383" s="155"/>
      <c r="F383" s="194"/>
      <c r="H383" s="155"/>
      <c r="AJ383" s="156"/>
      <c r="AK383" s="156"/>
      <c r="AQ383" s="154"/>
      <c r="AW383" s="154"/>
      <c r="AX383" s="154"/>
      <c r="AY383" s="158"/>
      <c r="BA383" s="279"/>
      <c r="CH383" s="154"/>
      <c r="CQ383" s="149"/>
      <c r="CS383" s="147"/>
      <c r="CV383" s="150"/>
      <c r="CW383" s="150"/>
      <c r="CX383" s="150"/>
      <c r="CY383" s="150"/>
      <c r="CZ383" s="150"/>
      <c r="DA383" s="150"/>
      <c r="DB383" s="150"/>
      <c r="DC383" s="150"/>
      <c r="DD383" s="150"/>
      <c r="DE383" s="150"/>
      <c r="DF383" s="150"/>
      <c r="DG383" s="150"/>
      <c r="DH383" s="150"/>
      <c r="DI383" s="150"/>
      <c r="DJ383" s="150"/>
      <c r="DK383" s="150"/>
      <c r="DL383" s="150"/>
      <c r="DM383" s="150"/>
      <c r="DN383" s="150"/>
      <c r="DO383" s="150"/>
      <c r="DP383" s="150"/>
      <c r="DQ383" s="150"/>
      <c r="DR383" s="150"/>
      <c r="DS383" s="150"/>
      <c r="DT383" s="150"/>
      <c r="DU383" s="150"/>
      <c r="DV383" s="150"/>
      <c r="DW383" s="150"/>
      <c r="DX383" s="150"/>
      <c r="DY383" s="150"/>
      <c r="DZ383" s="150"/>
      <c r="EA383" s="150"/>
      <c r="EB383" s="150"/>
      <c r="EC383" s="150"/>
      <c r="ED383" s="150"/>
      <c r="EE383" s="150"/>
      <c r="EF383" s="150"/>
      <c r="EG383" s="150"/>
      <c r="EH383" s="150"/>
      <c r="EI383" s="150"/>
      <c r="EJ383" s="150"/>
      <c r="EK383" s="150"/>
      <c r="EL383" s="150"/>
      <c r="EM383" s="150"/>
      <c r="EN383" s="150"/>
      <c r="EO383" s="150"/>
      <c r="EP383" s="150"/>
      <c r="EQ383" s="150"/>
      <c r="ER383" s="150"/>
      <c r="ES383" s="150"/>
      <c r="ET383" s="150"/>
      <c r="EU383" s="150"/>
      <c r="EV383" s="150"/>
      <c r="EW383" s="150"/>
      <c r="EX383" s="150"/>
      <c r="EY383" s="150"/>
      <c r="EZ383" s="150"/>
      <c r="FA383" s="150"/>
      <c r="FB383" s="150"/>
      <c r="FC383" s="150"/>
      <c r="FD383" s="150"/>
      <c r="FE383" s="150"/>
      <c r="FF383" s="150"/>
      <c r="FG383" s="150"/>
      <c r="FH383" s="150"/>
      <c r="FI383" s="150"/>
      <c r="FJ383" s="150"/>
      <c r="FK383" s="150"/>
      <c r="FL383" s="150"/>
      <c r="FM383" s="150"/>
      <c r="FN383" s="150"/>
      <c r="FO383" s="150"/>
      <c r="FP383" s="150"/>
      <c r="FQ383" s="150"/>
      <c r="FR383" s="150"/>
      <c r="FS383" s="150"/>
      <c r="FT383" s="150"/>
      <c r="FU383" s="150"/>
      <c r="FV383" s="150"/>
      <c r="FW383" s="150"/>
      <c r="FX383" s="150"/>
      <c r="FY383" s="150"/>
      <c r="FZ383" s="150"/>
      <c r="GA383" s="150"/>
      <c r="GB383" s="150"/>
      <c r="GC383" s="150"/>
      <c r="GD383" s="150"/>
      <c r="GE383" s="150"/>
      <c r="GF383" s="150"/>
      <c r="GG383" s="150"/>
      <c r="GH383" s="150"/>
      <c r="GI383" s="150"/>
      <c r="GJ383" s="150"/>
      <c r="GK383" s="150"/>
      <c r="GL383" s="150"/>
      <c r="GM383" s="150"/>
      <c r="GN383" s="150"/>
      <c r="GO383" s="150"/>
      <c r="GP383" s="150"/>
      <c r="GQ383" s="150"/>
      <c r="GR383" s="150"/>
      <c r="GS383" s="150"/>
      <c r="GT383" s="150"/>
      <c r="GU383" s="150"/>
      <c r="GV383" s="150"/>
      <c r="GW383" s="150"/>
      <c r="GX383" s="150"/>
      <c r="GY383" s="150"/>
      <c r="GZ383" s="150"/>
      <c r="HA383" s="150"/>
      <c r="HB383" s="150"/>
      <c r="HC383" s="150"/>
      <c r="HD383" s="150"/>
      <c r="HE383" s="150"/>
      <c r="HF383" s="150"/>
      <c r="HG383" s="150"/>
      <c r="HH383" s="150"/>
      <c r="HI383" s="150"/>
      <c r="HJ383" s="150"/>
      <c r="HK383" s="150"/>
      <c r="HL383" s="150"/>
    </row>
    <row r="384" spans="1:220" s="152" customFormat="1" ht="14.25">
      <c r="A384" s="153"/>
      <c r="C384" s="154"/>
      <c r="D384" s="155"/>
      <c r="F384" s="194"/>
      <c r="H384" s="155"/>
      <c r="AJ384" s="156"/>
      <c r="AK384" s="156"/>
      <c r="AQ384" s="154"/>
      <c r="AW384" s="154"/>
      <c r="AX384" s="154"/>
      <c r="AY384" s="158"/>
      <c r="BA384" s="279"/>
      <c r="CH384" s="154"/>
      <c r="CQ384" s="149"/>
      <c r="CS384" s="147"/>
      <c r="CV384" s="150"/>
      <c r="CW384" s="150"/>
      <c r="CX384" s="150"/>
      <c r="CY384" s="150"/>
      <c r="CZ384" s="150"/>
      <c r="DA384" s="150"/>
      <c r="DB384" s="150"/>
      <c r="DC384" s="150"/>
      <c r="DD384" s="150"/>
      <c r="DE384" s="150"/>
      <c r="DF384" s="150"/>
      <c r="DG384" s="150"/>
      <c r="DH384" s="150"/>
      <c r="DI384" s="150"/>
      <c r="DJ384" s="150"/>
      <c r="DK384" s="150"/>
      <c r="DL384" s="150"/>
      <c r="DM384" s="150"/>
      <c r="DN384" s="150"/>
      <c r="DO384" s="150"/>
      <c r="DP384" s="150"/>
      <c r="DQ384" s="150"/>
      <c r="DR384" s="150"/>
      <c r="DS384" s="150"/>
      <c r="DT384" s="150"/>
      <c r="DU384" s="150"/>
      <c r="DV384" s="150"/>
      <c r="DW384" s="150"/>
      <c r="DX384" s="150"/>
      <c r="DY384" s="150"/>
      <c r="DZ384" s="150"/>
      <c r="EA384" s="150"/>
      <c r="EB384" s="150"/>
      <c r="EC384" s="150"/>
      <c r="ED384" s="150"/>
      <c r="EE384" s="150"/>
      <c r="EF384" s="150"/>
      <c r="EG384" s="150"/>
      <c r="EH384" s="150"/>
      <c r="EI384" s="150"/>
      <c r="EJ384" s="150"/>
      <c r="EK384" s="150"/>
      <c r="EL384" s="150"/>
      <c r="EM384" s="150"/>
      <c r="EN384" s="150"/>
      <c r="EO384" s="150"/>
      <c r="EP384" s="150"/>
      <c r="EQ384" s="150"/>
      <c r="ER384" s="150"/>
      <c r="ES384" s="150"/>
      <c r="ET384" s="150"/>
      <c r="EU384" s="150"/>
      <c r="EV384" s="150"/>
      <c r="EW384" s="150"/>
      <c r="EX384" s="150"/>
      <c r="EY384" s="150"/>
      <c r="EZ384" s="150"/>
      <c r="FA384" s="150"/>
      <c r="FB384" s="150"/>
      <c r="FC384" s="150"/>
      <c r="FD384" s="150"/>
      <c r="FE384" s="150"/>
      <c r="FF384" s="150"/>
      <c r="FG384" s="150"/>
      <c r="FH384" s="150"/>
      <c r="FI384" s="150"/>
      <c r="FJ384" s="150"/>
      <c r="FK384" s="150"/>
      <c r="FL384" s="150"/>
      <c r="FM384" s="150"/>
      <c r="FN384" s="150"/>
      <c r="FO384" s="150"/>
      <c r="FP384" s="150"/>
      <c r="FQ384" s="150"/>
      <c r="FR384" s="150"/>
      <c r="FS384" s="150"/>
      <c r="FT384" s="150"/>
      <c r="FU384" s="150"/>
      <c r="FV384" s="150"/>
      <c r="FW384" s="150"/>
      <c r="FX384" s="150"/>
      <c r="FY384" s="150"/>
      <c r="FZ384" s="150"/>
      <c r="GA384" s="150"/>
      <c r="GB384" s="150"/>
      <c r="GC384" s="150"/>
      <c r="GD384" s="150"/>
      <c r="GE384" s="150"/>
      <c r="GF384" s="150"/>
      <c r="GG384" s="150"/>
      <c r="GH384" s="150"/>
      <c r="GI384" s="150"/>
      <c r="GJ384" s="150"/>
      <c r="GK384" s="150"/>
      <c r="GL384" s="150"/>
      <c r="GM384" s="150"/>
      <c r="GN384" s="150"/>
      <c r="GO384" s="150"/>
      <c r="GP384" s="150"/>
      <c r="GQ384" s="150"/>
      <c r="GR384" s="150"/>
      <c r="GS384" s="150"/>
      <c r="GT384" s="150"/>
      <c r="GU384" s="150"/>
      <c r="GV384" s="150"/>
      <c r="GW384" s="150"/>
      <c r="GX384" s="150"/>
      <c r="GY384" s="150"/>
      <c r="GZ384" s="150"/>
      <c r="HA384" s="150"/>
      <c r="HB384" s="150"/>
      <c r="HC384" s="150"/>
      <c r="HD384" s="150"/>
      <c r="HE384" s="150"/>
      <c r="HF384" s="150"/>
      <c r="HG384" s="150"/>
      <c r="HH384" s="150"/>
      <c r="HI384" s="150"/>
      <c r="HJ384" s="150"/>
      <c r="HK384" s="150"/>
      <c r="HL384" s="150"/>
    </row>
    <row r="385" spans="1:220" s="152" customFormat="1" ht="14.25">
      <c r="A385" s="153"/>
      <c r="C385" s="154"/>
      <c r="D385" s="155"/>
      <c r="F385" s="194"/>
      <c r="H385" s="155"/>
      <c r="AJ385" s="156"/>
      <c r="AK385" s="156"/>
      <c r="AQ385" s="154"/>
      <c r="AW385" s="154"/>
      <c r="AX385" s="154"/>
      <c r="AY385" s="158"/>
      <c r="BA385" s="279"/>
      <c r="CH385" s="154"/>
      <c r="CQ385" s="149"/>
      <c r="CS385" s="147"/>
      <c r="CV385" s="150"/>
      <c r="CW385" s="150"/>
      <c r="CX385" s="150"/>
      <c r="CY385" s="150"/>
      <c r="CZ385" s="150"/>
      <c r="DA385" s="150"/>
      <c r="DB385" s="150"/>
      <c r="DC385" s="150"/>
      <c r="DD385" s="150"/>
      <c r="DE385" s="150"/>
      <c r="DF385" s="150"/>
      <c r="DG385" s="150"/>
      <c r="DH385" s="150"/>
      <c r="DI385" s="150"/>
      <c r="DJ385" s="150"/>
      <c r="DK385" s="150"/>
      <c r="DL385" s="150"/>
      <c r="DM385" s="150"/>
      <c r="DN385" s="150"/>
      <c r="DO385" s="150"/>
      <c r="DP385" s="150"/>
      <c r="DQ385" s="150"/>
      <c r="DR385" s="150"/>
      <c r="DS385" s="150"/>
      <c r="DT385" s="150"/>
      <c r="DU385" s="150"/>
      <c r="DV385" s="150"/>
      <c r="DW385" s="150"/>
      <c r="DX385" s="150"/>
      <c r="DY385" s="150"/>
      <c r="DZ385" s="150"/>
      <c r="EA385" s="150"/>
      <c r="EB385" s="150"/>
      <c r="EC385" s="150"/>
      <c r="ED385" s="150"/>
      <c r="EE385" s="150"/>
      <c r="EF385" s="150"/>
      <c r="EG385" s="150"/>
      <c r="EH385" s="150"/>
      <c r="EI385" s="150"/>
      <c r="EJ385" s="150"/>
      <c r="EK385" s="150"/>
      <c r="EL385" s="150"/>
      <c r="EM385" s="150"/>
      <c r="EN385" s="150"/>
      <c r="EO385" s="150"/>
      <c r="EP385" s="150"/>
      <c r="EQ385" s="150"/>
      <c r="ER385" s="150"/>
      <c r="ES385" s="150"/>
      <c r="ET385" s="150"/>
      <c r="EU385" s="150"/>
      <c r="EV385" s="150"/>
      <c r="EW385" s="150"/>
      <c r="EX385" s="150"/>
      <c r="EY385" s="150"/>
      <c r="EZ385" s="150"/>
      <c r="FA385" s="150"/>
      <c r="FB385" s="150"/>
      <c r="FC385" s="150"/>
      <c r="FD385" s="150"/>
      <c r="FE385" s="150"/>
      <c r="FF385" s="150"/>
      <c r="FG385" s="150"/>
      <c r="FH385" s="150"/>
      <c r="FI385" s="150"/>
      <c r="FJ385" s="150"/>
      <c r="FK385" s="150"/>
      <c r="FL385" s="150"/>
      <c r="FM385" s="150"/>
      <c r="FN385" s="150"/>
      <c r="FO385" s="150"/>
      <c r="FP385" s="150"/>
      <c r="FQ385" s="150"/>
      <c r="FR385" s="150"/>
      <c r="FS385" s="150"/>
      <c r="FT385" s="150"/>
      <c r="FU385" s="150"/>
      <c r="FV385" s="150"/>
      <c r="FW385" s="150"/>
      <c r="FX385" s="150"/>
      <c r="FY385" s="150"/>
      <c r="FZ385" s="150"/>
      <c r="GA385" s="150"/>
      <c r="GB385" s="150"/>
      <c r="GC385" s="150"/>
      <c r="GD385" s="150"/>
      <c r="GE385" s="150"/>
      <c r="GF385" s="150"/>
      <c r="GG385" s="150"/>
      <c r="GH385" s="150"/>
      <c r="GI385" s="150"/>
      <c r="GJ385" s="150"/>
      <c r="GK385" s="150"/>
      <c r="GL385" s="150"/>
      <c r="GM385" s="150"/>
      <c r="GN385" s="150"/>
      <c r="GO385" s="150"/>
      <c r="GP385" s="150"/>
      <c r="GQ385" s="150"/>
      <c r="GR385" s="150"/>
      <c r="GS385" s="150"/>
      <c r="GT385" s="150"/>
      <c r="GU385" s="150"/>
      <c r="GV385" s="150"/>
      <c r="GW385" s="150"/>
      <c r="GX385" s="150"/>
      <c r="GY385" s="150"/>
      <c r="GZ385" s="150"/>
      <c r="HA385" s="150"/>
      <c r="HB385" s="150"/>
      <c r="HC385" s="150"/>
      <c r="HD385" s="150"/>
      <c r="HE385" s="150"/>
      <c r="HF385" s="150"/>
      <c r="HG385" s="150"/>
      <c r="HH385" s="150"/>
      <c r="HI385" s="150"/>
      <c r="HJ385" s="150"/>
      <c r="HK385" s="150"/>
      <c r="HL385" s="150"/>
    </row>
    <row r="386" spans="1:220" s="152" customFormat="1" ht="14.25">
      <c r="A386" s="153"/>
      <c r="C386" s="154"/>
      <c r="D386" s="155"/>
      <c r="F386" s="194"/>
      <c r="H386" s="155"/>
      <c r="AJ386" s="156"/>
      <c r="AK386" s="156"/>
      <c r="AQ386" s="154"/>
      <c r="AW386" s="154"/>
      <c r="AX386" s="154"/>
      <c r="AY386" s="158"/>
      <c r="BA386" s="279"/>
      <c r="CH386" s="154"/>
      <c r="CQ386" s="149"/>
      <c r="CS386" s="147"/>
      <c r="CV386" s="150"/>
      <c r="CW386" s="150"/>
      <c r="CX386" s="150"/>
      <c r="CY386" s="150"/>
      <c r="CZ386" s="150"/>
      <c r="DA386" s="150"/>
      <c r="DB386" s="150"/>
      <c r="DC386" s="150"/>
      <c r="DD386" s="150"/>
      <c r="DE386" s="150"/>
      <c r="DF386" s="150"/>
      <c r="DG386" s="150"/>
      <c r="DH386" s="150"/>
      <c r="DI386" s="150"/>
      <c r="DJ386" s="150"/>
      <c r="DK386" s="150"/>
      <c r="DL386" s="150"/>
      <c r="DM386" s="150"/>
      <c r="DN386" s="150"/>
      <c r="DO386" s="150"/>
      <c r="DP386" s="150"/>
      <c r="DQ386" s="150"/>
      <c r="DR386" s="150"/>
      <c r="DS386" s="150"/>
      <c r="DT386" s="150"/>
      <c r="DU386" s="150"/>
      <c r="DV386" s="150"/>
      <c r="DW386" s="150"/>
      <c r="DX386" s="150"/>
      <c r="DY386" s="150"/>
      <c r="DZ386" s="150"/>
      <c r="EA386" s="150"/>
      <c r="EB386" s="150"/>
      <c r="EC386" s="150"/>
      <c r="ED386" s="150"/>
      <c r="EE386" s="150"/>
      <c r="EF386" s="150"/>
      <c r="EG386" s="150"/>
      <c r="EH386" s="150"/>
      <c r="EI386" s="150"/>
      <c r="EJ386" s="150"/>
      <c r="EK386" s="150"/>
      <c r="EL386" s="150"/>
      <c r="EM386" s="150"/>
      <c r="EN386" s="150"/>
      <c r="EO386" s="150"/>
      <c r="EP386" s="150"/>
      <c r="EQ386" s="150"/>
      <c r="ER386" s="150"/>
      <c r="ES386" s="150"/>
      <c r="ET386" s="150"/>
      <c r="EU386" s="150"/>
      <c r="EV386" s="150"/>
      <c r="EW386" s="150"/>
      <c r="EX386" s="150"/>
      <c r="EY386" s="150"/>
      <c r="EZ386" s="150"/>
      <c r="FA386" s="150"/>
      <c r="FB386" s="150"/>
      <c r="FC386" s="150"/>
      <c r="FD386" s="150"/>
      <c r="FE386" s="150"/>
      <c r="FF386" s="150"/>
      <c r="FG386" s="150"/>
      <c r="FH386" s="150"/>
      <c r="FI386" s="150"/>
      <c r="FJ386" s="150"/>
      <c r="FK386" s="150"/>
      <c r="FL386" s="150"/>
      <c r="FM386" s="150"/>
      <c r="FN386" s="150"/>
      <c r="FO386" s="150"/>
      <c r="FP386" s="150"/>
      <c r="FQ386" s="150"/>
      <c r="FR386" s="150"/>
      <c r="FS386" s="150"/>
      <c r="FT386" s="150"/>
      <c r="FU386" s="150"/>
      <c r="FV386" s="150"/>
      <c r="FW386" s="150"/>
      <c r="FX386" s="150"/>
      <c r="FY386" s="150"/>
      <c r="FZ386" s="150"/>
      <c r="GA386" s="150"/>
      <c r="GB386" s="150"/>
      <c r="GC386" s="150"/>
      <c r="GD386" s="150"/>
      <c r="GE386" s="150"/>
      <c r="GF386" s="150"/>
      <c r="GG386" s="150"/>
      <c r="GH386" s="150"/>
      <c r="GI386" s="150"/>
      <c r="GJ386" s="150"/>
      <c r="GK386" s="150"/>
      <c r="GL386" s="150"/>
      <c r="GM386" s="150"/>
      <c r="GN386" s="150"/>
      <c r="GO386" s="150"/>
      <c r="GP386" s="150"/>
      <c r="GQ386" s="150"/>
      <c r="GR386" s="150"/>
      <c r="GS386" s="150"/>
      <c r="GT386" s="150"/>
      <c r="GU386" s="150"/>
      <c r="GV386" s="150"/>
      <c r="GW386" s="150"/>
      <c r="GX386" s="150"/>
      <c r="GY386" s="150"/>
      <c r="GZ386" s="150"/>
      <c r="HA386" s="150"/>
      <c r="HB386" s="150"/>
      <c r="HC386" s="150"/>
      <c r="HD386" s="150"/>
      <c r="HE386" s="150"/>
      <c r="HF386" s="150"/>
      <c r="HG386" s="150"/>
      <c r="HH386" s="150"/>
      <c r="HI386" s="150"/>
      <c r="HJ386" s="150"/>
      <c r="HK386" s="150"/>
      <c r="HL386" s="150"/>
    </row>
    <row r="387" spans="1:220" s="152" customFormat="1" ht="14.25">
      <c r="A387" s="153"/>
      <c r="C387" s="154"/>
      <c r="D387" s="155"/>
      <c r="F387" s="194"/>
      <c r="H387" s="155"/>
      <c r="AJ387" s="156"/>
      <c r="AK387" s="156"/>
      <c r="AQ387" s="154"/>
      <c r="AW387" s="154"/>
      <c r="AX387" s="154"/>
      <c r="AY387" s="158"/>
      <c r="BA387" s="279"/>
      <c r="CH387" s="154"/>
      <c r="CQ387" s="149"/>
      <c r="CS387" s="147"/>
      <c r="CV387" s="150"/>
      <c r="CW387" s="150"/>
      <c r="CX387" s="150"/>
      <c r="CY387" s="150"/>
      <c r="CZ387" s="150"/>
      <c r="DA387" s="150"/>
      <c r="DB387" s="150"/>
      <c r="DC387" s="150"/>
      <c r="DD387" s="150"/>
      <c r="DE387" s="150"/>
      <c r="DF387" s="150"/>
      <c r="DG387" s="150"/>
      <c r="DH387" s="150"/>
      <c r="DI387" s="150"/>
      <c r="DJ387" s="150"/>
      <c r="DK387" s="150"/>
      <c r="DL387" s="150"/>
      <c r="DM387" s="150"/>
      <c r="DN387" s="150"/>
      <c r="DO387" s="150"/>
      <c r="DP387" s="150"/>
      <c r="DQ387" s="150"/>
      <c r="DR387" s="150"/>
      <c r="DS387" s="150"/>
      <c r="DT387" s="150"/>
      <c r="DU387" s="150"/>
      <c r="DV387" s="150"/>
      <c r="DW387" s="150"/>
      <c r="DX387" s="150"/>
      <c r="DY387" s="150"/>
      <c r="DZ387" s="150"/>
      <c r="EA387" s="150"/>
      <c r="EB387" s="150"/>
      <c r="EC387" s="150"/>
      <c r="ED387" s="150"/>
      <c r="EE387" s="150"/>
      <c r="EF387" s="150"/>
      <c r="EG387" s="150"/>
      <c r="EH387" s="150"/>
      <c r="EI387" s="150"/>
      <c r="EJ387" s="150"/>
      <c r="EK387" s="150"/>
      <c r="EL387" s="150"/>
      <c r="EM387" s="150"/>
      <c r="EN387" s="150"/>
      <c r="EO387" s="150"/>
      <c r="EP387" s="150"/>
      <c r="EQ387" s="150"/>
      <c r="ER387" s="150"/>
      <c r="ES387" s="150"/>
      <c r="ET387" s="150"/>
      <c r="EU387" s="150"/>
      <c r="EV387" s="150"/>
      <c r="EW387" s="150"/>
      <c r="EX387" s="150"/>
      <c r="EY387" s="150"/>
      <c r="EZ387" s="150"/>
      <c r="FA387" s="150"/>
      <c r="FB387" s="150"/>
      <c r="FC387" s="150"/>
      <c r="FD387" s="150"/>
      <c r="FE387" s="150"/>
      <c r="FF387" s="150"/>
      <c r="FG387" s="150"/>
      <c r="FH387" s="150"/>
      <c r="FI387" s="150"/>
      <c r="FJ387" s="150"/>
      <c r="FK387" s="150"/>
      <c r="FL387" s="150"/>
      <c r="FM387" s="150"/>
      <c r="FN387" s="150"/>
      <c r="FO387" s="150"/>
      <c r="FP387" s="150"/>
      <c r="FQ387" s="150"/>
      <c r="FR387" s="150"/>
      <c r="FS387" s="150"/>
      <c r="FT387" s="150"/>
      <c r="FU387" s="150"/>
      <c r="FV387" s="150"/>
      <c r="FW387" s="150"/>
      <c r="FX387" s="150"/>
      <c r="FY387" s="150"/>
      <c r="FZ387" s="150"/>
      <c r="GA387" s="150"/>
      <c r="GB387" s="150"/>
      <c r="GC387" s="150"/>
      <c r="GD387" s="150"/>
      <c r="GE387" s="150"/>
      <c r="GF387" s="150"/>
      <c r="GG387" s="150"/>
      <c r="GH387" s="150"/>
      <c r="GI387" s="150"/>
      <c r="GJ387" s="150"/>
      <c r="GK387" s="150"/>
      <c r="GL387" s="150"/>
      <c r="GM387" s="150"/>
      <c r="GN387" s="150"/>
      <c r="GO387" s="150"/>
      <c r="GP387" s="150"/>
      <c r="GQ387" s="150"/>
      <c r="GR387" s="150"/>
      <c r="GS387" s="150"/>
      <c r="GT387" s="150"/>
      <c r="GU387" s="150"/>
      <c r="GV387" s="150"/>
      <c r="GW387" s="150"/>
      <c r="GX387" s="150"/>
      <c r="GY387" s="150"/>
      <c r="GZ387" s="150"/>
      <c r="HA387" s="150"/>
      <c r="HB387" s="150"/>
      <c r="HC387" s="150"/>
      <c r="HD387" s="150"/>
      <c r="HE387" s="150"/>
      <c r="HF387" s="150"/>
      <c r="HG387" s="150"/>
      <c r="HH387" s="150"/>
      <c r="HI387" s="150"/>
      <c r="HJ387" s="150"/>
      <c r="HK387" s="150"/>
      <c r="HL387" s="150"/>
    </row>
    <row r="388" spans="1:220" s="152" customFormat="1" ht="14.25">
      <c r="A388" s="153"/>
      <c r="C388" s="154"/>
      <c r="D388" s="155"/>
      <c r="F388" s="194"/>
      <c r="H388" s="155"/>
      <c r="AJ388" s="156"/>
      <c r="AK388" s="156"/>
      <c r="AQ388" s="154"/>
      <c r="AW388" s="154"/>
      <c r="AX388" s="154"/>
      <c r="AY388" s="158"/>
      <c r="BA388" s="279"/>
      <c r="CH388" s="154"/>
      <c r="CQ388" s="149"/>
      <c r="CS388" s="147"/>
      <c r="CV388" s="150"/>
      <c r="CW388" s="150"/>
      <c r="CX388" s="150"/>
      <c r="CY388" s="150"/>
      <c r="CZ388" s="150"/>
      <c r="DA388" s="150"/>
      <c r="DB388" s="150"/>
      <c r="DC388" s="150"/>
      <c r="DD388" s="150"/>
      <c r="DE388" s="150"/>
      <c r="DF388" s="150"/>
      <c r="DG388" s="150"/>
      <c r="DH388" s="150"/>
      <c r="DI388" s="150"/>
      <c r="DJ388" s="150"/>
      <c r="DK388" s="150"/>
      <c r="DL388" s="150"/>
      <c r="DM388" s="150"/>
      <c r="DN388" s="150"/>
      <c r="DO388" s="150"/>
      <c r="DP388" s="150"/>
      <c r="DQ388" s="150"/>
      <c r="DR388" s="150"/>
      <c r="DS388" s="150"/>
      <c r="DT388" s="150"/>
      <c r="DU388" s="150"/>
      <c r="DV388" s="150"/>
      <c r="DW388" s="150"/>
      <c r="DX388" s="150"/>
      <c r="DY388" s="150"/>
      <c r="DZ388" s="150"/>
      <c r="EA388" s="150"/>
      <c r="EB388" s="150"/>
      <c r="EC388" s="150"/>
      <c r="ED388" s="150"/>
      <c r="EE388" s="150"/>
      <c r="EF388" s="150"/>
      <c r="EG388" s="150"/>
      <c r="EH388" s="150"/>
      <c r="EI388" s="150"/>
      <c r="EJ388" s="150"/>
      <c r="EK388" s="150"/>
      <c r="EL388" s="150"/>
      <c r="EM388" s="150"/>
      <c r="EN388" s="150"/>
      <c r="EO388" s="150"/>
      <c r="EP388" s="150"/>
      <c r="EQ388" s="150"/>
      <c r="ER388" s="150"/>
      <c r="ES388" s="150"/>
      <c r="ET388" s="150"/>
      <c r="EU388" s="150"/>
      <c r="EV388" s="150"/>
      <c r="EW388" s="150"/>
      <c r="EX388" s="150"/>
      <c r="EY388" s="150"/>
      <c r="EZ388" s="150"/>
      <c r="FA388" s="150"/>
      <c r="FB388" s="150"/>
      <c r="FC388" s="150"/>
      <c r="FD388" s="150"/>
      <c r="FE388" s="150"/>
      <c r="FF388" s="150"/>
      <c r="FG388" s="150"/>
      <c r="FH388" s="150"/>
      <c r="FI388" s="150"/>
      <c r="FJ388" s="150"/>
      <c r="FK388" s="150"/>
      <c r="FL388" s="150"/>
      <c r="FM388" s="150"/>
      <c r="FN388" s="150"/>
      <c r="FO388" s="150"/>
      <c r="FP388" s="150"/>
      <c r="FQ388" s="150"/>
      <c r="FR388" s="150"/>
      <c r="FS388" s="150"/>
      <c r="FT388" s="150"/>
      <c r="FU388" s="150"/>
      <c r="FV388" s="150"/>
      <c r="FW388" s="150"/>
      <c r="FX388" s="150"/>
      <c r="FY388" s="150"/>
      <c r="FZ388" s="150"/>
      <c r="GA388" s="150"/>
      <c r="GB388" s="150"/>
      <c r="GC388" s="150"/>
      <c r="GD388" s="150"/>
      <c r="GE388" s="150"/>
      <c r="GF388" s="150"/>
      <c r="GG388" s="150"/>
      <c r="GH388" s="150"/>
      <c r="GI388" s="150"/>
      <c r="GJ388" s="150"/>
      <c r="GK388" s="150"/>
      <c r="GL388" s="150"/>
      <c r="GM388" s="150"/>
      <c r="GN388" s="150"/>
      <c r="GO388" s="150"/>
      <c r="GP388" s="150"/>
      <c r="GQ388" s="150"/>
      <c r="GR388" s="150"/>
      <c r="GS388" s="150"/>
      <c r="GT388" s="150"/>
      <c r="GU388" s="150"/>
      <c r="GV388" s="150"/>
      <c r="GW388" s="150"/>
      <c r="GX388" s="150"/>
      <c r="GY388" s="150"/>
      <c r="GZ388" s="150"/>
      <c r="HA388" s="150"/>
      <c r="HB388" s="150"/>
      <c r="HC388" s="150"/>
      <c r="HD388" s="150"/>
      <c r="HE388" s="150"/>
      <c r="HF388" s="150"/>
      <c r="HG388" s="150"/>
      <c r="HH388" s="150"/>
      <c r="HI388" s="150"/>
      <c r="HJ388" s="150"/>
      <c r="HK388" s="150"/>
      <c r="HL388" s="150"/>
    </row>
    <row r="389" spans="1:220" s="152" customFormat="1" ht="14.25">
      <c r="A389" s="153"/>
      <c r="C389" s="154"/>
      <c r="D389" s="155"/>
      <c r="F389" s="194"/>
      <c r="H389" s="155"/>
      <c r="AJ389" s="156"/>
      <c r="AK389" s="156"/>
      <c r="AQ389" s="154"/>
      <c r="AW389" s="154"/>
      <c r="AX389" s="154"/>
      <c r="AY389" s="158"/>
      <c r="BA389" s="279"/>
      <c r="CH389" s="154"/>
      <c r="CQ389" s="149"/>
      <c r="CS389" s="147"/>
      <c r="CV389" s="150"/>
      <c r="CW389" s="150"/>
      <c r="CX389" s="150"/>
      <c r="CY389" s="150"/>
      <c r="CZ389" s="150"/>
      <c r="DA389" s="150"/>
      <c r="DB389" s="150"/>
      <c r="DC389" s="150"/>
      <c r="DD389" s="150"/>
      <c r="DE389" s="150"/>
      <c r="DF389" s="150"/>
      <c r="DG389" s="150"/>
      <c r="DH389" s="150"/>
      <c r="DI389" s="150"/>
      <c r="DJ389" s="150"/>
      <c r="DK389" s="150"/>
      <c r="DL389" s="150"/>
      <c r="DM389" s="150"/>
      <c r="DN389" s="150"/>
      <c r="DO389" s="150"/>
      <c r="DP389" s="150"/>
      <c r="DQ389" s="150"/>
      <c r="DR389" s="150"/>
      <c r="DS389" s="150"/>
      <c r="DT389" s="150"/>
      <c r="DU389" s="150"/>
      <c r="DV389" s="150"/>
      <c r="DW389" s="150"/>
      <c r="DX389" s="150"/>
      <c r="DY389" s="150"/>
      <c r="DZ389" s="150"/>
      <c r="EA389" s="150"/>
      <c r="EB389" s="150"/>
      <c r="EC389" s="150"/>
      <c r="ED389" s="150"/>
      <c r="EE389" s="150"/>
      <c r="EF389" s="150"/>
      <c r="EG389" s="150"/>
      <c r="EH389" s="150"/>
      <c r="EI389" s="150"/>
      <c r="EJ389" s="150"/>
      <c r="EK389" s="150"/>
      <c r="EL389" s="150"/>
      <c r="EM389" s="150"/>
      <c r="EN389" s="150"/>
      <c r="EO389" s="150"/>
      <c r="EP389" s="150"/>
      <c r="EQ389" s="150"/>
      <c r="ER389" s="150"/>
      <c r="ES389" s="150"/>
      <c r="ET389" s="150"/>
      <c r="EU389" s="150"/>
      <c r="EV389" s="150"/>
      <c r="EW389" s="150"/>
      <c r="EX389" s="150"/>
      <c r="EY389" s="150"/>
      <c r="EZ389" s="150"/>
      <c r="FA389" s="150"/>
      <c r="FB389" s="150"/>
      <c r="FC389" s="150"/>
      <c r="FD389" s="150"/>
      <c r="FE389" s="150"/>
      <c r="FF389" s="150"/>
      <c r="FG389" s="150"/>
      <c r="FH389" s="150"/>
      <c r="FI389" s="150"/>
      <c r="FJ389" s="150"/>
      <c r="FK389" s="150"/>
      <c r="FL389" s="150"/>
      <c r="FM389" s="150"/>
      <c r="FN389" s="150"/>
      <c r="FO389" s="150"/>
      <c r="FP389" s="150"/>
      <c r="FQ389" s="150"/>
      <c r="FR389" s="150"/>
      <c r="FS389" s="150"/>
      <c r="FT389" s="150"/>
      <c r="FU389" s="150"/>
      <c r="FV389" s="150"/>
      <c r="FW389" s="150"/>
      <c r="FX389" s="150"/>
      <c r="FY389" s="150"/>
      <c r="FZ389" s="150"/>
      <c r="GA389" s="150"/>
      <c r="GB389" s="150"/>
      <c r="GC389" s="150"/>
      <c r="GD389" s="150"/>
      <c r="GE389" s="150"/>
      <c r="GF389" s="150"/>
      <c r="GG389" s="150"/>
      <c r="GH389" s="150"/>
      <c r="GI389" s="150"/>
      <c r="GJ389" s="150"/>
      <c r="GK389" s="150"/>
      <c r="GL389" s="150"/>
      <c r="GM389" s="150"/>
      <c r="GN389" s="150"/>
      <c r="GO389" s="150"/>
      <c r="GP389" s="150"/>
      <c r="GQ389" s="150"/>
      <c r="GR389" s="150"/>
      <c r="GS389" s="150"/>
      <c r="GT389" s="150"/>
      <c r="GU389" s="150"/>
      <c r="GV389" s="150"/>
      <c r="GW389" s="150"/>
      <c r="GX389" s="150"/>
      <c r="GY389" s="150"/>
      <c r="GZ389" s="150"/>
      <c r="HA389" s="150"/>
      <c r="HB389" s="150"/>
      <c r="HC389" s="150"/>
      <c r="HD389" s="150"/>
      <c r="HE389" s="150"/>
      <c r="HF389" s="150"/>
      <c r="HG389" s="150"/>
      <c r="HH389" s="150"/>
      <c r="HI389" s="150"/>
      <c r="HJ389" s="150"/>
      <c r="HK389" s="150"/>
      <c r="HL389" s="150"/>
    </row>
    <row r="390" spans="1:220" s="152" customFormat="1" ht="14.25">
      <c r="A390" s="153"/>
      <c r="C390" s="154"/>
      <c r="D390" s="155"/>
      <c r="F390" s="194"/>
      <c r="H390" s="155"/>
      <c r="AJ390" s="156"/>
      <c r="AK390" s="156"/>
      <c r="AQ390" s="154"/>
      <c r="AW390" s="154"/>
      <c r="AX390" s="154"/>
      <c r="AY390" s="158"/>
      <c r="BA390" s="279"/>
      <c r="CH390" s="154"/>
      <c r="CQ390" s="149"/>
      <c r="CS390" s="147"/>
      <c r="CV390" s="150"/>
      <c r="CW390" s="150"/>
      <c r="CX390" s="150"/>
      <c r="CY390" s="150"/>
      <c r="CZ390" s="150"/>
      <c r="DA390" s="150"/>
      <c r="DB390" s="150"/>
      <c r="DC390" s="150"/>
      <c r="DD390" s="150"/>
      <c r="DE390" s="150"/>
      <c r="DF390" s="150"/>
      <c r="DG390" s="150"/>
      <c r="DH390" s="150"/>
      <c r="DI390" s="150"/>
      <c r="DJ390" s="150"/>
      <c r="DK390" s="150"/>
      <c r="DL390" s="150"/>
      <c r="DM390" s="150"/>
      <c r="DN390" s="150"/>
      <c r="DO390" s="150"/>
      <c r="DP390" s="150"/>
      <c r="DQ390" s="150"/>
      <c r="DR390" s="150"/>
      <c r="DS390" s="150"/>
      <c r="DT390" s="150"/>
      <c r="DU390" s="150"/>
      <c r="DV390" s="150"/>
      <c r="DW390" s="150"/>
      <c r="DX390" s="150"/>
      <c r="DY390" s="150"/>
      <c r="DZ390" s="150"/>
      <c r="EA390" s="150"/>
      <c r="EB390" s="150"/>
      <c r="EC390" s="150"/>
      <c r="ED390" s="150"/>
      <c r="EE390" s="150"/>
      <c r="EF390" s="150"/>
      <c r="EG390" s="150"/>
      <c r="EH390" s="150"/>
      <c r="EI390" s="150"/>
      <c r="EJ390" s="150"/>
      <c r="EK390" s="150"/>
      <c r="EL390" s="150"/>
      <c r="EM390" s="150"/>
      <c r="EN390" s="150"/>
      <c r="EO390" s="150"/>
      <c r="EP390" s="150"/>
      <c r="EQ390" s="150"/>
      <c r="ER390" s="150"/>
      <c r="ES390" s="150"/>
      <c r="ET390" s="150"/>
      <c r="EU390" s="150"/>
      <c r="EV390" s="150"/>
      <c r="EW390" s="150"/>
      <c r="EX390" s="150"/>
      <c r="EY390" s="150"/>
      <c r="EZ390" s="150"/>
      <c r="FA390" s="150"/>
      <c r="FB390" s="150"/>
      <c r="FC390" s="150"/>
      <c r="FD390" s="150"/>
      <c r="FE390" s="150"/>
      <c r="FF390" s="150"/>
      <c r="FG390" s="150"/>
      <c r="FH390" s="150"/>
      <c r="FI390" s="150"/>
      <c r="FJ390" s="150"/>
      <c r="FK390" s="150"/>
      <c r="FL390" s="150"/>
      <c r="FM390" s="150"/>
      <c r="FN390" s="150"/>
      <c r="FO390" s="150"/>
      <c r="FP390" s="150"/>
      <c r="FQ390" s="150"/>
      <c r="FR390" s="150"/>
      <c r="FS390" s="150"/>
      <c r="FT390" s="150"/>
      <c r="FU390" s="150"/>
      <c r="FV390" s="150"/>
      <c r="FW390" s="150"/>
      <c r="FX390" s="150"/>
      <c r="FY390" s="150"/>
      <c r="FZ390" s="150"/>
      <c r="GA390" s="150"/>
      <c r="GB390" s="150"/>
      <c r="GC390" s="150"/>
      <c r="GD390" s="150"/>
      <c r="GE390" s="150"/>
      <c r="GF390" s="150"/>
      <c r="GG390" s="150"/>
      <c r="GH390" s="150"/>
      <c r="GI390" s="150"/>
      <c r="GJ390" s="150"/>
      <c r="GK390" s="150"/>
      <c r="GL390" s="150"/>
      <c r="GM390" s="150"/>
      <c r="GN390" s="150"/>
      <c r="GO390" s="150"/>
      <c r="GP390" s="150"/>
      <c r="GQ390" s="150"/>
      <c r="GR390" s="150"/>
      <c r="GS390" s="150"/>
      <c r="GT390" s="150"/>
      <c r="GU390" s="150"/>
      <c r="GV390" s="150"/>
      <c r="GW390" s="150"/>
      <c r="GX390" s="150"/>
      <c r="GY390" s="150"/>
      <c r="GZ390" s="150"/>
      <c r="HA390" s="150"/>
      <c r="HB390" s="150"/>
      <c r="HC390" s="150"/>
      <c r="HD390" s="150"/>
      <c r="HE390" s="150"/>
      <c r="HF390" s="150"/>
      <c r="HG390" s="150"/>
      <c r="HH390" s="150"/>
      <c r="HI390" s="150"/>
      <c r="HJ390" s="150"/>
      <c r="HK390" s="150"/>
      <c r="HL390" s="150"/>
    </row>
    <row r="391" spans="1:220" s="152" customFormat="1" ht="14.25">
      <c r="A391" s="153"/>
      <c r="C391" s="154"/>
      <c r="D391" s="155"/>
      <c r="F391" s="194"/>
      <c r="H391" s="155"/>
      <c r="AJ391" s="156"/>
      <c r="AK391" s="156"/>
      <c r="AQ391" s="154"/>
      <c r="AW391" s="154"/>
      <c r="AX391" s="154"/>
      <c r="AY391" s="158"/>
      <c r="BA391" s="279"/>
      <c r="CH391" s="154"/>
      <c r="CQ391" s="149"/>
      <c r="CS391" s="147"/>
      <c r="CV391" s="150"/>
      <c r="CW391" s="150"/>
      <c r="CX391" s="150"/>
      <c r="CY391" s="150"/>
      <c r="CZ391" s="150"/>
      <c r="DA391" s="150"/>
      <c r="DB391" s="150"/>
      <c r="DC391" s="150"/>
      <c r="DD391" s="150"/>
      <c r="DE391" s="150"/>
      <c r="DF391" s="150"/>
      <c r="DG391" s="150"/>
      <c r="DH391" s="150"/>
      <c r="DI391" s="150"/>
      <c r="DJ391" s="150"/>
      <c r="DK391" s="150"/>
      <c r="DL391" s="150"/>
      <c r="DM391" s="150"/>
      <c r="DN391" s="150"/>
      <c r="DO391" s="150"/>
      <c r="DP391" s="150"/>
      <c r="DQ391" s="150"/>
      <c r="DR391" s="150"/>
      <c r="DS391" s="150"/>
      <c r="DT391" s="150"/>
      <c r="DU391" s="150"/>
      <c r="DV391" s="150"/>
      <c r="DW391" s="150"/>
      <c r="DX391" s="150"/>
      <c r="DY391" s="150"/>
      <c r="DZ391" s="150"/>
      <c r="EA391" s="150"/>
      <c r="EB391" s="150"/>
      <c r="EC391" s="150"/>
      <c r="ED391" s="150"/>
      <c r="EE391" s="150"/>
      <c r="EF391" s="150"/>
      <c r="EG391" s="150"/>
      <c r="EH391" s="150"/>
      <c r="EI391" s="150"/>
      <c r="EJ391" s="150"/>
      <c r="EK391" s="150"/>
      <c r="EL391" s="150"/>
      <c r="EM391" s="150"/>
      <c r="EN391" s="150"/>
      <c r="EO391" s="150"/>
      <c r="EP391" s="150"/>
      <c r="EQ391" s="150"/>
      <c r="ER391" s="150"/>
      <c r="ES391" s="150"/>
      <c r="ET391" s="150"/>
      <c r="EU391" s="150"/>
      <c r="EV391" s="150"/>
      <c r="EW391" s="150"/>
      <c r="EX391" s="150"/>
      <c r="EY391" s="150"/>
      <c r="EZ391" s="150"/>
      <c r="FA391" s="150"/>
      <c r="FB391" s="150"/>
      <c r="FC391" s="150"/>
      <c r="FD391" s="150"/>
      <c r="FE391" s="150"/>
      <c r="FF391" s="150"/>
      <c r="FG391" s="150"/>
      <c r="FH391" s="150"/>
      <c r="FI391" s="150"/>
      <c r="FJ391" s="150"/>
      <c r="FK391" s="150"/>
      <c r="FL391" s="150"/>
      <c r="FM391" s="150"/>
      <c r="FN391" s="150"/>
      <c r="FO391" s="150"/>
      <c r="FP391" s="150"/>
      <c r="FQ391" s="150"/>
      <c r="FR391" s="150"/>
      <c r="FS391" s="150"/>
      <c r="FT391" s="150"/>
      <c r="FU391" s="150"/>
      <c r="FV391" s="150"/>
      <c r="FW391" s="150"/>
      <c r="FX391" s="150"/>
      <c r="FY391" s="150"/>
      <c r="FZ391" s="150"/>
      <c r="GA391" s="150"/>
      <c r="GB391" s="150"/>
      <c r="GC391" s="150"/>
      <c r="GD391" s="150"/>
      <c r="GE391" s="150"/>
      <c r="GF391" s="150"/>
      <c r="GG391" s="150"/>
      <c r="GH391" s="150"/>
      <c r="GI391" s="150"/>
      <c r="GJ391" s="150"/>
      <c r="GK391" s="150"/>
      <c r="GL391" s="150"/>
      <c r="GM391" s="150"/>
      <c r="GN391" s="150"/>
      <c r="GO391" s="150"/>
      <c r="GP391" s="150"/>
      <c r="GQ391" s="150"/>
      <c r="GR391" s="150"/>
      <c r="GS391" s="150"/>
      <c r="GT391" s="150"/>
      <c r="GU391" s="150"/>
      <c r="GV391" s="150"/>
      <c r="GW391" s="150"/>
      <c r="GX391" s="150"/>
      <c r="GY391" s="150"/>
      <c r="GZ391" s="150"/>
      <c r="HA391" s="150"/>
      <c r="HB391" s="150"/>
      <c r="HC391" s="150"/>
      <c r="HD391" s="150"/>
      <c r="HE391" s="150"/>
      <c r="HF391" s="150"/>
      <c r="HG391" s="150"/>
      <c r="HH391" s="150"/>
      <c r="HI391" s="150"/>
      <c r="HJ391" s="150"/>
      <c r="HK391" s="150"/>
      <c r="HL391" s="150"/>
    </row>
    <row r="392" spans="1:220" s="152" customFormat="1" ht="14.25">
      <c r="A392" s="153"/>
      <c r="C392" s="154"/>
      <c r="D392" s="155"/>
      <c r="F392" s="194"/>
      <c r="H392" s="155"/>
      <c r="AJ392" s="156"/>
      <c r="AK392" s="156"/>
      <c r="AQ392" s="154"/>
      <c r="AW392" s="154"/>
      <c r="AX392" s="154"/>
      <c r="AY392" s="158"/>
      <c r="BA392" s="279"/>
      <c r="CH392" s="154"/>
      <c r="CQ392" s="149"/>
      <c r="CS392" s="147"/>
      <c r="CV392" s="150"/>
      <c r="CW392" s="150"/>
      <c r="CX392" s="150"/>
      <c r="CY392" s="150"/>
      <c r="CZ392" s="150"/>
      <c r="DA392" s="150"/>
      <c r="DB392" s="150"/>
      <c r="DC392" s="150"/>
      <c r="DD392" s="150"/>
      <c r="DE392" s="150"/>
      <c r="DF392" s="150"/>
      <c r="DG392" s="150"/>
      <c r="DH392" s="150"/>
      <c r="DI392" s="150"/>
      <c r="DJ392" s="150"/>
      <c r="DK392" s="150"/>
      <c r="DL392" s="150"/>
      <c r="DM392" s="150"/>
      <c r="DN392" s="150"/>
      <c r="DO392" s="150"/>
      <c r="DP392" s="150"/>
      <c r="DQ392" s="150"/>
      <c r="DR392" s="150"/>
      <c r="DS392" s="150"/>
      <c r="DT392" s="150"/>
      <c r="DU392" s="150"/>
      <c r="DV392" s="150"/>
      <c r="DW392" s="150"/>
      <c r="DX392" s="150"/>
      <c r="DY392" s="150"/>
      <c r="DZ392" s="150"/>
      <c r="EA392" s="150"/>
      <c r="EB392" s="150"/>
      <c r="EC392" s="150"/>
      <c r="ED392" s="150"/>
      <c r="EE392" s="150"/>
      <c r="EF392" s="150"/>
      <c r="EG392" s="150"/>
      <c r="EH392" s="150"/>
      <c r="EI392" s="150"/>
      <c r="EJ392" s="150"/>
      <c r="EK392" s="150"/>
      <c r="EL392" s="150"/>
      <c r="EM392" s="150"/>
      <c r="EN392" s="150"/>
      <c r="EO392" s="150"/>
      <c r="EP392" s="150"/>
      <c r="EQ392" s="150"/>
      <c r="ER392" s="150"/>
      <c r="ES392" s="150"/>
      <c r="ET392" s="150"/>
      <c r="EU392" s="150"/>
      <c r="EV392" s="150"/>
      <c r="EW392" s="150"/>
      <c r="EX392" s="150"/>
      <c r="EY392" s="150"/>
      <c r="EZ392" s="150"/>
      <c r="FA392" s="150"/>
      <c r="FB392" s="150"/>
      <c r="FC392" s="150"/>
      <c r="FD392" s="150"/>
      <c r="FE392" s="150"/>
      <c r="FF392" s="150"/>
      <c r="FG392" s="150"/>
      <c r="FH392" s="150"/>
      <c r="FI392" s="150"/>
      <c r="FJ392" s="150"/>
      <c r="FK392" s="150"/>
      <c r="FL392" s="150"/>
      <c r="FM392" s="150"/>
      <c r="FN392" s="150"/>
      <c r="FO392" s="150"/>
      <c r="FP392" s="150"/>
      <c r="FQ392" s="150"/>
      <c r="FR392" s="150"/>
      <c r="FS392" s="150"/>
      <c r="FT392" s="150"/>
      <c r="FU392" s="150"/>
      <c r="FV392" s="150"/>
      <c r="FW392" s="150"/>
      <c r="FX392" s="150"/>
      <c r="FY392" s="150"/>
      <c r="FZ392" s="150"/>
      <c r="GA392" s="150"/>
      <c r="GB392" s="150"/>
      <c r="GC392" s="150"/>
      <c r="GD392" s="150"/>
      <c r="GE392" s="150"/>
      <c r="GF392" s="150"/>
      <c r="GG392" s="150"/>
      <c r="GH392" s="150"/>
      <c r="GI392" s="150"/>
      <c r="GJ392" s="150"/>
      <c r="GK392" s="150"/>
      <c r="GL392" s="150"/>
      <c r="GM392" s="150"/>
      <c r="GN392" s="150"/>
      <c r="GO392" s="150"/>
      <c r="GP392" s="150"/>
      <c r="GQ392" s="150"/>
      <c r="GR392" s="150"/>
      <c r="GS392" s="150"/>
      <c r="GT392" s="150"/>
      <c r="GU392" s="150"/>
      <c r="GV392" s="150"/>
      <c r="GW392" s="150"/>
      <c r="GX392" s="150"/>
      <c r="GY392" s="150"/>
      <c r="GZ392" s="150"/>
      <c r="HA392" s="150"/>
      <c r="HB392" s="150"/>
      <c r="HC392" s="150"/>
      <c r="HD392" s="150"/>
      <c r="HE392" s="150"/>
      <c r="HF392" s="150"/>
      <c r="HG392" s="150"/>
      <c r="HH392" s="150"/>
      <c r="HI392" s="150"/>
      <c r="HJ392" s="150"/>
      <c r="HK392" s="150"/>
      <c r="HL392" s="150"/>
    </row>
    <row r="393" spans="1:220" s="152" customFormat="1" ht="14.25">
      <c r="A393" s="153"/>
      <c r="C393" s="154"/>
      <c r="D393" s="155"/>
      <c r="F393" s="194"/>
      <c r="H393" s="155"/>
      <c r="AJ393" s="156"/>
      <c r="AK393" s="156"/>
      <c r="AQ393" s="154"/>
      <c r="AW393" s="154"/>
      <c r="AX393" s="154"/>
      <c r="AY393" s="158"/>
      <c r="BA393" s="279"/>
      <c r="CH393" s="154"/>
      <c r="CQ393" s="149"/>
      <c r="CS393" s="147"/>
      <c r="CV393" s="150"/>
      <c r="CW393" s="150"/>
      <c r="CX393" s="150"/>
      <c r="CY393" s="150"/>
      <c r="CZ393" s="150"/>
      <c r="DA393" s="150"/>
      <c r="DB393" s="150"/>
      <c r="DC393" s="150"/>
      <c r="DD393" s="150"/>
      <c r="DE393" s="150"/>
      <c r="DF393" s="150"/>
      <c r="DG393" s="150"/>
      <c r="DH393" s="150"/>
      <c r="DI393" s="150"/>
      <c r="DJ393" s="150"/>
      <c r="DK393" s="150"/>
      <c r="DL393" s="150"/>
      <c r="DM393" s="150"/>
      <c r="DN393" s="150"/>
      <c r="DO393" s="150"/>
      <c r="DP393" s="150"/>
      <c r="DQ393" s="150"/>
      <c r="DR393" s="150"/>
      <c r="DS393" s="150"/>
      <c r="DT393" s="150"/>
      <c r="DU393" s="150"/>
      <c r="DV393" s="150"/>
      <c r="DW393" s="150"/>
      <c r="DX393" s="150"/>
      <c r="DY393" s="150"/>
      <c r="DZ393" s="150"/>
      <c r="EA393" s="150"/>
      <c r="EB393" s="150"/>
      <c r="EC393" s="150"/>
      <c r="ED393" s="150"/>
      <c r="EE393" s="150"/>
      <c r="EF393" s="150"/>
      <c r="EG393" s="150"/>
      <c r="EH393" s="150"/>
      <c r="EI393" s="150"/>
      <c r="EJ393" s="150"/>
      <c r="EK393" s="150"/>
      <c r="EL393" s="150"/>
      <c r="EM393" s="150"/>
      <c r="EN393" s="150"/>
      <c r="EO393" s="150"/>
      <c r="EP393" s="150"/>
      <c r="EQ393" s="150"/>
      <c r="ER393" s="150"/>
      <c r="ES393" s="150"/>
      <c r="ET393" s="150"/>
      <c r="EU393" s="150"/>
      <c r="EV393" s="150"/>
      <c r="EW393" s="150"/>
      <c r="EX393" s="150"/>
      <c r="EY393" s="150"/>
      <c r="EZ393" s="150"/>
      <c r="FA393" s="150"/>
      <c r="FB393" s="150"/>
      <c r="FC393" s="150"/>
      <c r="FD393" s="150"/>
      <c r="FE393" s="150"/>
      <c r="FF393" s="150"/>
      <c r="FG393" s="150"/>
      <c r="FH393" s="150"/>
      <c r="FI393" s="150"/>
      <c r="FJ393" s="150"/>
      <c r="FK393" s="150"/>
      <c r="FL393" s="150"/>
      <c r="FM393" s="150"/>
      <c r="FN393" s="150"/>
      <c r="FO393" s="150"/>
      <c r="FP393" s="150"/>
      <c r="FQ393" s="150"/>
      <c r="FR393" s="150"/>
      <c r="FS393" s="150"/>
      <c r="FT393" s="150"/>
      <c r="FU393" s="150"/>
      <c r="FV393" s="150"/>
      <c r="FW393" s="150"/>
      <c r="FX393" s="150"/>
      <c r="FY393" s="150"/>
      <c r="FZ393" s="150"/>
      <c r="GA393" s="150"/>
      <c r="GB393" s="150"/>
      <c r="GC393" s="150"/>
      <c r="GD393" s="150"/>
      <c r="GE393" s="150"/>
      <c r="GF393" s="150"/>
      <c r="GG393" s="150"/>
      <c r="GH393" s="150"/>
      <c r="GI393" s="150"/>
      <c r="GJ393" s="150"/>
      <c r="GK393" s="150"/>
      <c r="GL393" s="150"/>
      <c r="GM393" s="150"/>
      <c r="GN393" s="150"/>
      <c r="GO393" s="150"/>
      <c r="GP393" s="150"/>
      <c r="GQ393" s="150"/>
      <c r="GR393" s="150"/>
      <c r="GS393" s="150"/>
      <c r="GT393" s="150"/>
      <c r="GU393" s="150"/>
      <c r="GV393" s="150"/>
      <c r="GW393" s="150"/>
      <c r="GX393" s="150"/>
      <c r="GY393" s="150"/>
      <c r="GZ393" s="150"/>
      <c r="HA393" s="150"/>
      <c r="HB393" s="150"/>
      <c r="HC393" s="150"/>
      <c r="HD393" s="150"/>
      <c r="HE393" s="150"/>
      <c r="HF393" s="150"/>
      <c r="HG393" s="150"/>
      <c r="HH393" s="150"/>
      <c r="HI393" s="150"/>
      <c r="HJ393" s="150"/>
      <c r="HK393" s="150"/>
      <c r="HL393" s="150"/>
    </row>
    <row r="394" spans="1:220" s="152" customFormat="1" ht="14.25">
      <c r="A394" s="153"/>
      <c r="C394" s="154"/>
      <c r="D394" s="155"/>
      <c r="F394" s="194"/>
      <c r="H394" s="155"/>
      <c r="AJ394" s="156"/>
      <c r="AK394" s="156"/>
      <c r="AQ394" s="154"/>
      <c r="AW394" s="154"/>
      <c r="AX394" s="154"/>
      <c r="AY394" s="158"/>
      <c r="BA394" s="279"/>
      <c r="CH394" s="154"/>
      <c r="CQ394" s="149"/>
      <c r="CS394" s="147"/>
      <c r="CV394" s="150"/>
      <c r="CW394" s="150"/>
      <c r="CX394" s="150"/>
      <c r="CY394" s="150"/>
      <c r="CZ394" s="150"/>
      <c r="DA394" s="150"/>
      <c r="DB394" s="150"/>
      <c r="DC394" s="150"/>
      <c r="DD394" s="150"/>
      <c r="DE394" s="150"/>
      <c r="DF394" s="150"/>
      <c r="DG394" s="150"/>
      <c r="DH394" s="150"/>
      <c r="DI394" s="150"/>
      <c r="DJ394" s="150"/>
      <c r="DK394" s="150"/>
      <c r="DL394" s="150"/>
      <c r="DM394" s="150"/>
      <c r="DN394" s="150"/>
      <c r="DO394" s="150"/>
      <c r="DP394" s="150"/>
      <c r="DQ394" s="150"/>
      <c r="DR394" s="150"/>
      <c r="DS394" s="150"/>
      <c r="DT394" s="150"/>
      <c r="DU394" s="150"/>
      <c r="DV394" s="150"/>
      <c r="DW394" s="150"/>
      <c r="DX394" s="150"/>
      <c r="DY394" s="150"/>
      <c r="DZ394" s="150"/>
      <c r="EA394" s="150"/>
      <c r="EB394" s="150"/>
      <c r="EC394" s="150"/>
      <c r="ED394" s="150"/>
      <c r="EE394" s="150"/>
      <c r="EF394" s="150"/>
      <c r="EG394" s="150"/>
      <c r="EH394" s="150"/>
      <c r="EI394" s="150"/>
      <c r="EJ394" s="150"/>
      <c r="EK394" s="150"/>
      <c r="EL394" s="150"/>
      <c r="EM394" s="150"/>
      <c r="EN394" s="150"/>
      <c r="EO394" s="150"/>
      <c r="EP394" s="150"/>
      <c r="EQ394" s="150"/>
      <c r="ER394" s="150"/>
      <c r="ES394" s="150"/>
      <c r="ET394" s="150"/>
      <c r="EU394" s="150"/>
      <c r="EV394" s="150"/>
      <c r="EW394" s="150"/>
      <c r="EX394" s="150"/>
      <c r="EY394" s="150"/>
      <c r="EZ394" s="150"/>
      <c r="FA394" s="150"/>
      <c r="FB394" s="150"/>
      <c r="FC394" s="150"/>
      <c r="FD394" s="150"/>
      <c r="FE394" s="150"/>
      <c r="FF394" s="150"/>
      <c r="FG394" s="150"/>
      <c r="FH394" s="150"/>
      <c r="FI394" s="150"/>
      <c r="FJ394" s="150"/>
      <c r="FK394" s="150"/>
      <c r="FL394" s="150"/>
      <c r="FM394" s="150"/>
      <c r="FN394" s="150"/>
      <c r="FO394" s="150"/>
      <c r="FP394" s="150"/>
      <c r="FQ394" s="150"/>
      <c r="FR394" s="150"/>
      <c r="FS394" s="150"/>
      <c r="FT394" s="150"/>
      <c r="FU394" s="150"/>
      <c r="FV394" s="150"/>
      <c r="FW394" s="150"/>
      <c r="FX394" s="150"/>
      <c r="FY394" s="150"/>
      <c r="FZ394" s="150"/>
      <c r="GA394" s="150"/>
      <c r="GB394" s="150"/>
      <c r="GC394" s="150"/>
      <c r="GD394" s="150"/>
      <c r="GE394" s="150"/>
      <c r="GF394" s="150"/>
      <c r="GG394" s="150"/>
      <c r="GH394" s="150"/>
      <c r="GI394" s="150"/>
      <c r="GJ394" s="150"/>
      <c r="GK394" s="150"/>
      <c r="GL394" s="150"/>
      <c r="GM394" s="150"/>
      <c r="GN394" s="150"/>
      <c r="GO394" s="150"/>
      <c r="GP394" s="150"/>
      <c r="GQ394" s="150"/>
      <c r="GR394" s="150"/>
      <c r="GS394" s="150"/>
      <c r="GT394" s="150"/>
      <c r="GU394" s="150"/>
      <c r="GV394" s="150"/>
      <c r="GW394" s="150"/>
      <c r="GX394" s="150"/>
      <c r="GY394" s="150"/>
      <c r="GZ394" s="150"/>
      <c r="HA394" s="150"/>
      <c r="HB394" s="150"/>
      <c r="HC394" s="150"/>
      <c r="HD394" s="150"/>
      <c r="HE394" s="150"/>
      <c r="HF394" s="150"/>
      <c r="HG394" s="150"/>
      <c r="HH394" s="150"/>
      <c r="HI394" s="150"/>
      <c r="HJ394" s="150"/>
      <c r="HK394" s="150"/>
      <c r="HL394" s="150"/>
    </row>
    <row r="395" spans="1:220" s="152" customFormat="1" ht="14.25">
      <c r="A395" s="153"/>
      <c r="C395" s="154"/>
      <c r="D395" s="155"/>
      <c r="F395" s="194"/>
      <c r="H395" s="155"/>
      <c r="AJ395" s="156"/>
      <c r="AK395" s="156"/>
      <c r="AQ395" s="154"/>
      <c r="AW395" s="154"/>
      <c r="AX395" s="154"/>
      <c r="AY395" s="158"/>
      <c r="BA395" s="279"/>
      <c r="CH395" s="154"/>
      <c r="CQ395" s="149"/>
      <c r="CS395" s="147"/>
      <c r="CV395" s="150"/>
      <c r="CW395" s="150"/>
      <c r="CX395" s="150"/>
      <c r="CY395" s="150"/>
      <c r="CZ395" s="150"/>
      <c r="DA395" s="150"/>
      <c r="DB395" s="150"/>
      <c r="DC395" s="150"/>
      <c r="DD395" s="150"/>
      <c r="DE395" s="150"/>
      <c r="DF395" s="150"/>
      <c r="DG395" s="150"/>
      <c r="DH395" s="150"/>
      <c r="DI395" s="150"/>
      <c r="DJ395" s="150"/>
      <c r="DK395" s="150"/>
      <c r="DL395" s="150"/>
      <c r="DM395" s="150"/>
      <c r="DN395" s="150"/>
      <c r="DO395" s="150"/>
      <c r="DP395" s="150"/>
      <c r="DQ395" s="150"/>
      <c r="DR395" s="150"/>
      <c r="DS395" s="150"/>
      <c r="DT395" s="150"/>
      <c r="DU395" s="150"/>
      <c r="DV395" s="150"/>
      <c r="DW395" s="150"/>
      <c r="DX395" s="150"/>
      <c r="DY395" s="150"/>
      <c r="DZ395" s="150"/>
      <c r="EA395" s="150"/>
      <c r="EB395" s="150"/>
      <c r="EC395" s="150"/>
      <c r="ED395" s="150"/>
      <c r="EE395" s="150"/>
      <c r="EF395" s="150"/>
      <c r="EG395" s="150"/>
      <c r="EH395" s="150"/>
      <c r="EI395" s="150"/>
      <c r="EJ395" s="150"/>
      <c r="EK395" s="150"/>
      <c r="EL395" s="150"/>
      <c r="EM395" s="150"/>
      <c r="EN395" s="150"/>
      <c r="EO395" s="150"/>
      <c r="EP395" s="150"/>
      <c r="EQ395" s="150"/>
      <c r="ER395" s="150"/>
      <c r="ES395" s="150"/>
      <c r="ET395" s="150"/>
      <c r="EU395" s="150"/>
      <c r="EV395" s="150"/>
      <c r="EW395" s="150"/>
      <c r="EX395" s="150"/>
      <c r="EY395" s="150"/>
      <c r="EZ395" s="150"/>
      <c r="FA395" s="150"/>
      <c r="FB395" s="150"/>
      <c r="FC395" s="150"/>
      <c r="FD395" s="150"/>
      <c r="FE395" s="150"/>
      <c r="FF395" s="150"/>
      <c r="FG395" s="150"/>
      <c r="FH395" s="150"/>
      <c r="FI395" s="150"/>
      <c r="FJ395" s="150"/>
      <c r="FK395" s="150"/>
      <c r="FL395" s="150"/>
      <c r="FM395" s="150"/>
      <c r="FN395" s="150"/>
      <c r="FO395" s="150"/>
      <c r="FP395" s="150"/>
      <c r="FQ395" s="150"/>
      <c r="FR395" s="150"/>
      <c r="FS395" s="150"/>
      <c r="FT395" s="150"/>
      <c r="FU395" s="150"/>
      <c r="FV395" s="150"/>
      <c r="FW395" s="150"/>
      <c r="FX395" s="150"/>
      <c r="FY395" s="150"/>
      <c r="FZ395" s="150"/>
      <c r="GA395" s="150"/>
      <c r="GB395" s="150"/>
      <c r="GC395" s="150"/>
      <c r="GD395" s="150"/>
      <c r="GE395" s="150"/>
      <c r="GF395" s="150"/>
      <c r="GG395" s="150"/>
      <c r="GH395" s="150"/>
      <c r="GI395" s="150"/>
      <c r="GJ395" s="150"/>
      <c r="GK395" s="150"/>
      <c r="GL395" s="150"/>
      <c r="GM395" s="150"/>
      <c r="GN395" s="150"/>
      <c r="GO395" s="150"/>
      <c r="GP395" s="150"/>
      <c r="GQ395" s="150"/>
      <c r="GR395" s="150"/>
      <c r="GS395" s="150"/>
      <c r="GT395" s="150"/>
      <c r="GU395" s="150"/>
      <c r="GV395" s="150"/>
      <c r="GW395" s="150"/>
      <c r="GX395" s="150"/>
      <c r="GY395" s="150"/>
      <c r="GZ395" s="150"/>
      <c r="HA395" s="150"/>
      <c r="HB395" s="150"/>
      <c r="HC395" s="150"/>
      <c r="HD395" s="150"/>
      <c r="HE395" s="150"/>
      <c r="HF395" s="150"/>
      <c r="HG395" s="150"/>
      <c r="HH395" s="150"/>
      <c r="HI395" s="150"/>
      <c r="HJ395" s="150"/>
      <c r="HK395" s="150"/>
      <c r="HL395" s="150"/>
    </row>
    <row r="396" spans="1:220" s="152" customFormat="1" ht="14.25">
      <c r="A396" s="153"/>
      <c r="C396" s="154"/>
      <c r="D396" s="155"/>
      <c r="F396" s="194"/>
      <c r="H396" s="155"/>
      <c r="AJ396" s="156"/>
      <c r="AK396" s="156"/>
      <c r="AQ396" s="154"/>
      <c r="AW396" s="154"/>
      <c r="AX396" s="154"/>
      <c r="AY396" s="158"/>
      <c r="BA396" s="279"/>
      <c r="CH396" s="154"/>
      <c r="CQ396" s="149"/>
      <c r="CS396" s="147"/>
      <c r="CV396" s="150"/>
      <c r="CW396" s="150"/>
      <c r="CX396" s="150"/>
      <c r="CY396" s="150"/>
      <c r="CZ396" s="150"/>
      <c r="DA396" s="150"/>
      <c r="DB396" s="150"/>
      <c r="DC396" s="150"/>
      <c r="DD396" s="150"/>
      <c r="DE396" s="150"/>
      <c r="DF396" s="150"/>
      <c r="DG396" s="150"/>
      <c r="DH396" s="150"/>
      <c r="DI396" s="150"/>
      <c r="DJ396" s="150"/>
      <c r="DK396" s="150"/>
      <c r="DL396" s="150"/>
      <c r="DM396" s="150"/>
      <c r="DN396" s="150"/>
      <c r="DO396" s="150"/>
      <c r="DP396" s="150"/>
      <c r="DQ396" s="150"/>
      <c r="DR396" s="150"/>
      <c r="DS396" s="150"/>
      <c r="DT396" s="150"/>
      <c r="DU396" s="150"/>
      <c r="DV396" s="150"/>
      <c r="DW396" s="150"/>
      <c r="DX396" s="150"/>
      <c r="DY396" s="150"/>
      <c r="DZ396" s="150"/>
      <c r="EA396" s="150"/>
      <c r="EB396" s="150"/>
      <c r="EC396" s="150"/>
      <c r="ED396" s="150"/>
      <c r="EE396" s="150"/>
      <c r="EF396" s="150"/>
      <c r="EG396" s="150"/>
      <c r="EH396" s="150"/>
      <c r="EI396" s="150"/>
      <c r="EJ396" s="150"/>
      <c r="EK396" s="150"/>
      <c r="EL396" s="150"/>
      <c r="EM396" s="150"/>
      <c r="EN396" s="150"/>
      <c r="EO396" s="150"/>
      <c r="EP396" s="150"/>
      <c r="EQ396" s="150"/>
      <c r="ER396" s="150"/>
      <c r="ES396" s="150"/>
      <c r="ET396" s="150"/>
      <c r="EU396" s="150"/>
      <c r="EV396" s="150"/>
      <c r="EW396" s="150"/>
      <c r="EX396" s="150"/>
      <c r="EY396" s="150"/>
      <c r="EZ396" s="150"/>
      <c r="FA396" s="150"/>
      <c r="FB396" s="150"/>
      <c r="FC396" s="150"/>
      <c r="FD396" s="150"/>
      <c r="FE396" s="150"/>
      <c r="FF396" s="150"/>
      <c r="FG396" s="150"/>
      <c r="FH396" s="150"/>
      <c r="FI396" s="150"/>
      <c r="FJ396" s="150"/>
      <c r="FK396" s="150"/>
      <c r="FL396" s="150"/>
      <c r="FM396" s="150"/>
      <c r="FN396" s="150"/>
      <c r="FO396" s="150"/>
      <c r="FP396" s="150"/>
      <c r="FQ396" s="150"/>
      <c r="FR396" s="150"/>
      <c r="FS396" s="150"/>
      <c r="FT396" s="150"/>
      <c r="FU396" s="150"/>
      <c r="FV396" s="150"/>
      <c r="FW396" s="150"/>
      <c r="FX396" s="150"/>
      <c r="FY396" s="150"/>
      <c r="FZ396" s="150"/>
      <c r="GA396" s="150"/>
      <c r="GB396" s="150"/>
      <c r="GC396" s="150"/>
      <c r="GD396" s="150"/>
      <c r="GE396" s="150"/>
      <c r="GF396" s="150"/>
      <c r="GG396" s="150"/>
      <c r="GH396" s="150"/>
      <c r="GI396" s="150"/>
      <c r="GJ396" s="150"/>
      <c r="GK396" s="150"/>
      <c r="GL396" s="150"/>
      <c r="GM396" s="150"/>
      <c r="GN396" s="150"/>
      <c r="GO396" s="150"/>
      <c r="GP396" s="150"/>
      <c r="GQ396" s="150"/>
      <c r="GR396" s="150"/>
      <c r="GS396" s="150"/>
      <c r="GT396" s="150"/>
      <c r="GU396" s="150"/>
      <c r="GV396" s="150"/>
      <c r="GW396" s="150"/>
      <c r="GX396" s="150"/>
      <c r="GY396" s="150"/>
      <c r="GZ396" s="150"/>
      <c r="HA396" s="150"/>
      <c r="HB396" s="150"/>
      <c r="HC396" s="150"/>
      <c r="HD396" s="150"/>
      <c r="HE396" s="150"/>
      <c r="HF396" s="150"/>
      <c r="HG396" s="150"/>
      <c r="HH396" s="150"/>
      <c r="HI396" s="150"/>
      <c r="HJ396" s="150"/>
      <c r="HK396" s="150"/>
      <c r="HL396" s="150"/>
    </row>
    <row r="397" spans="1:220" s="99" customFormat="1">
      <c r="A397" s="109"/>
      <c r="C397" s="4"/>
      <c r="D397" s="110"/>
      <c r="F397" s="194"/>
      <c r="H397" s="110"/>
      <c r="AJ397" s="111"/>
      <c r="AK397" s="111"/>
      <c r="AQ397" s="4"/>
      <c r="AW397" s="4"/>
      <c r="AX397" s="4"/>
      <c r="AY397" s="112"/>
      <c r="BA397" s="114"/>
      <c r="CH397" s="4"/>
      <c r="CQ397" s="113"/>
      <c r="CS397" s="116"/>
      <c r="CV397" s="9"/>
      <c r="CW397" s="9"/>
      <c r="CX397" s="9"/>
      <c r="CY397" s="9"/>
      <c r="CZ397" s="139"/>
      <c r="DA397" s="139"/>
      <c r="DB397" s="139"/>
      <c r="DC397" s="139"/>
      <c r="DD397" s="139"/>
      <c r="DE397" s="139"/>
      <c r="DF397" s="139"/>
      <c r="DG397" s="139"/>
      <c r="DH397" s="139"/>
      <c r="DI397" s="13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</row>
    <row r="398" spans="1:220" s="99" customFormat="1">
      <c r="A398" s="109"/>
      <c r="C398" s="4"/>
      <c r="D398" s="110"/>
      <c r="F398" s="194"/>
      <c r="H398" s="110"/>
      <c r="AJ398" s="111"/>
      <c r="AK398" s="111"/>
      <c r="AQ398" s="4"/>
      <c r="AW398" s="4"/>
      <c r="AX398" s="4"/>
      <c r="AY398" s="112"/>
      <c r="BA398" s="114"/>
      <c r="CH398" s="4"/>
      <c r="CQ398" s="113"/>
      <c r="CS398" s="116"/>
      <c r="CV398" s="9"/>
      <c r="CW398" s="9"/>
      <c r="CX398" s="9"/>
      <c r="CY398" s="9"/>
      <c r="CZ398" s="139"/>
      <c r="DA398" s="139"/>
      <c r="DB398" s="139"/>
      <c r="DC398" s="139"/>
      <c r="DD398" s="139"/>
      <c r="DE398" s="139"/>
      <c r="DF398" s="139"/>
      <c r="DG398" s="139"/>
      <c r="DH398" s="139"/>
      <c r="DI398" s="13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</row>
    <row r="399" spans="1:220" s="99" customFormat="1">
      <c r="A399" s="109"/>
      <c r="C399" s="4"/>
      <c r="D399" s="110"/>
      <c r="F399" s="194"/>
      <c r="H399" s="110"/>
      <c r="AJ399" s="111"/>
      <c r="AK399" s="111"/>
      <c r="AQ399" s="4"/>
      <c r="AW399" s="4"/>
      <c r="AX399" s="4"/>
      <c r="AY399" s="112"/>
      <c r="BA399" s="114"/>
      <c r="CH399" s="4"/>
      <c r="CQ399" s="113"/>
      <c r="CS399" s="116"/>
      <c r="CV399" s="9"/>
      <c r="CW399" s="9"/>
      <c r="CX399" s="9"/>
      <c r="CY399" s="9"/>
      <c r="CZ399" s="139"/>
      <c r="DA399" s="139"/>
      <c r="DB399" s="139"/>
      <c r="DC399" s="139"/>
      <c r="DD399" s="139"/>
      <c r="DE399" s="139"/>
      <c r="DF399" s="139"/>
      <c r="DG399" s="139"/>
      <c r="DH399" s="139"/>
      <c r="DI399" s="13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</row>
    <row r="400" spans="1:220" s="99" customFormat="1">
      <c r="A400" s="109"/>
      <c r="C400" s="4"/>
      <c r="D400" s="110"/>
      <c r="F400" s="194"/>
      <c r="H400" s="110"/>
      <c r="AJ400" s="111"/>
      <c r="AK400" s="111"/>
      <c r="AQ400" s="4"/>
      <c r="AW400" s="4"/>
      <c r="AX400" s="4"/>
      <c r="AY400" s="112"/>
      <c r="BA400" s="114"/>
      <c r="CH400" s="4"/>
      <c r="CQ400" s="113"/>
      <c r="CS400" s="116"/>
      <c r="CV400" s="9"/>
      <c r="CW400" s="9"/>
      <c r="CX400" s="9"/>
      <c r="CY400" s="9"/>
      <c r="CZ400" s="139"/>
      <c r="DA400" s="139"/>
      <c r="DB400" s="139"/>
      <c r="DC400" s="139"/>
      <c r="DD400" s="139"/>
      <c r="DE400" s="139"/>
      <c r="DF400" s="139"/>
      <c r="DG400" s="139"/>
      <c r="DH400" s="139"/>
      <c r="DI400" s="13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</row>
    <row r="401" spans="1:220" s="99" customFormat="1">
      <c r="A401" s="109"/>
      <c r="C401" s="4"/>
      <c r="D401" s="110"/>
      <c r="F401" s="194"/>
      <c r="H401" s="110"/>
      <c r="AJ401" s="111"/>
      <c r="AK401" s="111"/>
      <c r="AQ401" s="4"/>
      <c r="AW401" s="4"/>
      <c r="AX401" s="4"/>
      <c r="AY401" s="112"/>
      <c r="BA401" s="114"/>
      <c r="CH401" s="4"/>
      <c r="CQ401" s="113"/>
      <c r="CS401" s="116"/>
      <c r="CV401" s="9"/>
      <c r="CW401" s="9"/>
      <c r="CX401" s="9"/>
      <c r="CY401" s="9"/>
      <c r="CZ401" s="139"/>
      <c r="DA401" s="139"/>
      <c r="DB401" s="139"/>
      <c r="DC401" s="139"/>
      <c r="DD401" s="139"/>
      <c r="DE401" s="139"/>
      <c r="DF401" s="139"/>
      <c r="DG401" s="139"/>
      <c r="DH401" s="139"/>
      <c r="DI401" s="13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</row>
    <row r="402" spans="1:220" s="99" customFormat="1">
      <c r="A402" s="109"/>
      <c r="C402" s="4"/>
      <c r="D402" s="110"/>
      <c r="F402" s="194"/>
      <c r="H402" s="110"/>
      <c r="AJ402" s="111"/>
      <c r="AK402" s="111"/>
      <c r="AQ402" s="4"/>
      <c r="AW402" s="4"/>
      <c r="AX402" s="4"/>
      <c r="AY402" s="112"/>
      <c r="BA402" s="114"/>
      <c r="CH402" s="4"/>
      <c r="CQ402" s="113"/>
      <c r="CS402" s="116"/>
      <c r="CV402" s="9"/>
      <c r="CW402" s="9"/>
      <c r="CX402" s="9"/>
      <c r="CY402" s="9"/>
      <c r="CZ402" s="139"/>
      <c r="DA402" s="139"/>
      <c r="DB402" s="139"/>
      <c r="DC402" s="139"/>
      <c r="DD402" s="139"/>
      <c r="DE402" s="139"/>
      <c r="DF402" s="139"/>
      <c r="DG402" s="139"/>
      <c r="DH402" s="139"/>
      <c r="DI402" s="13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</row>
    <row r="403" spans="1:220" s="99" customFormat="1">
      <c r="A403" s="109"/>
      <c r="C403" s="4"/>
      <c r="D403" s="110"/>
      <c r="F403" s="194"/>
      <c r="H403" s="110"/>
      <c r="AJ403" s="111"/>
      <c r="AK403" s="111"/>
      <c r="AQ403" s="4"/>
      <c r="AW403" s="4"/>
      <c r="AX403" s="4"/>
      <c r="AY403" s="112"/>
      <c r="BA403" s="114"/>
      <c r="CH403" s="4"/>
      <c r="CQ403" s="113"/>
      <c r="CS403" s="116"/>
      <c r="CV403" s="9"/>
      <c r="CW403" s="9"/>
      <c r="CX403" s="9"/>
      <c r="CY403" s="9"/>
      <c r="CZ403" s="139"/>
      <c r="DA403" s="139"/>
      <c r="DB403" s="139"/>
      <c r="DC403" s="139"/>
      <c r="DD403" s="139"/>
      <c r="DE403" s="139"/>
      <c r="DF403" s="139"/>
      <c r="DG403" s="139"/>
      <c r="DH403" s="139"/>
      <c r="DI403" s="13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</row>
    <row r="404" spans="1:220" s="99" customFormat="1">
      <c r="A404" s="109"/>
      <c r="C404" s="4"/>
      <c r="D404" s="110"/>
      <c r="F404" s="194"/>
      <c r="H404" s="110"/>
      <c r="AJ404" s="111"/>
      <c r="AK404" s="111"/>
      <c r="AQ404" s="4"/>
      <c r="AW404" s="4"/>
      <c r="AX404" s="4"/>
      <c r="AY404" s="112"/>
      <c r="BA404" s="114"/>
      <c r="CH404" s="4"/>
      <c r="CQ404" s="113"/>
      <c r="CS404" s="116"/>
      <c r="CV404" s="9"/>
      <c r="CW404" s="9"/>
      <c r="CX404" s="9"/>
      <c r="CY404" s="9"/>
      <c r="CZ404" s="139"/>
      <c r="DA404" s="139"/>
      <c r="DB404" s="139"/>
      <c r="DC404" s="139"/>
      <c r="DD404" s="139"/>
      <c r="DE404" s="139"/>
      <c r="DF404" s="139"/>
      <c r="DG404" s="139"/>
      <c r="DH404" s="139"/>
      <c r="DI404" s="13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</row>
    <row r="405" spans="1:220" s="99" customFormat="1">
      <c r="A405" s="109"/>
      <c r="C405" s="4"/>
      <c r="D405" s="110"/>
      <c r="F405" s="194"/>
      <c r="H405" s="110"/>
      <c r="AJ405" s="111"/>
      <c r="AK405" s="111"/>
      <c r="AQ405" s="4"/>
      <c r="AW405" s="4"/>
      <c r="AX405" s="4"/>
      <c r="AY405" s="112"/>
      <c r="BA405" s="114"/>
      <c r="CH405" s="4"/>
      <c r="CQ405" s="113"/>
      <c r="CS405" s="116"/>
      <c r="CV405" s="9"/>
      <c r="CW405" s="9"/>
      <c r="CX405" s="9"/>
      <c r="CY405" s="9"/>
      <c r="CZ405" s="139"/>
      <c r="DA405" s="139"/>
      <c r="DB405" s="139"/>
      <c r="DC405" s="139"/>
      <c r="DD405" s="139"/>
      <c r="DE405" s="139"/>
      <c r="DF405" s="139"/>
      <c r="DG405" s="139"/>
      <c r="DH405" s="139"/>
      <c r="DI405" s="13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</row>
    <row r="406" spans="1:220" s="99" customFormat="1">
      <c r="A406" s="109"/>
      <c r="C406" s="4"/>
      <c r="D406" s="110"/>
      <c r="F406" s="194"/>
      <c r="H406" s="110"/>
      <c r="AJ406" s="111"/>
      <c r="AK406" s="111"/>
      <c r="AQ406" s="4"/>
      <c r="AW406" s="4"/>
      <c r="AX406" s="4"/>
      <c r="AY406" s="112"/>
      <c r="BA406" s="114"/>
      <c r="CH406" s="4"/>
      <c r="CQ406" s="113"/>
      <c r="CS406" s="116"/>
      <c r="CV406" s="9"/>
      <c r="CW406" s="9"/>
      <c r="CX406" s="9"/>
      <c r="CY406" s="9"/>
      <c r="CZ406" s="139"/>
      <c r="DA406" s="139"/>
      <c r="DB406" s="139"/>
      <c r="DC406" s="139"/>
      <c r="DD406" s="139"/>
      <c r="DE406" s="139"/>
      <c r="DF406" s="139"/>
      <c r="DG406" s="139"/>
      <c r="DH406" s="139"/>
      <c r="DI406" s="13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</row>
    <row r="407" spans="1:220" s="99" customFormat="1">
      <c r="A407" s="109"/>
      <c r="C407" s="4"/>
      <c r="D407" s="110"/>
      <c r="F407" s="194"/>
      <c r="H407" s="110"/>
      <c r="AJ407" s="111"/>
      <c r="AK407" s="111"/>
      <c r="AQ407" s="4"/>
      <c r="AW407" s="4"/>
      <c r="AX407" s="4"/>
      <c r="AY407" s="112"/>
      <c r="BA407" s="114"/>
      <c r="CH407" s="4"/>
      <c r="CQ407" s="113"/>
      <c r="CS407" s="116"/>
      <c r="CV407" s="9"/>
      <c r="CW407" s="9"/>
      <c r="CX407" s="9"/>
      <c r="CY407" s="9"/>
      <c r="CZ407" s="139"/>
      <c r="DA407" s="139"/>
      <c r="DB407" s="139"/>
      <c r="DC407" s="139"/>
      <c r="DD407" s="139"/>
      <c r="DE407" s="139"/>
      <c r="DF407" s="139"/>
      <c r="DG407" s="139"/>
      <c r="DH407" s="139"/>
      <c r="DI407" s="13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</row>
    <row r="408" spans="1:220" s="99" customFormat="1">
      <c r="A408" s="109"/>
      <c r="C408" s="4"/>
      <c r="D408" s="110"/>
      <c r="F408" s="194"/>
      <c r="H408" s="110"/>
      <c r="AJ408" s="111"/>
      <c r="AK408" s="111"/>
      <c r="AQ408" s="4"/>
      <c r="AW408" s="4"/>
      <c r="AX408" s="4"/>
      <c r="AY408" s="112"/>
      <c r="BA408" s="114"/>
      <c r="CH408" s="4"/>
      <c r="CQ408" s="113"/>
      <c r="CS408" s="116"/>
      <c r="CV408" s="9"/>
      <c r="CW408" s="9"/>
      <c r="CX408" s="9"/>
      <c r="CY408" s="9"/>
      <c r="CZ408" s="139"/>
      <c r="DA408" s="139"/>
      <c r="DB408" s="139"/>
      <c r="DC408" s="139"/>
      <c r="DD408" s="139"/>
      <c r="DE408" s="139"/>
      <c r="DF408" s="139"/>
      <c r="DG408" s="139"/>
      <c r="DH408" s="139"/>
      <c r="DI408" s="13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</row>
    <row r="409" spans="1:220" s="99" customFormat="1">
      <c r="A409" s="109"/>
      <c r="C409" s="4"/>
      <c r="D409" s="110"/>
      <c r="F409" s="194"/>
      <c r="H409" s="110"/>
      <c r="AJ409" s="111"/>
      <c r="AK409" s="111"/>
      <c r="AQ409" s="4"/>
      <c r="AW409" s="4"/>
      <c r="AX409" s="4"/>
      <c r="AY409" s="112"/>
      <c r="BA409" s="114"/>
      <c r="CH409" s="4"/>
      <c r="CQ409" s="113"/>
      <c r="CS409" s="116"/>
      <c r="CV409" s="9"/>
      <c r="CW409" s="9"/>
      <c r="CX409" s="9"/>
      <c r="CY409" s="9"/>
      <c r="CZ409" s="139"/>
      <c r="DA409" s="139"/>
      <c r="DB409" s="139"/>
      <c r="DC409" s="139"/>
      <c r="DD409" s="139"/>
      <c r="DE409" s="139"/>
      <c r="DF409" s="139"/>
      <c r="DG409" s="139"/>
      <c r="DH409" s="139"/>
      <c r="DI409" s="13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</row>
    <row r="410" spans="1:220" s="99" customFormat="1">
      <c r="A410" s="109"/>
      <c r="C410" s="4"/>
      <c r="D410" s="110"/>
      <c r="F410" s="194"/>
      <c r="H410" s="110"/>
      <c r="AJ410" s="111"/>
      <c r="AK410" s="111"/>
      <c r="AQ410" s="4"/>
      <c r="AW410" s="4"/>
      <c r="AX410" s="4"/>
      <c r="AY410" s="112"/>
      <c r="BA410" s="114"/>
      <c r="CH410" s="4"/>
      <c r="CQ410" s="113"/>
      <c r="CS410" s="116"/>
      <c r="CV410" s="9"/>
      <c r="CW410" s="9"/>
      <c r="CX410" s="9"/>
      <c r="CY410" s="9"/>
      <c r="CZ410" s="139"/>
      <c r="DA410" s="139"/>
      <c r="DB410" s="139"/>
      <c r="DC410" s="139"/>
      <c r="DD410" s="139"/>
      <c r="DE410" s="139"/>
      <c r="DF410" s="139"/>
      <c r="DG410" s="139"/>
      <c r="DH410" s="139"/>
      <c r="DI410" s="13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</row>
    <row r="411" spans="1:220" s="99" customFormat="1">
      <c r="A411" s="109"/>
      <c r="C411" s="4"/>
      <c r="D411" s="110"/>
      <c r="F411" s="194"/>
      <c r="H411" s="110"/>
      <c r="AJ411" s="111"/>
      <c r="AK411" s="111"/>
      <c r="AW411" s="4"/>
      <c r="AX411" s="4"/>
      <c r="AY411" s="112"/>
      <c r="BA411" s="114"/>
      <c r="CH411" s="4"/>
      <c r="CQ411" s="113"/>
      <c r="CS411" s="116"/>
      <c r="CV411" s="9"/>
      <c r="CW411" s="9"/>
      <c r="CX411" s="9"/>
      <c r="CY411" s="9"/>
      <c r="CZ411" s="139"/>
      <c r="DA411" s="139"/>
      <c r="DB411" s="139"/>
      <c r="DC411" s="139"/>
      <c r="DD411" s="139"/>
      <c r="DE411" s="139"/>
      <c r="DF411" s="139"/>
      <c r="DG411" s="139"/>
      <c r="DH411" s="139"/>
      <c r="DI411" s="13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</row>
    <row r="412" spans="1:220" s="99" customFormat="1">
      <c r="A412" s="109"/>
      <c r="C412" s="4"/>
      <c r="D412" s="110"/>
      <c r="F412" s="194"/>
      <c r="H412" s="110"/>
      <c r="AJ412" s="111"/>
      <c r="AK412" s="111"/>
      <c r="AW412" s="4"/>
      <c r="AX412" s="4"/>
      <c r="AY412" s="112"/>
      <c r="BA412" s="114"/>
      <c r="CH412" s="4"/>
      <c r="CQ412" s="113"/>
      <c r="CS412" s="116"/>
      <c r="CV412" s="9"/>
      <c r="CW412" s="9"/>
      <c r="CX412" s="9"/>
      <c r="CY412" s="9"/>
      <c r="CZ412" s="139"/>
      <c r="DA412" s="139"/>
      <c r="DB412" s="139"/>
      <c r="DC412" s="139"/>
      <c r="DD412" s="139"/>
      <c r="DE412" s="139"/>
      <c r="DF412" s="139"/>
      <c r="DG412" s="139"/>
      <c r="DH412" s="139"/>
      <c r="DI412" s="13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</row>
    <row r="413" spans="1:220" s="99" customFormat="1">
      <c r="A413" s="109"/>
      <c r="C413" s="4"/>
      <c r="D413" s="110"/>
      <c r="F413" s="194"/>
      <c r="H413" s="110"/>
      <c r="AJ413" s="111"/>
      <c r="AK413" s="111"/>
      <c r="AW413" s="4"/>
      <c r="AX413" s="4"/>
      <c r="AY413" s="112"/>
      <c r="BA413" s="114"/>
      <c r="CH413" s="4"/>
      <c r="CQ413" s="113"/>
      <c r="CS413" s="116"/>
      <c r="CV413" s="9"/>
      <c r="CW413" s="9"/>
      <c r="CX413" s="9"/>
      <c r="CY413" s="9"/>
      <c r="CZ413" s="139"/>
      <c r="DA413" s="139"/>
      <c r="DB413" s="139"/>
      <c r="DC413" s="139"/>
      <c r="DD413" s="139"/>
      <c r="DE413" s="139"/>
      <c r="DF413" s="139"/>
      <c r="DG413" s="139"/>
      <c r="DH413" s="139"/>
      <c r="DI413" s="13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</row>
    <row r="414" spans="1:220" s="99" customFormat="1">
      <c r="A414" s="109"/>
      <c r="C414" s="4"/>
      <c r="D414" s="110"/>
      <c r="F414" s="194"/>
      <c r="H414" s="110"/>
      <c r="AJ414" s="111"/>
      <c r="AK414" s="111"/>
      <c r="AW414" s="4"/>
      <c r="AX414" s="4"/>
      <c r="AY414" s="112"/>
      <c r="BA414" s="114"/>
      <c r="CH414" s="4"/>
      <c r="CQ414" s="113"/>
      <c r="CS414" s="116"/>
      <c r="CV414" s="9"/>
      <c r="CW414" s="9"/>
      <c r="CX414" s="9"/>
      <c r="CY414" s="9"/>
      <c r="CZ414" s="139"/>
      <c r="DA414" s="139"/>
      <c r="DB414" s="139"/>
      <c r="DC414" s="139"/>
      <c r="DD414" s="139"/>
      <c r="DE414" s="139"/>
      <c r="DF414" s="139"/>
      <c r="DG414" s="139"/>
      <c r="DH414" s="139"/>
      <c r="DI414" s="13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</row>
    <row r="415" spans="1:220" s="99" customFormat="1">
      <c r="A415" s="109"/>
      <c r="C415" s="4"/>
      <c r="D415" s="110"/>
      <c r="F415" s="194"/>
      <c r="H415" s="110"/>
      <c r="AJ415" s="111"/>
      <c r="AK415" s="111"/>
      <c r="AW415" s="4"/>
      <c r="AX415" s="4"/>
      <c r="AY415" s="112"/>
      <c r="BA415" s="114"/>
      <c r="CH415" s="4"/>
      <c r="CQ415" s="113"/>
      <c r="CS415" s="116"/>
      <c r="CV415" s="9"/>
      <c r="CW415" s="9"/>
      <c r="CX415" s="9"/>
      <c r="CY415" s="9"/>
      <c r="CZ415" s="139"/>
      <c r="DA415" s="139"/>
      <c r="DB415" s="139"/>
      <c r="DC415" s="139"/>
      <c r="DD415" s="139"/>
      <c r="DE415" s="139"/>
      <c r="DF415" s="139"/>
      <c r="DG415" s="139"/>
      <c r="DH415" s="139"/>
      <c r="DI415" s="13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  <c r="HJ415" s="9"/>
      <c r="HK415" s="9"/>
      <c r="HL415" s="9"/>
    </row>
    <row r="416" spans="1:220" s="99" customFormat="1">
      <c r="A416" s="109"/>
      <c r="C416" s="4"/>
      <c r="D416" s="110"/>
      <c r="F416" s="194"/>
      <c r="H416" s="110"/>
      <c r="AJ416" s="111"/>
      <c r="AK416" s="111"/>
      <c r="AW416" s="4"/>
      <c r="AX416" s="4"/>
      <c r="AY416" s="112"/>
      <c r="BA416" s="114"/>
      <c r="CH416" s="4"/>
      <c r="CQ416" s="113"/>
      <c r="CS416" s="116"/>
      <c r="CV416" s="9"/>
      <c r="CW416" s="9"/>
      <c r="CX416" s="9"/>
      <c r="CY416" s="9"/>
      <c r="CZ416" s="139"/>
      <c r="DA416" s="139"/>
      <c r="DB416" s="139"/>
      <c r="DC416" s="139"/>
      <c r="DD416" s="139"/>
      <c r="DE416" s="139"/>
      <c r="DF416" s="139"/>
      <c r="DG416" s="139"/>
      <c r="DH416" s="139"/>
      <c r="DI416" s="13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</row>
    <row r="417" spans="1:220" s="99" customFormat="1">
      <c r="A417" s="109"/>
      <c r="C417" s="4"/>
      <c r="D417" s="110"/>
      <c r="F417" s="194"/>
      <c r="H417" s="110"/>
      <c r="AJ417" s="111"/>
      <c r="AK417" s="111"/>
      <c r="AW417" s="4"/>
      <c r="AX417" s="4"/>
      <c r="AY417" s="112"/>
      <c r="BA417" s="114"/>
      <c r="CH417" s="4"/>
      <c r="CQ417" s="113"/>
      <c r="CS417" s="116"/>
      <c r="CV417" s="9"/>
      <c r="CW417" s="9"/>
      <c r="CX417" s="9"/>
      <c r="CY417" s="9"/>
      <c r="CZ417" s="139"/>
      <c r="DA417" s="139"/>
      <c r="DB417" s="139"/>
      <c r="DC417" s="139"/>
      <c r="DD417" s="139"/>
      <c r="DE417" s="139"/>
      <c r="DF417" s="139"/>
      <c r="DG417" s="139"/>
      <c r="DH417" s="139"/>
      <c r="DI417" s="13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</row>
    <row r="418" spans="1:220" s="99" customFormat="1">
      <c r="A418" s="109"/>
      <c r="C418" s="4"/>
      <c r="D418" s="110"/>
      <c r="F418" s="194"/>
      <c r="H418" s="110"/>
      <c r="AJ418" s="111"/>
      <c r="AK418" s="111"/>
      <c r="AW418" s="4"/>
      <c r="AX418" s="4"/>
      <c r="AY418" s="112"/>
      <c r="BA418" s="114"/>
      <c r="CH418" s="4"/>
      <c r="CQ418" s="113"/>
      <c r="CS418" s="116"/>
      <c r="CV418" s="9"/>
      <c r="CW418" s="9"/>
      <c r="CX418" s="9"/>
      <c r="CY418" s="9"/>
      <c r="CZ418" s="139"/>
      <c r="DA418" s="139"/>
      <c r="DB418" s="139"/>
      <c r="DC418" s="139"/>
      <c r="DD418" s="139"/>
      <c r="DE418" s="139"/>
      <c r="DF418" s="139"/>
      <c r="DG418" s="139"/>
      <c r="DH418" s="139"/>
      <c r="DI418" s="13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</row>
    <row r="419" spans="1:220" s="99" customFormat="1">
      <c r="A419" s="109"/>
      <c r="C419" s="4"/>
      <c r="D419" s="110"/>
      <c r="F419" s="194"/>
      <c r="H419" s="110"/>
      <c r="AJ419" s="111"/>
      <c r="AK419" s="111"/>
      <c r="AW419" s="4"/>
      <c r="AX419" s="4"/>
      <c r="AY419" s="112"/>
      <c r="BA419" s="114"/>
      <c r="CH419" s="4"/>
      <c r="CQ419" s="113"/>
      <c r="CS419" s="116"/>
      <c r="CV419" s="9"/>
      <c r="CW419" s="9"/>
      <c r="CX419" s="9"/>
      <c r="CY419" s="9"/>
      <c r="CZ419" s="139"/>
      <c r="DA419" s="139"/>
      <c r="DB419" s="139"/>
      <c r="DC419" s="139"/>
      <c r="DD419" s="139"/>
      <c r="DE419" s="139"/>
      <c r="DF419" s="139"/>
      <c r="DG419" s="139"/>
      <c r="DH419" s="139"/>
      <c r="DI419" s="13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</row>
    <row r="420" spans="1:220" s="99" customFormat="1">
      <c r="A420" s="109"/>
      <c r="C420" s="4"/>
      <c r="D420" s="110"/>
      <c r="F420" s="194"/>
      <c r="H420" s="110"/>
      <c r="AJ420" s="111"/>
      <c r="AK420" s="111"/>
      <c r="AW420" s="4"/>
      <c r="AX420" s="4"/>
      <c r="AY420" s="112"/>
      <c r="BA420" s="114"/>
      <c r="CH420" s="4"/>
      <c r="CQ420" s="113"/>
      <c r="CS420" s="116"/>
      <c r="CV420" s="9"/>
      <c r="CW420" s="9"/>
      <c r="CX420" s="9"/>
      <c r="CY420" s="9"/>
      <c r="CZ420" s="139"/>
      <c r="DA420" s="139"/>
      <c r="DB420" s="139"/>
      <c r="DC420" s="139"/>
      <c r="DD420" s="139"/>
      <c r="DE420" s="139"/>
      <c r="DF420" s="139"/>
      <c r="DG420" s="139"/>
      <c r="DH420" s="139"/>
      <c r="DI420" s="13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</row>
    <row r="421" spans="1:220" s="99" customFormat="1">
      <c r="A421" s="109"/>
      <c r="C421" s="4"/>
      <c r="D421" s="110"/>
      <c r="F421" s="194"/>
      <c r="H421" s="110"/>
      <c r="AJ421" s="111"/>
      <c r="AK421" s="111"/>
      <c r="AW421" s="4"/>
      <c r="AX421" s="4"/>
      <c r="AY421" s="112"/>
      <c r="BA421" s="114"/>
      <c r="CH421" s="4"/>
      <c r="CQ421" s="113"/>
      <c r="CS421" s="116"/>
      <c r="CV421" s="9"/>
      <c r="CW421" s="9"/>
      <c r="CX421" s="9"/>
      <c r="CY421" s="9"/>
      <c r="CZ421" s="139"/>
      <c r="DA421" s="139"/>
      <c r="DB421" s="139"/>
      <c r="DC421" s="139"/>
      <c r="DD421" s="139"/>
      <c r="DE421" s="139"/>
      <c r="DF421" s="139"/>
      <c r="DG421" s="139"/>
      <c r="DH421" s="139"/>
      <c r="DI421" s="13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</row>
    <row r="422" spans="1:220" s="99" customFormat="1">
      <c r="A422" s="109"/>
      <c r="C422" s="4"/>
      <c r="D422" s="110"/>
      <c r="F422" s="194"/>
      <c r="H422" s="110"/>
      <c r="AJ422" s="111"/>
      <c r="AK422" s="111"/>
      <c r="AW422" s="4"/>
      <c r="AX422" s="4"/>
      <c r="AY422" s="112"/>
      <c r="BA422" s="114"/>
      <c r="CH422" s="4"/>
      <c r="CQ422" s="113"/>
      <c r="CS422" s="116"/>
      <c r="CV422" s="9"/>
      <c r="CW422" s="9"/>
      <c r="CX422" s="9"/>
      <c r="CY422" s="9"/>
      <c r="CZ422" s="139"/>
      <c r="DA422" s="139"/>
      <c r="DB422" s="139"/>
      <c r="DC422" s="139"/>
      <c r="DD422" s="139"/>
      <c r="DE422" s="139"/>
      <c r="DF422" s="139"/>
      <c r="DG422" s="139"/>
      <c r="DH422" s="139"/>
      <c r="DI422" s="13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</row>
    <row r="423" spans="1:220" s="99" customFormat="1">
      <c r="A423" s="109"/>
      <c r="C423" s="4"/>
      <c r="D423" s="110"/>
      <c r="F423" s="194"/>
      <c r="H423" s="110"/>
      <c r="AJ423" s="111"/>
      <c r="AK423" s="111"/>
      <c r="AW423" s="4"/>
      <c r="AX423" s="4"/>
      <c r="AY423" s="112"/>
      <c r="BA423" s="114"/>
      <c r="CH423" s="4"/>
      <c r="CQ423" s="113"/>
      <c r="CS423" s="116"/>
      <c r="CV423" s="9"/>
      <c r="CW423" s="9"/>
      <c r="CX423" s="9"/>
      <c r="CY423" s="9"/>
      <c r="CZ423" s="139"/>
      <c r="DA423" s="139"/>
      <c r="DB423" s="139"/>
      <c r="DC423" s="139"/>
      <c r="DD423" s="139"/>
      <c r="DE423" s="139"/>
      <c r="DF423" s="139"/>
      <c r="DG423" s="139"/>
      <c r="DH423" s="139"/>
      <c r="DI423" s="13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</row>
    <row r="424" spans="1:220" s="99" customFormat="1">
      <c r="A424" s="109"/>
      <c r="C424" s="4"/>
      <c r="D424" s="110"/>
      <c r="F424" s="194"/>
      <c r="H424" s="110"/>
      <c r="AJ424" s="111"/>
      <c r="AK424" s="111"/>
      <c r="AW424" s="4"/>
      <c r="AX424" s="4"/>
      <c r="AY424" s="112"/>
      <c r="BA424" s="114"/>
      <c r="CH424" s="4"/>
      <c r="CQ424" s="113"/>
      <c r="CS424" s="116"/>
      <c r="CV424" s="9"/>
      <c r="CW424" s="9"/>
      <c r="CX424" s="9"/>
      <c r="CY424" s="9"/>
      <c r="CZ424" s="139"/>
      <c r="DA424" s="139"/>
      <c r="DB424" s="139"/>
      <c r="DC424" s="139"/>
      <c r="DD424" s="139"/>
      <c r="DE424" s="139"/>
      <c r="DF424" s="139"/>
      <c r="DG424" s="139"/>
      <c r="DH424" s="139"/>
      <c r="DI424" s="13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</row>
    <row r="425" spans="1:220" s="99" customFormat="1">
      <c r="A425" s="109"/>
      <c r="C425" s="4"/>
      <c r="D425" s="110"/>
      <c r="F425" s="194"/>
      <c r="H425" s="110"/>
      <c r="AJ425" s="111"/>
      <c r="AK425" s="111"/>
      <c r="AW425" s="4"/>
      <c r="AX425" s="4"/>
      <c r="AY425" s="112"/>
      <c r="BA425" s="114"/>
      <c r="CH425" s="4"/>
      <c r="CQ425" s="113"/>
      <c r="CS425" s="116"/>
      <c r="CV425" s="9"/>
      <c r="CW425" s="9"/>
      <c r="CX425" s="9"/>
      <c r="CY425" s="9"/>
      <c r="CZ425" s="139"/>
      <c r="DA425" s="139"/>
      <c r="DB425" s="139"/>
      <c r="DC425" s="139"/>
      <c r="DD425" s="139"/>
      <c r="DE425" s="139"/>
      <c r="DF425" s="139"/>
      <c r="DG425" s="139"/>
      <c r="DH425" s="139"/>
      <c r="DI425" s="13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</row>
    <row r="426" spans="1:220" s="99" customFormat="1">
      <c r="A426" s="109"/>
      <c r="C426" s="4"/>
      <c r="D426" s="110"/>
      <c r="F426" s="194"/>
      <c r="H426" s="110"/>
      <c r="AJ426" s="111"/>
      <c r="AK426" s="111"/>
      <c r="AW426" s="4"/>
      <c r="AX426" s="4"/>
      <c r="AY426" s="112"/>
      <c r="BA426" s="114"/>
      <c r="CH426" s="4"/>
      <c r="CQ426" s="113"/>
      <c r="CS426" s="116"/>
      <c r="CV426" s="9"/>
      <c r="CW426" s="9"/>
      <c r="CX426" s="9"/>
      <c r="CY426" s="9"/>
      <c r="CZ426" s="139"/>
      <c r="DA426" s="139"/>
      <c r="DB426" s="139"/>
      <c r="DC426" s="139"/>
      <c r="DD426" s="139"/>
      <c r="DE426" s="139"/>
      <c r="DF426" s="139"/>
      <c r="DG426" s="139"/>
      <c r="DH426" s="139"/>
      <c r="DI426" s="13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</row>
    <row r="427" spans="1:220" s="99" customFormat="1">
      <c r="A427" s="109"/>
      <c r="C427" s="4"/>
      <c r="D427" s="110"/>
      <c r="F427" s="194"/>
      <c r="H427" s="110"/>
      <c r="AJ427" s="111"/>
      <c r="AK427" s="111"/>
      <c r="AW427" s="4"/>
      <c r="AX427" s="4"/>
      <c r="AY427" s="112"/>
      <c r="BA427" s="114"/>
      <c r="CH427" s="4"/>
      <c r="CQ427" s="113"/>
      <c r="CS427" s="116"/>
      <c r="CV427" s="9"/>
      <c r="CW427" s="9"/>
      <c r="CX427" s="9"/>
      <c r="CY427" s="9"/>
      <c r="CZ427" s="139"/>
      <c r="DA427" s="139"/>
      <c r="DB427" s="139"/>
      <c r="DC427" s="139"/>
      <c r="DD427" s="139"/>
      <c r="DE427" s="139"/>
      <c r="DF427" s="139"/>
      <c r="DG427" s="139"/>
      <c r="DH427" s="139"/>
      <c r="DI427" s="13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</row>
    <row r="428" spans="1:220" s="99" customFormat="1">
      <c r="A428" s="109"/>
      <c r="C428" s="4"/>
      <c r="D428" s="110"/>
      <c r="F428" s="194"/>
      <c r="H428" s="110"/>
      <c r="AJ428" s="111"/>
      <c r="AK428" s="111"/>
      <c r="AW428" s="4"/>
      <c r="AX428" s="4"/>
      <c r="AY428" s="112"/>
      <c r="BA428" s="114"/>
      <c r="CH428" s="4"/>
      <c r="CQ428" s="113"/>
      <c r="CS428" s="116"/>
      <c r="CV428" s="9"/>
      <c r="CW428" s="9"/>
      <c r="CX428" s="9"/>
      <c r="CY428" s="9"/>
      <c r="CZ428" s="139"/>
      <c r="DA428" s="139"/>
      <c r="DB428" s="139"/>
      <c r="DC428" s="139"/>
      <c r="DD428" s="139"/>
      <c r="DE428" s="139"/>
      <c r="DF428" s="139"/>
      <c r="DG428" s="139"/>
      <c r="DH428" s="139"/>
      <c r="DI428" s="13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</row>
    <row r="429" spans="1:220" s="99" customFormat="1">
      <c r="A429" s="109"/>
      <c r="C429" s="4"/>
      <c r="D429" s="110"/>
      <c r="F429" s="194"/>
      <c r="H429" s="110"/>
      <c r="AJ429" s="111"/>
      <c r="AK429" s="111"/>
      <c r="AW429" s="4"/>
      <c r="AX429" s="4"/>
      <c r="AY429" s="112"/>
      <c r="BA429" s="114"/>
      <c r="CH429" s="4"/>
      <c r="CQ429" s="113"/>
      <c r="CS429" s="116"/>
      <c r="CV429" s="9"/>
      <c r="CW429" s="9"/>
      <c r="CX429" s="9"/>
      <c r="CY429" s="9"/>
      <c r="CZ429" s="139"/>
      <c r="DA429" s="139"/>
      <c r="DB429" s="139"/>
      <c r="DC429" s="139"/>
      <c r="DD429" s="139"/>
      <c r="DE429" s="139"/>
      <c r="DF429" s="139"/>
      <c r="DG429" s="139"/>
      <c r="DH429" s="139"/>
      <c r="DI429" s="13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</row>
    <row r="430" spans="1:220" s="99" customFormat="1">
      <c r="A430" s="109"/>
      <c r="C430" s="4"/>
      <c r="D430" s="110"/>
      <c r="F430" s="194"/>
      <c r="H430" s="110"/>
      <c r="AJ430" s="111"/>
      <c r="AK430" s="111"/>
      <c r="AW430" s="4"/>
      <c r="AX430" s="4"/>
      <c r="AY430" s="112"/>
      <c r="BA430" s="114"/>
      <c r="CH430" s="4"/>
      <c r="CQ430" s="113"/>
      <c r="CS430" s="116"/>
      <c r="CV430" s="9"/>
      <c r="CW430" s="9"/>
      <c r="CX430" s="9"/>
      <c r="CY430" s="9"/>
      <c r="CZ430" s="139"/>
      <c r="DA430" s="139"/>
      <c r="DB430" s="139"/>
      <c r="DC430" s="139"/>
      <c r="DD430" s="139"/>
      <c r="DE430" s="139"/>
      <c r="DF430" s="139"/>
      <c r="DG430" s="139"/>
      <c r="DH430" s="139"/>
      <c r="DI430" s="13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</row>
    <row r="431" spans="1:220" s="99" customFormat="1">
      <c r="A431" s="109"/>
      <c r="C431" s="4"/>
      <c r="D431" s="110"/>
      <c r="F431" s="194"/>
      <c r="H431" s="110"/>
      <c r="AJ431" s="111"/>
      <c r="AK431" s="111"/>
      <c r="AW431" s="4"/>
      <c r="AX431" s="4"/>
      <c r="AY431" s="112"/>
      <c r="BA431" s="114"/>
      <c r="CH431" s="4"/>
      <c r="CQ431" s="113"/>
      <c r="CS431" s="116"/>
      <c r="CV431" s="9"/>
      <c r="CW431" s="9"/>
      <c r="CX431" s="9"/>
      <c r="CY431" s="9"/>
      <c r="CZ431" s="139"/>
      <c r="DA431" s="139"/>
      <c r="DB431" s="139"/>
      <c r="DC431" s="139"/>
      <c r="DD431" s="139"/>
      <c r="DE431" s="139"/>
      <c r="DF431" s="139"/>
      <c r="DG431" s="139"/>
      <c r="DH431" s="139"/>
      <c r="DI431" s="13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</row>
    <row r="432" spans="1:220" s="99" customFormat="1">
      <c r="A432" s="109"/>
      <c r="C432" s="4"/>
      <c r="D432" s="110"/>
      <c r="F432" s="194"/>
      <c r="H432" s="110"/>
      <c r="AJ432" s="111"/>
      <c r="AK432" s="111"/>
      <c r="AW432" s="4"/>
      <c r="AX432" s="4"/>
      <c r="AY432" s="112"/>
      <c r="BA432" s="114"/>
      <c r="CH432" s="4"/>
      <c r="CQ432" s="113"/>
      <c r="CS432" s="116"/>
      <c r="CV432" s="9"/>
      <c r="CW432" s="9"/>
      <c r="CX432" s="9"/>
      <c r="CY432" s="9"/>
      <c r="CZ432" s="139"/>
      <c r="DA432" s="139"/>
      <c r="DB432" s="139"/>
      <c r="DC432" s="139"/>
      <c r="DD432" s="139"/>
      <c r="DE432" s="139"/>
      <c r="DF432" s="139"/>
      <c r="DG432" s="139"/>
      <c r="DH432" s="139"/>
      <c r="DI432" s="13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</row>
    <row r="433" spans="1:220" s="99" customFormat="1">
      <c r="A433" s="109"/>
      <c r="C433" s="4"/>
      <c r="D433" s="110"/>
      <c r="F433" s="194"/>
      <c r="H433" s="110"/>
      <c r="AJ433" s="111"/>
      <c r="AK433" s="111"/>
      <c r="AW433" s="4"/>
      <c r="AX433" s="4"/>
      <c r="AY433" s="112"/>
      <c r="BA433" s="114"/>
      <c r="CH433" s="4"/>
      <c r="CQ433" s="113"/>
      <c r="CS433" s="116"/>
      <c r="CV433" s="9"/>
      <c r="CW433" s="9"/>
      <c r="CX433" s="9"/>
      <c r="CY433" s="9"/>
      <c r="CZ433" s="139"/>
      <c r="DA433" s="139"/>
      <c r="DB433" s="139"/>
      <c r="DC433" s="139"/>
      <c r="DD433" s="139"/>
      <c r="DE433" s="139"/>
      <c r="DF433" s="139"/>
      <c r="DG433" s="139"/>
      <c r="DH433" s="139"/>
      <c r="DI433" s="13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  <c r="HJ433" s="9"/>
      <c r="HK433" s="9"/>
      <c r="HL433" s="9"/>
    </row>
    <row r="434" spans="1:220" s="99" customFormat="1">
      <c r="A434" s="109"/>
      <c r="C434" s="4"/>
      <c r="D434" s="110"/>
      <c r="F434" s="194"/>
      <c r="H434" s="110"/>
      <c r="AJ434" s="111"/>
      <c r="AK434" s="111"/>
      <c r="AW434" s="4"/>
      <c r="AX434" s="4"/>
      <c r="AY434" s="112"/>
      <c r="BA434" s="114"/>
      <c r="CH434" s="4"/>
      <c r="CQ434" s="113"/>
      <c r="CS434" s="116"/>
      <c r="CV434" s="9"/>
      <c r="CW434" s="9"/>
      <c r="CX434" s="9"/>
      <c r="CY434" s="9"/>
      <c r="CZ434" s="139"/>
      <c r="DA434" s="139"/>
      <c r="DB434" s="139"/>
      <c r="DC434" s="139"/>
      <c r="DD434" s="139"/>
      <c r="DE434" s="139"/>
      <c r="DF434" s="139"/>
      <c r="DG434" s="139"/>
      <c r="DH434" s="139"/>
      <c r="DI434" s="13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</row>
    <row r="435" spans="1:220" s="99" customFormat="1">
      <c r="A435" s="109"/>
      <c r="C435" s="4"/>
      <c r="D435" s="110"/>
      <c r="F435" s="194"/>
      <c r="H435" s="110"/>
      <c r="AJ435" s="111"/>
      <c r="AK435" s="111"/>
      <c r="AW435" s="4"/>
      <c r="AX435" s="4"/>
      <c r="AY435" s="112"/>
      <c r="BA435" s="114"/>
      <c r="CH435" s="4"/>
      <c r="CQ435" s="113"/>
      <c r="CS435" s="116"/>
      <c r="CV435" s="9"/>
      <c r="CW435" s="9"/>
      <c r="CX435" s="9"/>
      <c r="CY435" s="9"/>
      <c r="CZ435" s="139"/>
      <c r="DA435" s="139"/>
      <c r="DB435" s="139"/>
      <c r="DC435" s="139"/>
      <c r="DD435" s="139"/>
      <c r="DE435" s="139"/>
      <c r="DF435" s="139"/>
      <c r="DG435" s="139"/>
      <c r="DH435" s="139"/>
      <c r="DI435" s="13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  <c r="HJ435" s="9"/>
      <c r="HK435" s="9"/>
      <c r="HL435" s="9"/>
    </row>
    <row r="436" spans="1:220" s="99" customFormat="1">
      <c r="A436" s="109"/>
      <c r="C436" s="4"/>
      <c r="D436" s="110"/>
      <c r="F436" s="194"/>
      <c r="H436" s="110"/>
      <c r="AJ436" s="111"/>
      <c r="AK436" s="111"/>
      <c r="AW436" s="4"/>
      <c r="AX436" s="4"/>
      <c r="AY436" s="112"/>
      <c r="BA436" s="114"/>
      <c r="CH436" s="4"/>
      <c r="CQ436" s="113"/>
      <c r="CS436" s="116"/>
      <c r="CV436" s="9"/>
      <c r="CW436" s="9"/>
      <c r="CX436" s="9"/>
      <c r="CY436" s="9"/>
      <c r="CZ436" s="139"/>
      <c r="DA436" s="139"/>
      <c r="DB436" s="139"/>
      <c r="DC436" s="139"/>
      <c r="DD436" s="139"/>
      <c r="DE436" s="139"/>
      <c r="DF436" s="139"/>
      <c r="DG436" s="139"/>
      <c r="DH436" s="139"/>
      <c r="DI436" s="13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</row>
    <row r="437" spans="1:220" s="99" customFormat="1">
      <c r="A437" s="109"/>
      <c r="C437" s="4"/>
      <c r="D437" s="110"/>
      <c r="F437" s="194"/>
      <c r="H437" s="110"/>
      <c r="AJ437" s="111"/>
      <c r="AK437" s="111"/>
      <c r="AW437" s="4"/>
      <c r="AX437" s="4"/>
      <c r="AY437" s="112"/>
      <c r="BA437" s="114"/>
      <c r="CH437" s="4"/>
      <c r="CQ437" s="113"/>
      <c r="CS437" s="116"/>
      <c r="CV437" s="9"/>
      <c r="CW437" s="9"/>
      <c r="CX437" s="9"/>
      <c r="CY437" s="9"/>
      <c r="CZ437" s="139"/>
      <c r="DA437" s="139"/>
      <c r="DB437" s="139"/>
      <c r="DC437" s="139"/>
      <c r="DD437" s="139"/>
      <c r="DE437" s="139"/>
      <c r="DF437" s="139"/>
      <c r="DG437" s="139"/>
      <c r="DH437" s="139"/>
      <c r="DI437" s="13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  <c r="HJ437" s="9"/>
      <c r="HK437" s="9"/>
      <c r="HL437" s="9"/>
    </row>
    <row r="438" spans="1:220" s="99" customFormat="1">
      <c r="A438" s="109"/>
      <c r="C438" s="4"/>
      <c r="D438" s="110"/>
      <c r="F438" s="194"/>
      <c r="H438" s="110"/>
      <c r="AJ438" s="111"/>
      <c r="AK438" s="111"/>
      <c r="AW438" s="4"/>
      <c r="AX438" s="4"/>
      <c r="AY438" s="112"/>
      <c r="BA438" s="114"/>
      <c r="CH438" s="4"/>
      <c r="CQ438" s="113"/>
      <c r="CS438" s="116"/>
      <c r="CV438" s="9"/>
      <c r="CW438" s="9"/>
      <c r="CX438" s="9"/>
      <c r="CY438" s="9"/>
      <c r="CZ438" s="139"/>
      <c r="DA438" s="139"/>
      <c r="DB438" s="139"/>
      <c r="DC438" s="139"/>
      <c r="DD438" s="139"/>
      <c r="DE438" s="139"/>
      <c r="DF438" s="139"/>
      <c r="DG438" s="139"/>
      <c r="DH438" s="139"/>
      <c r="DI438" s="13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</row>
    <row r="439" spans="1:220" s="99" customFormat="1">
      <c r="A439" s="109"/>
      <c r="C439" s="4"/>
      <c r="D439" s="110"/>
      <c r="F439" s="194"/>
      <c r="H439" s="110"/>
      <c r="AJ439" s="111"/>
      <c r="AK439" s="111"/>
      <c r="AW439" s="4"/>
      <c r="AX439" s="4"/>
      <c r="AY439" s="112"/>
      <c r="BA439" s="114"/>
      <c r="CH439" s="4"/>
      <c r="CQ439" s="113"/>
      <c r="CS439" s="116"/>
      <c r="CV439" s="9"/>
      <c r="CW439" s="9"/>
      <c r="CX439" s="9"/>
      <c r="CY439" s="9"/>
      <c r="CZ439" s="139"/>
      <c r="DA439" s="139"/>
      <c r="DB439" s="139"/>
      <c r="DC439" s="139"/>
      <c r="DD439" s="139"/>
      <c r="DE439" s="139"/>
      <c r="DF439" s="139"/>
      <c r="DG439" s="139"/>
      <c r="DH439" s="139"/>
      <c r="DI439" s="13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</row>
    <row r="440" spans="1:220" s="99" customFormat="1">
      <c r="A440" s="109"/>
      <c r="C440" s="4"/>
      <c r="D440" s="110"/>
      <c r="F440" s="194"/>
      <c r="H440" s="110"/>
      <c r="AJ440" s="111"/>
      <c r="AK440" s="111"/>
      <c r="AW440" s="4"/>
      <c r="AX440" s="4"/>
      <c r="AY440" s="112"/>
      <c r="BA440" s="114"/>
      <c r="CH440" s="4"/>
      <c r="CQ440" s="113"/>
      <c r="CS440" s="116"/>
      <c r="CV440" s="9"/>
      <c r="CW440" s="9"/>
      <c r="CX440" s="9"/>
      <c r="CY440" s="9"/>
      <c r="CZ440" s="139"/>
      <c r="DA440" s="139"/>
      <c r="DB440" s="139"/>
      <c r="DC440" s="139"/>
      <c r="DD440" s="139"/>
      <c r="DE440" s="139"/>
      <c r="DF440" s="139"/>
      <c r="DG440" s="139"/>
      <c r="DH440" s="139"/>
      <c r="DI440" s="13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</row>
    <row r="441" spans="1:220" s="99" customFormat="1">
      <c r="A441" s="109"/>
      <c r="C441" s="4"/>
      <c r="D441" s="110"/>
      <c r="F441" s="194"/>
      <c r="H441" s="110"/>
      <c r="AJ441" s="111"/>
      <c r="AK441" s="111"/>
      <c r="AW441" s="4"/>
      <c r="AX441" s="4"/>
      <c r="AY441" s="112"/>
      <c r="BA441" s="114"/>
      <c r="CH441" s="4"/>
      <c r="CQ441" s="113"/>
      <c r="CS441" s="116"/>
      <c r="CV441" s="9"/>
      <c r="CW441" s="9"/>
      <c r="CX441" s="9"/>
      <c r="CY441" s="9"/>
      <c r="CZ441" s="139"/>
      <c r="DA441" s="139"/>
      <c r="DB441" s="139"/>
      <c r="DC441" s="139"/>
      <c r="DD441" s="139"/>
      <c r="DE441" s="139"/>
      <c r="DF441" s="139"/>
      <c r="DG441" s="139"/>
      <c r="DH441" s="139"/>
      <c r="DI441" s="13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</row>
    <row r="442" spans="1:220" s="99" customFormat="1">
      <c r="A442" s="109"/>
      <c r="C442" s="4"/>
      <c r="D442" s="110"/>
      <c r="F442" s="194"/>
      <c r="H442" s="110"/>
      <c r="AJ442" s="111"/>
      <c r="AK442" s="111"/>
      <c r="AW442" s="4"/>
      <c r="AX442" s="4"/>
      <c r="AY442" s="112"/>
      <c r="BA442" s="114"/>
      <c r="CH442" s="4"/>
      <c r="CQ442" s="113"/>
      <c r="CS442" s="116"/>
      <c r="CV442" s="9"/>
      <c r="CW442" s="9"/>
      <c r="CX442" s="9"/>
      <c r="CY442" s="9"/>
      <c r="CZ442" s="139"/>
      <c r="DA442" s="139"/>
      <c r="DB442" s="139"/>
      <c r="DC442" s="139"/>
      <c r="DD442" s="139"/>
      <c r="DE442" s="139"/>
      <c r="DF442" s="139"/>
      <c r="DG442" s="139"/>
      <c r="DH442" s="139"/>
      <c r="DI442" s="13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</row>
    <row r="443" spans="1:220" s="99" customFormat="1">
      <c r="A443" s="109"/>
      <c r="C443" s="4"/>
      <c r="D443" s="110"/>
      <c r="F443" s="194"/>
      <c r="H443" s="110"/>
      <c r="AJ443" s="111"/>
      <c r="AK443" s="111"/>
      <c r="AW443" s="4"/>
      <c r="AX443" s="4"/>
      <c r="AY443" s="112"/>
      <c r="BA443" s="114"/>
      <c r="CH443" s="4"/>
      <c r="CQ443" s="113"/>
      <c r="CS443" s="116"/>
      <c r="CV443" s="9"/>
      <c r="CW443" s="9"/>
      <c r="CX443" s="9"/>
      <c r="CY443" s="9"/>
      <c r="CZ443" s="139"/>
      <c r="DA443" s="139"/>
      <c r="DB443" s="139"/>
      <c r="DC443" s="139"/>
      <c r="DD443" s="139"/>
      <c r="DE443" s="139"/>
      <c r="DF443" s="139"/>
      <c r="DG443" s="139"/>
      <c r="DH443" s="139"/>
      <c r="DI443" s="13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</row>
    <row r="444" spans="1:220" s="99" customFormat="1">
      <c r="A444" s="109"/>
      <c r="C444" s="4"/>
      <c r="D444" s="110"/>
      <c r="F444" s="194"/>
      <c r="H444" s="110"/>
      <c r="AJ444" s="111"/>
      <c r="AK444" s="111"/>
      <c r="AW444" s="4"/>
      <c r="AX444" s="4"/>
      <c r="AY444" s="112"/>
      <c r="BA444" s="114"/>
      <c r="CH444" s="4"/>
      <c r="CQ444" s="113"/>
      <c r="CS444" s="116"/>
      <c r="CV444" s="9"/>
      <c r="CW444" s="9"/>
      <c r="CX444" s="9"/>
      <c r="CY444" s="9"/>
      <c r="CZ444" s="139"/>
      <c r="DA444" s="139"/>
      <c r="DB444" s="139"/>
      <c r="DC444" s="139"/>
      <c r="DD444" s="139"/>
      <c r="DE444" s="139"/>
      <c r="DF444" s="139"/>
      <c r="DG444" s="139"/>
      <c r="DH444" s="139"/>
      <c r="DI444" s="13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</row>
    <row r="445" spans="1:220" s="99" customFormat="1">
      <c r="A445" s="109"/>
      <c r="C445" s="4"/>
      <c r="D445" s="110"/>
      <c r="F445" s="194"/>
      <c r="H445" s="110"/>
      <c r="AJ445" s="111"/>
      <c r="AK445" s="111"/>
      <c r="AW445" s="4"/>
      <c r="AX445" s="4"/>
      <c r="AY445" s="112"/>
      <c r="BA445" s="114"/>
      <c r="CH445" s="4"/>
      <c r="CQ445" s="113"/>
      <c r="CS445" s="116"/>
      <c r="CV445" s="9"/>
      <c r="CW445" s="9"/>
      <c r="CX445" s="9"/>
      <c r="CY445" s="9"/>
      <c r="CZ445" s="139"/>
      <c r="DA445" s="139"/>
      <c r="DB445" s="139"/>
      <c r="DC445" s="139"/>
      <c r="DD445" s="139"/>
      <c r="DE445" s="139"/>
      <c r="DF445" s="139"/>
      <c r="DG445" s="139"/>
      <c r="DH445" s="139"/>
      <c r="DI445" s="13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</row>
    <row r="446" spans="1:220" s="99" customFormat="1">
      <c r="A446" s="109"/>
      <c r="C446" s="4"/>
      <c r="D446" s="110"/>
      <c r="F446" s="194"/>
      <c r="H446" s="110"/>
      <c r="AJ446" s="111"/>
      <c r="AK446" s="111"/>
      <c r="AW446" s="4"/>
      <c r="AX446" s="4"/>
      <c r="AY446" s="112"/>
      <c r="BA446" s="114"/>
      <c r="CH446" s="4"/>
      <c r="CQ446" s="113"/>
      <c r="CS446" s="116"/>
      <c r="CV446" s="9"/>
      <c r="CW446" s="9"/>
      <c r="CX446" s="9"/>
      <c r="CY446" s="9"/>
      <c r="CZ446" s="139"/>
      <c r="DA446" s="139"/>
      <c r="DB446" s="139"/>
      <c r="DC446" s="139"/>
      <c r="DD446" s="139"/>
      <c r="DE446" s="139"/>
      <c r="DF446" s="139"/>
      <c r="DG446" s="139"/>
      <c r="DH446" s="139"/>
      <c r="DI446" s="13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</row>
    <row r="447" spans="1:220" s="99" customFormat="1">
      <c r="A447" s="109"/>
      <c r="C447" s="4"/>
      <c r="D447" s="110"/>
      <c r="F447" s="194"/>
      <c r="H447" s="110"/>
      <c r="AJ447" s="111"/>
      <c r="AK447" s="111"/>
      <c r="AW447" s="4"/>
      <c r="AX447" s="4"/>
      <c r="AY447" s="112"/>
      <c r="BA447" s="114"/>
      <c r="CH447" s="4"/>
      <c r="CQ447" s="113"/>
      <c r="CS447" s="116"/>
      <c r="CV447" s="9"/>
      <c r="CW447" s="9"/>
      <c r="CX447" s="9"/>
      <c r="CY447" s="9"/>
      <c r="CZ447" s="139"/>
      <c r="DA447" s="139"/>
      <c r="DB447" s="139"/>
      <c r="DC447" s="139"/>
      <c r="DD447" s="139"/>
      <c r="DE447" s="139"/>
      <c r="DF447" s="139"/>
      <c r="DG447" s="139"/>
      <c r="DH447" s="139"/>
      <c r="DI447" s="13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</row>
    <row r="448" spans="1:220" s="99" customFormat="1">
      <c r="A448" s="109"/>
      <c r="C448" s="4"/>
      <c r="D448" s="110"/>
      <c r="F448" s="194"/>
      <c r="H448" s="110"/>
      <c r="AJ448" s="111"/>
      <c r="AK448" s="111"/>
      <c r="AW448" s="4"/>
      <c r="AX448" s="4"/>
      <c r="AY448" s="112"/>
      <c r="BA448" s="114"/>
      <c r="CH448" s="4"/>
      <c r="CQ448" s="113"/>
      <c r="CS448" s="116"/>
      <c r="CV448" s="9"/>
      <c r="CW448" s="9"/>
      <c r="CX448" s="9"/>
      <c r="CY448" s="9"/>
      <c r="CZ448" s="139"/>
      <c r="DA448" s="139"/>
      <c r="DB448" s="139"/>
      <c r="DC448" s="139"/>
      <c r="DD448" s="139"/>
      <c r="DE448" s="139"/>
      <c r="DF448" s="139"/>
      <c r="DG448" s="139"/>
      <c r="DH448" s="139"/>
      <c r="DI448" s="13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  <c r="HJ448" s="9"/>
      <c r="HK448" s="9"/>
      <c r="HL448" s="9"/>
    </row>
    <row r="449" spans="1:220" s="99" customFormat="1">
      <c r="A449" s="109"/>
      <c r="C449" s="4"/>
      <c r="D449" s="110"/>
      <c r="F449" s="194"/>
      <c r="H449" s="110"/>
      <c r="AJ449" s="111"/>
      <c r="AK449" s="111"/>
      <c r="AW449" s="4"/>
      <c r="AX449" s="4"/>
      <c r="AY449" s="112"/>
      <c r="BA449" s="114"/>
      <c r="CH449" s="4"/>
      <c r="CQ449" s="113"/>
      <c r="CS449" s="116"/>
      <c r="CV449" s="9"/>
      <c r="CW449" s="9"/>
      <c r="CX449" s="9"/>
      <c r="CY449" s="9"/>
      <c r="CZ449" s="139"/>
      <c r="DA449" s="139"/>
      <c r="DB449" s="139"/>
      <c r="DC449" s="139"/>
      <c r="DD449" s="139"/>
      <c r="DE449" s="139"/>
      <c r="DF449" s="139"/>
      <c r="DG449" s="139"/>
      <c r="DH449" s="139"/>
      <c r="DI449" s="13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</row>
    <row r="450" spans="1:220" s="99" customFormat="1">
      <c r="A450" s="109"/>
      <c r="C450" s="4"/>
      <c r="D450" s="110"/>
      <c r="F450" s="194"/>
      <c r="H450" s="110"/>
      <c r="AJ450" s="111"/>
      <c r="AK450" s="111"/>
      <c r="AW450" s="4"/>
      <c r="AX450" s="4"/>
      <c r="AY450" s="112"/>
      <c r="BA450" s="114"/>
      <c r="CH450" s="4"/>
      <c r="CQ450" s="113"/>
      <c r="CS450" s="116"/>
      <c r="CV450" s="9"/>
      <c r="CW450" s="9"/>
      <c r="CX450" s="9"/>
      <c r="CY450" s="9"/>
      <c r="CZ450" s="139"/>
      <c r="DA450" s="139"/>
      <c r="DB450" s="139"/>
      <c r="DC450" s="139"/>
      <c r="DD450" s="139"/>
      <c r="DE450" s="139"/>
      <c r="DF450" s="139"/>
      <c r="DG450" s="139"/>
      <c r="DH450" s="139"/>
      <c r="DI450" s="13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</row>
    <row r="451" spans="1:220" s="99" customFormat="1">
      <c r="A451" s="109"/>
      <c r="C451" s="4"/>
      <c r="D451" s="110"/>
      <c r="F451" s="194"/>
      <c r="H451" s="110"/>
      <c r="AJ451" s="111"/>
      <c r="AK451" s="111"/>
      <c r="AW451" s="4"/>
      <c r="AX451" s="4"/>
      <c r="AY451" s="112"/>
      <c r="BA451" s="114"/>
      <c r="CH451" s="4"/>
      <c r="CQ451" s="113"/>
      <c r="CS451" s="116"/>
      <c r="CV451" s="9"/>
      <c r="CW451" s="9"/>
      <c r="CX451" s="9"/>
      <c r="CY451" s="9"/>
      <c r="CZ451" s="139"/>
      <c r="DA451" s="139"/>
      <c r="DB451" s="139"/>
      <c r="DC451" s="139"/>
      <c r="DD451" s="139"/>
      <c r="DE451" s="139"/>
      <c r="DF451" s="139"/>
      <c r="DG451" s="139"/>
      <c r="DH451" s="139"/>
      <c r="DI451" s="13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</row>
    <row r="452" spans="1:220" s="99" customFormat="1">
      <c r="A452" s="109"/>
      <c r="C452" s="4"/>
      <c r="D452" s="110"/>
      <c r="F452" s="194"/>
      <c r="H452" s="110"/>
      <c r="AJ452" s="111"/>
      <c r="AK452" s="111"/>
      <c r="AW452" s="4"/>
      <c r="AX452" s="4"/>
      <c r="AY452" s="112"/>
      <c r="BA452" s="114"/>
      <c r="CH452" s="4"/>
      <c r="CQ452" s="113"/>
      <c r="CS452" s="116"/>
      <c r="CV452" s="9"/>
      <c r="CW452" s="9"/>
      <c r="CX452" s="9"/>
      <c r="CY452" s="9"/>
      <c r="CZ452" s="139"/>
      <c r="DA452" s="139"/>
      <c r="DB452" s="139"/>
      <c r="DC452" s="139"/>
      <c r="DD452" s="139"/>
      <c r="DE452" s="139"/>
      <c r="DF452" s="139"/>
      <c r="DG452" s="139"/>
      <c r="DH452" s="139"/>
      <c r="DI452" s="13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</row>
    <row r="453" spans="1:220" s="99" customFormat="1">
      <c r="A453" s="109"/>
      <c r="C453" s="4"/>
      <c r="D453" s="110"/>
      <c r="F453" s="194"/>
      <c r="H453" s="110"/>
      <c r="AJ453" s="111"/>
      <c r="AK453" s="111"/>
      <c r="AW453" s="4"/>
      <c r="AX453" s="4"/>
      <c r="AY453" s="112"/>
      <c r="BA453" s="114"/>
      <c r="CH453" s="4"/>
      <c r="CQ453" s="113"/>
      <c r="CS453" s="116"/>
      <c r="CV453" s="9"/>
      <c r="CW453" s="9"/>
      <c r="CX453" s="9"/>
      <c r="CY453" s="9"/>
      <c r="CZ453" s="139"/>
      <c r="DA453" s="139"/>
      <c r="DB453" s="139"/>
      <c r="DC453" s="139"/>
      <c r="DD453" s="139"/>
      <c r="DE453" s="139"/>
      <c r="DF453" s="139"/>
      <c r="DG453" s="139"/>
      <c r="DH453" s="139"/>
      <c r="DI453" s="13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</row>
    <row r="454" spans="1:220" s="99" customFormat="1">
      <c r="A454" s="109"/>
      <c r="C454" s="4"/>
      <c r="D454" s="110"/>
      <c r="F454" s="194"/>
      <c r="H454" s="110"/>
      <c r="AJ454" s="111"/>
      <c r="AK454" s="111"/>
      <c r="AW454" s="4"/>
      <c r="AX454" s="4"/>
      <c r="AY454" s="112"/>
      <c r="BA454" s="114"/>
      <c r="CH454" s="4"/>
      <c r="CQ454" s="113"/>
      <c r="CS454" s="116"/>
      <c r="CV454" s="9"/>
      <c r="CW454" s="9"/>
      <c r="CX454" s="9"/>
      <c r="CY454" s="9"/>
      <c r="CZ454" s="139"/>
      <c r="DA454" s="139"/>
      <c r="DB454" s="139"/>
      <c r="DC454" s="139"/>
      <c r="DD454" s="139"/>
      <c r="DE454" s="139"/>
      <c r="DF454" s="139"/>
      <c r="DG454" s="139"/>
      <c r="DH454" s="139"/>
      <c r="DI454" s="13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</row>
    <row r="455" spans="1:220" s="99" customFormat="1">
      <c r="A455" s="109"/>
      <c r="C455" s="4"/>
      <c r="D455" s="110"/>
      <c r="F455" s="194"/>
      <c r="H455" s="110"/>
      <c r="AJ455" s="111"/>
      <c r="AK455" s="111"/>
      <c r="AW455" s="4"/>
      <c r="AX455" s="4"/>
      <c r="AY455" s="112"/>
      <c r="BA455" s="114"/>
      <c r="CH455" s="4"/>
      <c r="CQ455" s="113"/>
      <c r="CS455" s="116"/>
      <c r="CV455" s="9"/>
      <c r="CW455" s="9"/>
      <c r="CX455" s="9"/>
      <c r="CY455" s="9"/>
      <c r="CZ455" s="139"/>
      <c r="DA455" s="139"/>
      <c r="DB455" s="139"/>
      <c r="DC455" s="139"/>
      <c r="DD455" s="139"/>
      <c r="DE455" s="139"/>
      <c r="DF455" s="139"/>
      <c r="DG455" s="139"/>
      <c r="DH455" s="139"/>
      <c r="DI455" s="13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</row>
    <row r="456" spans="1:220" s="99" customFormat="1">
      <c r="A456" s="109"/>
      <c r="C456" s="4"/>
      <c r="D456" s="110"/>
      <c r="F456" s="194"/>
      <c r="H456" s="110"/>
      <c r="AJ456" s="111"/>
      <c r="AK456" s="111"/>
      <c r="AW456" s="4"/>
      <c r="AX456" s="4"/>
      <c r="AY456" s="112"/>
      <c r="BA456" s="114"/>
      <c r="CH456" s="4"/>
      <c r="CQ456" s="113"/>
      <c r="CS456" s="116"/>
      <c r="CV456" s="9"/>
      <c r="CW456" s="9"/>
      <c r="CX456" s="9"/>
      <c r="CY456" s="9"/>
      <c r="CZ456" s="139"/>
      <c r="DA456" s="139"/>
      <c r="DB456" s="139"/>
      <c r="DC456" s="139"/>
      <c r="DD456" s="139"/>
      <c r="DE456" s="139"/>
      <c r="DF456" s="139"/>
      <c r="DG456" s="139"/>
      <c r="DH456" s="139"/>
      <c r="DI456" s="13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</row>
    <row r="457" spans="1:220" s="99" customFormat="1">
      <c r="A457" s="109"/>
      <c r="C457" s="4"/>
      <c r="D457" s="110"/>
      <c r="F457" s="219"/>
      <c r="H457" s="110"/>
      <c r="AJ457" s="111"/>
      <c r="AK457" s="111"/>
      <c r="AW457" s="4"/>
      <c r="AX457" s="4"/>
      <c r="AY457" s="112"/>
      <c r="BA457" s="114"/>
      <c r="CH457" s="4"/>
      <c r="CQ457" s="113"/>
      <c r="CS457" s="116"/>
      <c r="CV457" s="9"/>
      <c r="CW457" s="9"/>
      <c r="CX457" s="9"/>
      <c r="CY457" s="9"/>
      <c r="CZ457" s="139"/>
      <c r="DA457" s="139"/>
      <c r="DB457" s="139"/>
      <c r="DC457" s="139"/>
      <c r="DD457" s="139"/>
      <c r="DE457" s="139"/>
      <c r="DF457" s="139"/>
      <c r="DG457" s="139"/>
      <c r="DH457" s="139"/>
      <c r="DI457" s="13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</row>
    <row r="458" spans="1:220" s="99" customFormat="1">
      <c r="A458" s="109"/>
      <c r="C458" s="4"/>
      <c r="D458" s="110"/>
      <c r="F458" s="219"/>
      <c r="H458" s="110"/>
      <c r="AJ458" s="111"/>
      <c r="AK458" s="111"/>
      <c r="AW458" s="4"/>
      <c r="AX458" s="4"/>
      <c r="AY458" s="112"/>
      <c r="BA458" s="114"/>
      <c r="CH458" s="4"/>
      <c r="CQ458" s="113"/>
      <c r="CS458" s="116"/>
      <c r="CV458" s="9"/>
      <c r="CW458" s="9"/>
      <c r="CX458" s="9"/>
      <c r="CY458" s="9"/>
      <c r="CZ458" s="139"/>
      <c r="DA458" s="139"/>
      <c r="DB458" s="139"/>
      <c r="DC458" s="139"/>
      <c r="DD458" s="139"/>
      <c r="DE458" s="139"/>
      <c r="DF458" s="139"/>
      <c r="DG458" s="139"/>
      <c r="DH458" s="139"/>
      <c r="DI458" s="13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</row>
    <row r="459" spans="1:220" s="99" customFormat="1">
      <c r="A459" s="109"/>
      <c r="C459" s="4"/>
      <c r="D459" s="110"/>
      <c r="F459" s="219"/>
      <c r="H459" s="110"/>
      <c r="AJ459" s="111"/>
      <c r="AK459" s="111"/>
      <c r="AW459" s="4"/>
      <c r="AX459" s="4"/>
      <c r="AY459" s="112"/>
      <c r="BA459" s="114"/>
      <c r="CH459" s="4"/>
      <c r="CQ459" s="113"/>
      <c r="CS459" s="116"/>
      <c r="CV459" s="9"/>
      <c r="CW459" s="9"/>
      <c r="CX459" s="9"/>
      <c r="CY459" s="9"/>
      <c r="CZ459" s="139"/>
      <c r="DA459" s="139"/>
      <c r="DB459" s="139"/>
      <c r="DC459" s="139"/>
      <c r="DD459" s="139"/>
      <c r="DE459" s="139"/>
      <c r="DF459" s="139"/>
      <c r="DG459" s="139"/>
      <c r="DH459" s="139"/>
      <c r="DI459" s="13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  <c r="HJ459" s="9"/>
      <c r="HK459" s="9"/>
      <c r="HL459" s="9"/>
    </row>
    <row r="460" spans="1:220" s="99" customFormat="1">
      <c r="A460" s="109"/>
      <c r="C460" s="4"/>
      <c r="D460" s="110"/>
      <c r="F460" s="219"/>
      <c r="H460" s="110"/>
      <c r="AJ460" s="111"/>
      <c r="AK460" s="111"/>
      <c r="AW460" s="4"/>
      <c r="AX460" s="4"/>
      <c r="AY460" s="112"/>
      <c r="BA460" s="114"/>
      <c r="CH460" s="4"/>
      <c r="CQ460" s="113"/>
      <c r="CS460" s="116"/>
      <c r="CV460" s="9"/>
      <c r="CW460" s="9"/>
      <c r="CX460" s="9"/>
      <c r="CY460" s="9"/>
      <c r="CZ460" s="139"/>
      <c r="DA460" s="139"/>
      <c r="DB460" s="139"/>
      <c r="DC460" s="139"/>
      <c r="DD460" s="139"/>
      <c r="DE460" s="139"/>
      <c r="DF460" s="139"/>
      <c r="DG460" s="139"/>
      <c r="DH460" s="139"/>
      <c r="DI460" s="13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</row>
    <row r="461" spans="1:220" s="99" customFormat="1">
      <c r="A461" s="109"/>
      <c r="C461" s="4"/>
      <c r="D461" s="110"/>
      <c r="F461" s="219"/>
      <c r="H461" s="110"/>
      <c r="AJ461" s="111"/>
      <c r="AK461" s="111"/>
      <c r="AW461" s="4"/>
      <c r="AX461" s="4"/>
      <c r="AY461" s="112"/>
      <c r="BA461" s="114"/>
      <c r="CH461" s="4"/>
      <c r="CQ461" s="113"/>
      <c r="CS461" s="116"/>
      <c r="CV461" s="9"/>
      <c r="CW461" s="9"/>
      <c r="CX461" s="9"/>
      <c r="CY461" s="9"/>
      <c r="CZ461" s="139"/>
      <c r="DA461" s="139"/>
      <c r="DB461" s="139"/>
      <c r="DC461" s="139"/>
      <c r="DD461" s="139"/>
      <c r="DE461" s="139"/>
      <c r="DF461" s="139"/>
      <c r="DG461" s="139"/>
      <c r="DH461" s="139"/>
      <c r="DI461" s="13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  <c r="HJ461" s="9"/>
      <c r="HK461" s="9"/>
      <c r="HL461" s="9"/>
    </row>
    <row r="462" spans="1:220" s="99" customFormat="1">
      <c r="A462" s="109"/>
      <c r="C462" s="4"/>
      <c r="D462" s="110"/>
      <c r="F462" s="219"/>
      <c r="H462" s="110"/>
      <c r="AJ462" s="111"/>
      <c r="AK462" s="111"/>
      <c r="AW462" s="4"/>
      <c r="AX462" s="4"/>
      <c r="AY462" s="112"/>
      <c r="BA462" s="114"/>
      <c r="CH462" s="4"/>
      <c r="CQ462" s="113"/>
      <c r="CS462" s="116"/>
      <c r="CV462" s="9"/>
      <c r="CW462" s="9"/>
      <c r="CX462" s="9"/>
      <c r="CY462" s="9"/>
      <c r="CZ462" s="139"/>
      <c r="DA462" s="139"/>
      <c r="DB462" s="139"/>
      <c r="DC462" s="139"/>
      <c r="DD462" s="139"/>
      <c r="DE462" s="139"/>
      <c r="DF462" s="139"/>
      <c r="DG462" s="139"/>
      <c r="DH462" s="139"/>
      <c r="DI462" s="13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</row>
    <row r="463" spans="1:220" s="99" customFormat="1">
      <c r="A463" s="109"/>
      <c r="C463" s="4"/>
      <c r="D463" s="110"/>
      <c r="F463" s="219"/>
      <c r="H463" s="110"/>
      <c r="AJ463" s="111"/>
      <c r="AK463" s="111"/>
      <c r="AW463" s="4"/>
      <c r="AX463" s="4"/>
      <c r="AY463" s="112"/>
      <c r="BA463" s="114"/>
      <c r="CH463" s="4"/>
      <c r="CQ463" s="113"/>
      <c r="CS463" s="116"/>
      <c r="CV463" s="9"/>
      <c r="CW463" s="9"/>
      <c r="CX463" s="9"/>
      <c r="CY463" s="9"/>
      <c r="CZ463" s="139"/>
      <c r="DA463" s="139"/>
      <c r="DB463" s="139"/>
      <c r="DC463" s="139"/>
      <c r="DD463" s="139"/>
      <c r="DE463" s="139"/>
      <c r="DF463" s="139"/>
      <c r="DG463" s="139"/>
      <c r="DH463" s="139"/>
      <c r="DI463" s="13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  <c r="FI463" s="9"/>
      <c r="FJ463" s="9"/>
      <c r="FK463" s="9"/>
      <c r="FL463" s="9"/>
      <c r="FM463" s="9"/>
      <c r="FN463" s="9"/>
      <c r="FO463" s="9"/>
      <c r="FP463" s="9"/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  <c r="HJ463" s="9"/>
      <c r="HK463" s="9"/>
      <c r="HL463" s="9"/>
    </row>
    <row r="464" spans="1:220" s="99" customFormat="1">
      <c r="A464" s="109"/>
      <c r="C464" s="4"/>
      <c r="D464" s="110"/>
      <c r="F464" s="219"/>
      <c r="H464" s="110"/>
      <c r="AJ464" s="111"/>
      <c r="AK464" s="111"/>
      <c r="AW464" s="4"/>
      <c r="AX464" s="4"/>
      <c r="AY464" s="112"/>
      <c r="BA464" s="114"/>
      <c r="CH464" s="4"/>
      <c r="CQ464" s="113"/>
      <c r="CS464" s="116"/>
      <c r="CV464" s="9"/>
      <c r="CW464" s="9"/>
      <c r="CX464" s="9"/>
      <c r="CY464" s="9"/>
      <c r="CZ464" s="139"/>
      <c r="DA464" s="139"/>
      <c r="DB464" s="139"/>
      <c r="DC464" s="139"/>
      <c r="DD464" s="139"/>
      <c r="DE464" s="139"/>
      <c r="DF464" s="139"/>
      <c r="DG464" s="139"/>
      <c r="DH464" s="139"/>
      <c r="DI464" s="13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</row>
    <row r="465" spans="1:220" s="99" customFormat="1">
      <c r="A465" s="109"/>
      <c r="C465" s="4"/>
      <c r="D465" s="110"/>
      <c r="F465" s="219"/>
      <c r="H465" s="110"/>
      <c r="AJ465" s="111"/>
      <c r="AK465" s="111"/>
      <c r="AW465" s="4"/>
      <c r="AX465" s="4"/>
      <c r="AY465" s="112"/>
      <c r="BA465" s="114"/>
      <c r="CH465" s="4"/>
      <c r="CQ465" s="113"/>
      <c r="CS465" s="116"/>
      <c r="CV465" s="9"/>
      <c r="CW465" s="9"/>
      <c r="CX465" s="9"/>
      <c r="CY465" s="9"/>
      <c r="CZ465" s="139"/>
      <c r="DA465" s="139"/>
      <c r="DB465" s="139"/>
      <c r="DC465" s="139"/>
      <c r="DD465" s="139"/>
      <c r="DE465" s="139"/>
      <c r="DF465" s="139"/>
      <c r="DG465" s="139"/>
      <c r="DH465" s="139"/>
      <c r="DI465" s="13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</row>
    <row r="466" spans="1:220" s="99" customFormat="1">
      <c r="A466" s="109"/>
      <c r="C466" s="4"/>
      <c r="D466" s="110"/>
      <c r="F466" s="219"/>
      <c r="H466" s="110"/>
      <c r="AJ466" s="111"/>
      <c r="AK466" s="111"/>
      <c r="AW466" s="4"/>
      <c r="AX466" s="4"/>
      <c r="AY466" s="112"/>
      <c r="BA466" s="114"/>
      <c r="CQ466" s="113"/>
      <c r="CS466" s="116"/>
      <c r="CV466" s="9"/>
      <c r="CW466" s="9"/>
      <c r="CX466" s="9"/>
      <c r="CY466" s="9"/>
      <c r="CZ466" s="139"/>
      <c r="DA466" s="139"/>
      <c r="DB466" s="139"/>
      <c r="DC466" s="139"/>
      <c r="DD466" s="139"/>
      <c r="DE466" s="139"/>
      <c r="DF466" s="139"/>
      <c r="DG466" s="139"/>
      <c r="DH466" s="139"/>
      <c r="DI466" s="13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9"/>
      <c r="FS466" s="9"/>
      <c r="FT466" s="9"/>
      <c r="FU466" s="9"/>
      <c r="FV466" s="9"/>
      <c r="FW466" s="9"/>
      <c r="FX466" s="9"/>
      <c r="FY466" s="9"/>
      <c r="FZ466" s="9"/>
      <c r="GA466" s="9"/>
      <c r="GB466" s="9"/>
      <c r="GC466" s="9"/>
      <c r="GD466" s="9"/>
      <c r="GE466" s="9"/>
      <c r="GF466" s="9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  <c r="HJ466" s="9"/>
      <c r="HK466" s="9"/>
      <c r="HL466" s="9"/>
    </row>
    <row r="467" spans="1:220" s="99" customFormat="1">
      <c r="A467" s="109"/>
      <c r="C467" s="4"/>
      <c r="D467" s="110"/>
      <c r="F467" s="219"/>
      <c r="H467" s="110"/>
      <c r="AJ467" s="111"/>
      <c r="AK467" s="111"/>
      <c r="AW467" s="4"/>
      <c r="AX467" s="4"/>
      <c r="AY467" s="112"/>
      <c r="BA467" s="114"/>
      <c r="CQ467" s="113"/>
      <c r="CS467" s="116"/>
      <c r="CV467" s="9"/>
      <c r="CW467" s="9"/>
      <c r="CX467" s="9"/>
      <c r="CY467" s="9"/>
      <c r="CZ467" s="139"/>
      <c r="DA467" s="139"/>
      <c r="DB467" s="139"/>
      <c r="DC467" s="139"/>
      <c r="DD467" s="139"/>
      <c r="DE467" s="139"/>
      <c r="DF467" s="139"/>
      <c r="DG467" s="139"/>
      <c r="DH467" s="139"/>
      <c r="DI467" s="13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E467" s="9"/>
      <c r="FF467" s="9"/>
      <c r="FG467" s="9"/>
      <c r="FH467" s="9"/>
      <c r="FI467" s="9"/>
      <c r="FJ467" s="9"/>
      <c r="FK467" s="9"/>
      <c r="FL467" s="9"/>
      <c r="FM467" s="9"/>
      <c r="FN467" s="9"/>
      <c r="FO467" s="9"/>
      <c r="FP467" s="9"/>
      <c r="FQ467" s="9"/>
      <c r="FR467" s="9"/>
      <c r="FS467" s="9"/>
      <c r="FT467" s="9"/>
      <c r="FU467" s="9"/>
      <c r="FV467" s="9"/>
      <c r="FW467" s="9"/>
      <c r="FX467" s="9"/>
      <c r="FY467" s="9"/>
      <c r="FZ467" s="9"/>
      <c r="GA467" s="9"/>
      <c r="GB467" s="9"/>
      <c r="GC467" s="9"/>
      <c r="GD467" s="9"/>
      <c r="GE467" s="9"/>
      <c r="GF467" s="9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  <c r="HE467" s="9"/>
      <c r="HF467" s="9"/>
      <c r="HG467" s="9"/>
      <c r="HH467" s="9"/>
      <c r="HI467" s="9"/>
      <c r="HJ467" s="9"/>
      <c r="HK467" s="9"/>
      <c r="HL467" s="9"/>
    </row>
    <row r="468" spans="1:220" s="99" customFormat="1">
      <c r="A468" s="109"/>
      <c r="C468" s="4"/>
      <c r="D468" s="110"/>
      <c r="F468" s="219"/>
      <c r="H468" s="110"/>
      <c r="AJ468" s="111"/>
      <c r="AK468" s="111"/>
      <c r="AW468" s="4"/>
      <c r="AX468" s="4"/>
      <c r="AY468" s="112"/>
      <c r="BA468" s="114"/>
      <c r="CQ468" s="113"/>
      <c r="CS468" s="116"/>
      <c r="CV468" s="9"/>
      <c r="CW468" s="9"/>
      <c r="CX468" s="9"/>
      <c r="CY468" s="9"/>
      <c r="CZ468" s="139"/>
      <c r="DA468" s="139"/>
      <c r="DB468" s="139"/>
      <c r="DC468" s="139"/>
      <c r="DD468" s="139"/>
      <c r="DE468" s="139"/>
      <c r="DF468" s="139"/>
      <c r="DG468" s="139"/>
      <c r="DH468" s="139"/>
      <c r="DI468" s="13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</row>
    <row r="469" spans="1:220" s="99" customFormat="1">
      <c r="A469" s="109"/>
      <c r="C469" s="4"/>
      <c r="D469" s="110"/>
      <c r="F469" s="219"/>
      <c r="H469" s="110"/>
      <c r="AJ469" s="111"/>
      <c r="AK469" s="111"/>
      <c r="AW469" s="4"/>
      <c r="AX469" s="4"/>
      <c r="AY469" s="112"/>
      <c r="BA469" s="114"/>
      <c r="CQ469" s="113"/>
      <c r="CS469" s="116"/>
      <c r="CV469" s="9"/>
      <c r="CW469" s="9"/>
      <c r="CX469" s="9"/>
      <c r="CY469" s="9"/>
      <c r="CZ469" s="139"/>
      <c r="DA469" s="139"/>
      <c r="DB469" s="139"/>
      <c r="DC469" s="139"/>
      <c r="DD469" s="139"/>
      <c r="DE469" s="139"/>
      <c r="DF469" s="139"/>
      <c r="DG469" s="139"/>
      <c r="DH469" s="139"/>
      <c r="DI469" s="13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  <c r="HJ469" s="9"/>
      <c r="HK469" s="9"/>
      <c r="HL469" s="9"/>
    </row>
    <row r="470" spans="1:220" s="99" customFormat="1">
      <c r="A470" s="109"/>
      <c r="C470" s="4"/>
      <c r="D470" s="110"/>
      <c r="F470" s="219"/>
      <c r="H470" s="110"/>
      <c r="AJ470" s="111"/>
      <c r="AK470" s="111"/>
      <c r="AW470" s="4"/>
      <c r="AX470" s="4"/>
      <c r="AY470" s="112"/>
      <c r="BA470" s="114"/>
      <c r="CQ470" s="113"/>
      <c r="CS470" s="116"/>
      <c r="CV470" s="9"/>
      <c r="CW470" s="9"/>
      <c r="CX470" s="9"/>
      <c r="CY470" s="9"/>
      <c r="CZ470" s="139"/>
      <c r="DA470" s="139"/>
      <c r="DB470" s="139"/>
      <c r="DC470" s="139"/>
      <c r="DD470" s="139"/>
      <c r="DE470" s="139"/>
      <c r="DF470" s="139"/>
      <c r="DG470" s="139"/>
      <c r="DH470" s="139"/>
      <c r="DI470" s="13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  <c r="FI470" s="9"/>
      <c r="FJ470" s="9"/>
      <c r="FK470" s="9"/>
      <c r="FL470" s="9"/>
      <c r="FM470" s="9"/>
      <c r="FN470" s="9"/>
      <c r="FO470" s="9"/>
      <c r="FP470" s="9"/>
      <c r="FQ470" s="9"/>
      <c r="FR470" s="9"/>
      <c r="FS470" s="9"/>
      <c r="FT470" s="9"/>
      <c r="FU470" s="9"/>
      <c r="FV470" s="9"/>
      <c r="FW470" s="9"/>
      <c r="FX470" s="9"/>
      <c r="FY470" s="9"/>
      <c r="FZ470" s="9"/>
      <c r="GA470" s="9"/>
      <c r="GB470" s="9"/>
      <c r="GC470" s="9"/>
      <c r="GD470" s="9"/>
      <c r="GE470" s="9"/>
      <c r="GF470" s="9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  <c r="HJ470" s="9"/>
      <c r="HK470" s="9"/>
      <c r="HL470" s="9"/>
    </row>
    <row r="471" spans="1:220" s="99" customFormat="1">
      <c r="A471" s="109"/>
      <c r="C471" s="4"/>
      <c r="D471" s="110"/>
      <c r="F471" s="219"/>
      <c r="H471" s="110"/>
      <c r="AJ471" s="111"/>
      <c r="AK471" s="111"/>
      <c r="AW471" s="4"/>
      <c r="AX471" s="4"/>
      <c r="AY471" s="112"/>
      <c r="BA471" s="114"/>
      <c r="CQ471" s="113"/>
      <c r="CS471" s="116"/>
      <c r="CV471" s="9"/>
      <c r="CW471" s="9"/>
      <c r="CX471" s="9"/>
      <c r="CY471" s="9"/>
      <c r="CZ471" s="139"/>
      <c r="DA471" s="139"/>
      <c r="DB471" s="139"/>
      <c r="DC471" s="139"/>
      <c r="DD471" s="139"/>
      <c r="DE471" s="139"/>
      <c r="DF471" s="139"/>
      <c r="DG471" s="139"/>
      <c r="DH471" s="139"/>
      <c r="DI471" s="13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  <c r="FI471" s="9"/>
      <c r="FJ471" s="9"/>
      <c r="FK471" s="9"/>
      <c r="FL471" s="9"/>
      <c r="FM471" s="9"/>
      <c r="FN471" s="9"/>
      <c r="FO471" s="9"/>
      <c r="FP471" s="9"/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9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  <c r="HE471" s="9"/>
      <c r="HF471" s="9"/>
      <c r="HG471" s="9"/>
      <c r="HH471" s="9"/>
      <c r="HI471" s="9"/>
      <c r="HJ471" s="9"/>
      <c r="HK471" s="9"/>
      <c r="HL471" s="9"/>
    </row>
    <row r="472" spans="1:220" s="99" customFormat="1">
      <c r="A472" s="109"/>
      <c r="C472" s="4"/>
      <c r="D472" s="110"/>
      <c r="F472" s="219"/>
      <c r="H472" s="110"/>
      <c r="AJ472" s="111"/>
      <c r="AK472" s="111"/>
      <c r="AW472" s="4"/>
      <c r="AX472" s="4"/>
      <c r="AY472" s="112"/>
      <c r="BA472" s="114"/>
      <c r="CQ472" s="113"/>
      <c r="CS472" s="116"/>
      <c r="CV472" s="9"/>
      <c r="CW472" s="9"/>
      <c r="CX472" s="9"/>
      <c r="CY472" s="9"/>
      <c r="CZ472" s="139"/>
      <c r="DA472" s="139"/>
      <c r="DB472" s="139"/>
      <c r="DC472" s="139"/>
      <c r="DD472" s="139"/>
      <c r="DE472" s="139"/>
      <c r="DF472" s="139"/>
      <c r="DG472" s="139"/>
      <c r="DH472" s="139"/>
      <c r="DI472" s="13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  <c r="HJ472" s="9"/>
      <c r="HK472" s="9"/>
      <c r="HL472" s="9"/>
    </row>
    <row r="473" spans="1:220" s="99" customFormat="1">
      <c r="A473" s="109"/>
      <c r="C473" s="4"/>
      <c r="D473" s="110"/>
      <c r="F473" s="219"/>
      <c r="H473" s="110"/>
      <c r="AJ473" s="111"/>
      <c r="AK473" s="111"/>
      <c r="AW473" s="4"/>
      <c r="AX473" s="4"/>
      <c r="AY473" s="112"/>
      <c r="BA473" s="114"/>
      <c r="CQ473" s="113"/>
      <c r="CS473" s="116"/>
      <c r="CV473" s="9"/>
      <c r="CW473" s="9"/>
      <c r="CX473" s="9"/>
      <c r="CY473" s="9"/>
      <c r="CZ473" s="139"/>
      <c r="DA473" s="139"/>
      <c r="DB473" s="139"/>
      <c r="DC473" s="139"/>
      <c r="DD473" s="139"/>
      <c r="DE473" s="139"/>
      <c r="DF473" s="139"/>
      <c r="DG473" s="139"/>
      <c r="DH473" s="139"/>
      <c r="DI473" s="13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  <c r="HJ473" s="9"/>
      <c r="HK473" s="9"/>
      <c r="HL473" s="9"/>
    </row>
    <row r="474" spans="1:220" s="99" customFormat="1">
      <c r="A474" s="109"/>
      <c r="C474" s="4"/>
      <c r="D474" s="110"/>
      <c r="F474" s="219"/>
      <c r="H474" s="110"/>
      <c r="AJ474" s="111"/>
      <c r="AK474" s="111"/>
      <c r="AW474" s="4"/>
      <c r="AX474" s="4"/>
      <c r="AY474" s="112"/>
      <c r="BA474" s="114"/>
      <c r="CQ474" s="113"/>
      <c r="CS474" s="116"/>
      <c r="CV474" s="9"/>
      <c r="CW474" s="9"/>
      <c r="CX474" s="9"/>
      <c r="CY474" s="9"/>
      <c r="CZ474" s="139"/>
      <c r="DA474" s="139"/>
      <c r="DB474" s="139"/>
      <c r="DC474" s="139"/>
      <c r="DD474" s="139"/>
      <c r="DE474" s="139"/>
      <c r="DF474" s="139"/>
      <c r="DG474" s="139"/>
      <c r="DH474" s="139"/>
      <c r="DI474" s="13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9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  <c r="HJ474" s="9"/>
      <c r="HK474" s="9"/>
      <c r="HL474" s="9"/>
    </row>
    <row r="475" spans="1:220" s="99" customFormat="1">
      <c r="A475" s="109"/>
      <c r="C475" s="4"/>
      <c r="D475" s="110"/>
      <c r="F475" s="219"/>
      <c r="H475" s="110"/>
      <c r="AJ475" s="111"/>
      <c r="AK475" s="111"/>
      <c r="AW475" s="4"/>
      <c r="AX475" s="4"/>
      <c r="AY475" s="112"/>
      <c r="BA475" s="114"/>
      <c r="CQ475" s="113"/>
      <c r="CS475" s="116"/>
      <c r="CV475" s="9"/>
      <c r="CW475" s="9"/>
      <c r="CX475" s="9"/>
      <c r="CY475" s="9"/>
      <c r="CZ475" s="139"/>
      <c r="DA475" s="139"/>
      <c r="DB475" s="139"/>
      <c r="DC475" s="139"/>
      <c r="DD475" s="139"/>
      <c r="DE475" s="139"/>
      <c r="DF475" s="139"/>
      <c r="DG475" s="139"/>
      <c r="DH475" s="139"/>
      <c r="DI475" s="13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  <c r="HE475" s="9"/>
      <c r="HF475" s="9"/>
      <c r="HG475" s="9"/>
      <c r="HH475" s="9"/>
      <c r="HI475" s="9"/>
      <c r="HJ475" s="9"/>
      <c r="HK475" s="9"/>
      <c r="HL475" s="9"/>
    </row>
    <row r="476" spans="1:220" s="99" customFormat="1">
      <c r="A476" s="109"/>
      <c r="C476" s="4"/>
      <c r="D476" s="110"/>
      <c r="F476" s="219"/>
      <c r="H476" s="110"/>
      <c r="AJ476" s="111"/>
      <c r="AK476" s="111"/>
      <c r="AW476" s="4"/>
      <c r="AX476" s="4"/>
      <c r="AY476" s="112"/>
      <c r="BA476" s="114"/>
      <c r="CQ476" s="113"/>
      <c r="CS476" s="116"/>
      <c r="CV476" s="9"/>
      <c r="CW476" s="9"/>
      <c r="CX476" s="9"/>
      <c r="CY476" s="9"/>
      <c r="CZ476" s="139"/>
      <c r="DA476" s="139"/>
      <c r="DB476" s="139"/>
      <c r="DC476" s="139"/>
      <c r="DD476" s="139"/>
      <c r="DE476" s="139"/>
      <c r="DF476" s="139"/>
      <c r="DG476" s="139"/>
      <c r="DH476" s="139"/>
      <c r="DI476" s="13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9"/>
      <c r="FS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9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  <c r="HJ476" s="9"/>
      <c r="HK476" s="9"/>
      <c r="HL476" s="9"/>
    </row>
    <row r="477" spans="1:220" s="99" customFormat="1">
      <c r="A477" s="109"/>
      <c r="C477" s="4"/>
      <c r="D477" s="110"/>
      <c r="F477" s="219"/>
      <c r="H477" s="110"/>
      <c r="AJ477" s="111"/>
      <c r="AK477" s="111"/>
      <c r="AW477" s="4"/>
      <c r="AX477" s="4"/>
      <c r="AY477" s="112"/>
      <c r="BA477" s="114"/>
      <c r="CQ477" s="113"/>
      <c r="CS477" s="116"/>
      <c r="CV477" s="9"/>
      <c r="CW477" s="9"/>
      <c r="CX477" s="9"/>
      <c r="CY477" s="9"/>
      <c r="CZ477" s="139"/>
      <c r="DA477" s="139"/>
      <c r="DB477" s="139"/>
      <c r="DC477" s="139"/>
      <c r="DD477" s="139"/>
      <c r="DE477" s="139"/>
      <c r="DF477" s="139"/>
      <c r="DG477" s="139"/>
      <c r="DH477" s="139"/>
      <c r="DI477" s="13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  <c r="FI477" s="9"/>
      <c r="FJ477" s="9"/>
      <c r="FK477" s="9"/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9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  <c r="HE477" s="9"/>
      <c r="HF477" s="9"/>
      <c r="HG477" s="9"/>
      <c r="HH477" s="9"/>
      <c r="HI477" s="9"/>
      <c r="HJ477" s="9"/>
      <c r="HK477" s="9"/>
      <c r="HL477" s="9"/>
    </row>
    <row r="478" spans="1:220" s="99" customFormat="1">
      <c r="A478" s="109"/>
      <c r="C478" s="4"/>
      <c r="D478" s="110"/>
      <c r="F478" s="219"/>
      <c r="H478" s="110"/>
      <c r="AJ478" s="111"/>
      <c r="AK478" s="111"/>
      <c r="AW478" s="4"/>
      <c r="AX478" s="4"/>
      <c r="AY478" s="112"/>
      <c r="BA478" s="114"/>
      <c r="CQ478" s="113"/>
      <c r="CS478" s="116"/>
      <c r="CV478" s="9"/>
      <c r="CW478" s="9"/>
      <c r="CX478" s="9"/>
      <c r="CY478" s="9"/>
      <c r="CZ478" s="139"/>
      <c r="DA478" s="139"/>
      <c r="DB478" s="139"/>
      <c r="DC478" s="139"/>
      <c r="DD478" s="139"/>
      <c r="DE478" s="139"/>
      <c r="DF478" s="139"/>
      <c r="DG478" s="139"/>
      <c r="DH478" s="139"/>
      <c r="DI478" s="13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  <c r="HJ478" s="9"/>
      <c r="HK478" s="9"/>
      <c r="HL478" s="9"/>
    </row>
    <row r="479" spans="1:220" s="99" customFormat="1">
      <c r="A479" s="109"/>
      <c r="C479" s="4"/>
      <c r="D479" s="110"/>
      <c r="F479" s="219"/>
      <c r="H479" s="110"/>
      <c r="AJ479" s="111"/>
      <c r="AK479" s="111"/>
      <c r="AW479" s="4"/>
      <c r="AX479" s="4"/>
      <c r="AY479" s="112"/>
      <c r="BA479" s="114"/>
      <c r="CQ479" s="113"/>
      <c r="CS479" s="116"/>
      <c r="CV479" s="9"/>
      <c r="CW479" s="9"/>
      <c r="CX479" s="9"/>
      <c r="CY479" s="9"/>
      <c r="CZ479" s="139"/>
      <c r="DA479" s="139"/>
      <c r="DB479" s="139"/>
      <c r="DC479" s="139"/>
      <c r="DD479" s="139"/>
      <c r="DE479" s="139"/>
      <c r="DF479" s="139"/>
      <c r="DG479" s="139"/>
      <c r="DH479" s="139"/>
      <c r="DI479" s="13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  <c r="HJ479" s="9"/>
      <c r="HK479" s="9"/>
      <c r="HL479" s="9"/>
    </row>
    <row r="480" spans="1:220" s="99" customFormat="1">
      <c r="A480" s="109"/>
      <c r="C480" s="4"/>
      <c r="D480" s="110"/>
      <c r="F480" s="219"/>
      <c r="H480" s="110"/>
      <c r="AJ480" s="111"/>
      <c r="AK480" s="111"/>
      <c r="AW480" s="4"/>
      <c r="AX480" s="4"/>
      <c r="AY480" s="112"/>
      <c r="BA480" s="114"/>
      <c r="CQ480" s="113"/>
      <c r="CS480" s="116"/>
      <c r="CV480" s="9"/>
      <c r="CW480" s="9"/>
      <c r="CX480" s="9"/>
      <c r="CY480" s="9"/>
      <c r="CZ480" s="139"/>
      <c r="DA480" s="139"/>
      <c r="DB480" s="139"/>
      <c r="DC480" s="139"/>
      <c r="DD480" s="139"/>
      <c r="DE480" s="139"/>
      <c r="DF480" s="139"/>
      <c r="DG480" s="139"/>
      <c r="DH480" s="139"/>
      <c r="DI480" s="13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E480" s="9"/>
      <c r="FF480" s="9"/>
      <c r="FG480" s="9"/>
      <c r="FH480" s="9"/>
      <c r="FI480" s="9"/>
      <c r="FJ480" s="9"/>
      <c r="FK480" s="9"/>
      <c r="FL480" s="9"/>
      <c r="FM480" s="9"/>
      <c r="FN480" s="9"/>
      <c r="FO480" s="9"/>
      <c r="FP480" s="9"/>
      <c r="FQ480" s="9"/>
      <c r="FR480" s="9"/>
      <c r="FS480" s="9"/>
      <c r="FT480" s="9"/>
      <c r="FU480" s="9"/>
      <c r="FV480" s="9"/>
      <c r="FW480" s="9"/>
      <c r="FX480" s="9"/>
      <c r="FY480" s="9"/>
      <c r="FZ480" s="9"/>
      <c r="GA480" s="9"/>
      <c r="GB480" s="9"/>
      <c r="GC480" s="9"/>
      <c r="GD480" s="9"/>
      <c r="GE480" s="9"/>
      <c r="GF480" s="9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  <c r="HJ480" s="9"/>
      <c r="HK480" s="9"/>
      <c r="HL480" s="9"/>
    </row>
    <row r="481" spans="1:220" s="99" customFormat="1">
      <c r="A481" s="109"/>
      <c r="C481" s="4"/>
      <c r="D481" s="110"/>
      <c r="F481" s="219"/>
      <c r="H481" s="110"/>
      <c r="AJ481" s="111"/>
      <c r="AK481" s="111"/>
      <c r="AW481" s="4"/>
      <c r="AX481" s="4"/>
      <c r="AY481" s="112"/>
      <c r="BA481" s="114"/>
      <c r="CQ481" s="113"/>
      <c r="CS481" s="116"/>
      <c r="CV481" s="9"/>
      <c r="CW481" s="9"/>
      <c r="CX481" s="9"/>
      <c r="CY481" s="9"/>
      <c r="CZ481" s="139"/>
      <c r="DA481" s="139"/>
      <c r="DB481" s="139"/>
      <c r="DC481" s="139"/>
      <c r="DD481" s="139"/>
      <c r="DE481" s="139"/>
      <c r="DF481" s="139"/>
      <c r="DG481" s="139"/>
      <c r="DH481" s="139"/>
      <c r="DI481" s="13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</row>
    <row r="482" spans="1:220" s="99" customFormat="1">
      <c r="A482" s="109"/>
      <c r="C482" s="4"/>
      <c r="D482" s="110"/>
      <c r="F482" s="219"/>
      <c r="H482" s="110"/>
      <c r="AJ482" s="111"/>
      <c r="AK482" s="111"/>
      <c r="AW482" s="4"/>
      <c r="AX482" s="4"/>
      <c r="AY482" s="112"/>
      <c r="BA482" s="114"/>
      <c r="CQ482" s="113"/>
      <c r="CS482" s="116"/>
      <c r="CV482" s="9"/>
      <c r="CW482" s="9"/>
      <c r="CX482" s="9"/>
      <c r="CY482" s="9"/>
      <c r="CZ482" s="139"/>
      <c r="DA482" s="139"/>
      <c r="DB482" s="139"/>
      <c r="DC482" s="139"/>
      <c r="DD482" s="139"/>
      <c r="DE482" s="139"/>
      <c r="DF482" s="139"/>
      <c r="DG482" s="139"/>
      <c r="DH482" s="139"/>
      <c r="DI482" s="13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</row>
    <row r="483" spans="1:220" s="99" customFormat="1">
      <c r="A483" s="109"/>
      <c r="C483" s="4"/>
      <c r="D483" s="110"/>
      <c r="F483" s="219"/>
      <c r="H483" s="110"/>
      <c r="AJ483" s="111"/>
      <c r="AK483" s="111"/>
      <c r="AW483" s="4"/>
      <c r="AX483" s="4"/>
      <c r="AY483" s="112"/>
      <c r="BA483" s="114"/>
      <c r="CQ483" s="113"/>
      <c r="CS483" s="116"/>
      <c r="CV483" s="9"/>
      <c r="CW483" s="9"/>
      <c r="CX483" s="9"/>
      <c r="CY483" s="9"/>
      <c r="CZ483" s="139"/>
      <c r="DA483" s="139"/>
      <c r="DB483" s="139"/>
      <c r="DC483" s="139"/>
      <c r="DD483" s="139"/>
      <c r="DE483" s="139"/>
      <c r="DF483" s="139"/>
      <c r="DG483" s="139"/>
      <c r="DH483" s="139"/>
      <c r="DI483" s="13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9"/>
      <c r="FJ483" s="9"/>
      <c r="FK483" s="9"/>
      <c r="FL483" s="9"/>
      <c r="FM483" s="9"/>
      <c r="FN483" s="9"/>
      <c r="FO483" s="9"/>
      <c r="FP483" s="9"/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  <c r="HJ483" s="9"/>
      <c r="HK483" s="9"/>
      <c r="HL483" s="9"/>
    </row>
    <row r="484" spans="1:220" s="99" customFormat="1">
      <c r="A484" s="109"/>
      <c r="C484" s="4"/>
      <c r="D484" s="110"/>
      <c r="F484" s="219"/>
      <c r="H484" s="110"/>
      <c r="AJ484" s="111"/>
      <c r="AK484" s="111"/>
      <c r="AW484" s="4"/>
      <c r="AX484" s="4"/>
      <c r="AY484" s="112"/>
      <c r="BA484" s="114"/>
      <c r="CQ484" s="113"/>
      <c r="CS484" s="116"/>
      <c r="CV484" s="9"/>
      <c r="CW484" s="9"/>
      <c r="CX484" s="9"/>
      <c r="CY484" s="9"/>
      <c r="CZ484" s="139"/>
      <c r="DA484" s="139"/>
      <c r="DB484" s="139"/>
      <c r="DC484" s="139"/>
      <c r="DD484" s="139"/>
      <c r="DE484" s="139"/>
      <c r="DF484" s="139"/>
      <c r="DG484" s="139"/>
      <c r="DH484" s="139"/>
      <c r="DI484" s="13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</row>
    <row r="485" spans="1:220" s="99" customFormat="1">
      <c r="A485" s="109"/>
      <c r="C485" s="4"/>
      <c r="D485" s="110"/>
      <c r="F485" s="219"/>
      <c r="H485" s="110"/>
      <c r="AJ485" s="111"/>
      <c r="AK485" s="111"/>
      <c r="AW485" s="4"/>
      <c r="AX485" s="4"/>
      <c r="AY485" s="112"/>
      <c r="BA485" s="114"/>
      <c r="CQ485" s="113"/>
      <c r="CS485" s="116"/>
      <c r="CV485" s="9"/>
      <c r="CW485" s="9"/>
      <c r="CX485" s="9"/>
      <c r="CY485" s="9"/>
      <c r="CZ485" s="139"/>
      <c r="DA485" s="139"/>
      <c r="DB485" s="139"/>
      <c r="DC485" s="139"/>
      <c r="DD485" s="139"/>
      <c r="DE485" s="139"/>
      <c r="DF485" s="139"/>
      <c r="DG485" s="139"/>
      <c r="DH485" s="139"/>
      <c r="DI485" s="13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E485" s="9"/>
      <c r="FF485" s="9"/>
      <c r="FG485" s="9"/>
      <c r="FH485" s="9"/>
      <c r="FI485" s="9"/>
      <c r="FJ485" s="9"/>
      <c r="FK485" s="9"/>
      <c r="FL485" s="9"/>
      <c r="FM485" s="9"/>
      <c r="FN485" s="9"/>
      <c r="FO485" s="9"/>
      <c r="FP485" s="9"/>
      <c r="FQ485" s="9"/>
      <c r="FR485" s="9"/>
      <c r="FS485" s="9"/>
      <c r="FT485" s="9"/>
      <c r="FU485" s="9"/>
      <c r="FV485" s="9"/>
      <c r="FW485" s="9"/>
      <c r="FX485" s="9"/>
      <c r="FY485" s="9"/>
      <c r="FZ485" s="9"/>
      <c r="GA485" s="9"/>
      <c r="GB485" s="9"/>
      <c r="GC485" s="9"/>
      <c r="GD485" s="9"/>
      <c r="GE485" s="9"/>
      <c r="GF485" s="9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  <c r="HE485" s="9"/>
      <c r="HF485" s="9"/>
      <c r="HG485" s="9"/>
      <c r="HH485" s="9"/>
      <c r="HI485" s="9"/>
      <c r="HJ485" s="9"/>
      <c r="HK485" s="9"/>
      <c r="HL485" s="9"/>
    </row>
    <row r="486" spans="1:220" s="99" customFormat="1">
      <c r="A486" s="109"/>
      <c r="C486" s="4"/>
      <c r="D486" s="110"/>
      <c r="F486" s="219"/>
      <c r="H486" s="110"/>
      <c r="AJ486" s="111"/>
      <c r="AK486" s="111"/>
      <c r="AW486" s="4"/>
      <c r="AX486" s="4"/>
      <c r="AY486" s="112"/>
      <c r="BA486" s="114"/>
      <c r="CQ486" s="113"/>
      <c r="CS486" s="116"/>
      <c r="CV486" s="9"/>
      <c r="CW486" s="9"/>
      <c r="CX486" s="9"/>
      <c r="CY486" s="9"/>
      <c r="CZ486" s="139"/>
      <c r="DA486" s="139"/>
      <c r="DB486" s="139"/>
      <c r="DC486" s="139"/>
      <c r="DD486" s="139"/>
      <c r="DE486" s="139"/>
      <c r="DF486" s="139"/>
      <c r="DG486" s="139"/>
      <c r="DH486" s="139"/>
      <c r="DI486" s="13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</row>
    <row r="487" spans="1:220" s="99" customFormat="1">
      <c r="A487" s="109"/>
      <c r="C487" s="4"/>
      <c r="D487" s="110"/>
      <c r="F487" s="219"/>
      <c r="H487" s="110"/>
      <c r="AJ487" s="111"/>
      <c r="AK487" s="111"/>
      <c r="AW487" s="4"/>
      <c r="AX487" s="4"/>
      <c r="AY487" s="112"/>
      <c r="BA487" s="114"/>
      <c r="CQ487" s="113"/>
      <c r="CS487" s="116"/>
      <c r="CV487" s="9"/>
      <c r="CW487" s="9"/>
      <c r="CX487" s="9"/>
      <c r="CY487" s="9"/>
      <c r="CZ487" s="139"/>
      <c r="DA487" s="139"/>
      <c r="DB487" s="139"/>
      <c r="DC487" s="139"/>
      <c r="DD487" s="139"/>
      <c r="DE487" s="139"/>
      <c r="DF487" s="139"/>
      <c r="DG487" s="139"/>
      <c r="DH487" s="139"/>
      <c r="DI487" s="13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</row>
    <row r="488" spans="1:220" s="99" customFormat="1">
      <c r="A488" s="109"/>
      <c r="C488" s="4"/>
      <c r="D488" s="110"/>
      <c r="F488" s="219"/>
      <c r="H488" s="110"/>
      <c r="AJ488" s="111"/>
      <c r="AK488" s="111"/>
      <c r="AW488" s="4"/>
      <c r="AX488" s="4"/>
      <c r="AY488" s="112"/>
      <c r="BA488" s="114"/>
      <c r="CQ488" s="113"/>
      <c r="CS488" s="116"/>
      <c r="CV488" s="9"/>
      <c r="CW488" s="9"/>
      <c r="CX488" s="9"/>
      <c r="CY488" s="9"/>
      <c r="CZ488" s="139"/>
      <c r="DA488" s="139"/>
      <c r="DB488" s="139"/>
      <c r="DC488" s="139"/>
      <c r="DD488" s="139"/>
      <c r="DE488" s="139"/>
      <c r="DF488" s="139"/>
      <c r="DG488" s="139"/>
      <c r="DH488" s="139"/>
      <c r="DI488" s="13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</row>
    <row r="489" spans="1:220" s="99" customFormat="1">
      <c r="A489" s="109"/>
      <c r="C489" s="4"/>
      <c r="D489" s="110"/>
      <c r="F489" s="219"/>
      <c r="H489" s="110"/>
      <c r="AJ489" s="111"/>
      <c r="AK489" s="111"/>
      <c r="AW489" s="4"/>
      <c r="AX489" s="4"/>
      <c r="AY489" s="112"/>
      <c r="BA489" s="114"/>
      <c r="CQ489" s="113"/>
      <c r="CS489" s="116"/>
      <c r="CV489" s="9"/>
      <c r="CW489" s="9"/>
      <c r="CX489" s="9"/>
      <c r="CY489" s="9"/>
      <c r="CZ489" s="139"/>
      <c r="DA489" s="139"/>
      <c r="DB489" s="139"/>
      <c r="DC489" s="139"/>
      <c r="DD489" s="139"/>
      <c r="DE489" s="139"/>
      <c r="DF489" s="139"/>
      <c r="DG489" s="139"/>
      <c r="DH489" s="139"/>
      <c r="DI489" s="13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  <c r="HJ489" s="9"/>
      <c r="HK489" s="9"/>
      <c r="HL489" s="9"/>
    </row>
    <row r="490" spans="1:220" s="99" customFormat="1">
      <c r="A490" s="109"/>
      <c r="C490" s="4"/>
      <c r="D490" s="110"/>
      <c r="F490" s="219"/>
      <c r="H490" s="110"/>
      <c r="AJ490" s="111"/>
      <c r="AK490" s="111"/>
      <c r="AW490" s="4"/>
      <c r="AX490" s="4"/>
      <c r="AY490" s="112"/>
      <c r="BA490" s="114"/>
      <c r="CQ490" s="113"/>
      <c r="CS490" s="116"/>
      <c r="CV490" s="9"/>
      <c r="CW490" s="9"/>
      <c r="CX490" s="9"/>
      <c r="CY490" s="9"/>
      <c r="CZ490" s="139"/>
      <c r="DA490" s="139"/>
      <c r="DB490" s="139"/>
      <c r="DC490" s="139"/>
      <c r="DD490" s="139"/>
      <c r="DE490" s="139"/>
      <c r="DF490" s="139"/>
      <c r="DG490" s="139"/>
      <c r="DH490" s="139"/>
      <c r="DI490" s="13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</row>
    <row r="491" spans="1:220" s="99" customFormat="1">
      <c r="A491" s="109"/>
      <c r="C491" s="4"/>
      <c r="D491" s="110"/>
      <c r="F491" s="219"/>
      <c r="H491" s="110"/>
      <c r="AJ491" s="111"/>
      <c r="AK491" s="111"/>
      <c r="AW491" s="4"/>
      <c r="AX491" s="4"/>
      <c r="AY491" s="112"/>
      <c r="BA491" s="114"/>
      <c r="CQ491" s="113"/>
      <c r="CS491" s="116"/>
      <c r="CV491" s="9"/>
      <c r="CW491" s="9"/>
      <c r="CX491" s="9"/>
      <c r="CY491" s="9"/>
      <c r="CZ491" s="139"/>
      <c r="DA491" s="139"/>
      <c r="DB491" s="139"/>
      <c r="DC491" s="139"/>
      <c r="DD491" s="139"/>
      <c r="DE491" s="139"/>
      <c r="DF491" s="139"/>
      <c r="DG491" s="139"/>
      <c r="DH491" s="139"/>
      <c r="DI491" s="13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E491" s="9"/>
      <c r="FF491" s="9"/>
      <c r="FG491" s="9"/>
      <c r="FH491" s="9"/>
      <c r="FI491" s="9"/>
      <c r="FJ491" s="9"/>
      <c r="FK491" s="9"/>
      <c r="FL491" s="9"/>
      <c r="FM491" s="9"/>
      <c r="FN491" s="9"/>
      <c r="FO491" s="9"/>
      <c r="FP491" s="9"/>
      <c r="FQ491" s="9"/>
      <c r="FR491" s="9"/>
      <c r="FS491" s="9"/>
      <c r="FT491" s="9"/>
      <c r="FU491" s="9"/>
      <c r="FV491" s="9"/>
      <c r="FW491" s="9"/>
      <c r="FX491" s="9"/>
      <c r="FY491" s="9"/>
      <c r="FZ491" s="9"/>
      <c r="GA491" s="9"/>
      <c r="GB491" s="9"/>
      <c r="GC491" s="9"/>
      <c r="GD491" s="9"/>
      <c r="GE491" s="9"/>
      <c r="GF491" s="9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  <c r="HE491" s="9"/>
      <c r="HF491" s="9"/>
      <c r="HG491" s="9"/>
      <c r="HH491" s="9"/>
      <c r="HI491" s="9"/>
      <c r="HJ491" s="9"/>
      <c r="HK491" s="9"/>
      <c r="HL491" s="9"/>
    </row>
    <row r="492" spans="1:220" s="99" customFormat="1">
      <c r="A492" s="109"/>
      <c r="C492" s="4"/>
      <c r="D492" s="110"/>
      <c r="F492" s="219"/>
      <c r="H492" s="110"/>
      <c r="AJ492" s="111"/>
      <c r="AK492" s="111"/>
      <c r="AW492" s="4"/>
      <c r="AX492" s="4"/>
      <c r="AY492" s="112"/>
      <c r="BA492" s="114"/>
      <c r="CQ492" s="113"/>
      <c r="CS492" s="116"/>
      <c r="CV492" s="9"/>
      <c r="CW492" s="9"/>
      <c r="CX492" s="9"/>
      <c r="CY492" s="9"/>
      <c r="CZ492" s="139"/>
      <c r="DA492" s="139"/>
      <c r="DB492" s="139"/>
      <c r="DC492" s="139"/>
      <c r="DD492" s="139"/>
      <c r="DE492" s="139"/>
      <c r="DF492" s="139"/>
      <c r="DG492" s="139"/>
      <c r="DH492" s="139"/>
      <c r="DI492" s="13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</row>
    <row r="493" spans="1:220" s="99" customFormat="1">
      <c r="A493" s="109"/>
      <c r="C493" s="4"/>
      <c r="D493" s="110"/>
      <c r="F493" s="219"/>
      <c r="H493" s="110"/>
      <c r="AJ493" s="111"/>
      <c r="AK493" s="111"/>
      <c r="AW493" s="4"/>
      <c r="AX493" s="4"/>
      <c r="AY493" s="112"/>
      <c r="BA493" s="114"/>
      <c r="CQ493" s="113"/>
      <c r="CS493" s="116"/>
      <c r="CV493" s="9"/>
      <c r="CW493" s="9"/>
      <c r="CX493" s="9"/>
      <c r="CY493" s="9"/>
      <c r="CZ493" s="139"/>
      <c r="DA493" s="139"/>
      <c r="DB493" s="139"/>
      <c r="DC493" s="139"/>
      <c r="DD493" s="139"/>
      <c r="DE493" s="139"/>
      <c r="DF493" s="139"/>
      <c r="DG493" s="139"/>
      <c r="DH493" s="139"/>
      <c r="DI493" s="13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  <c r="HJ493" s="9"/>
      <c r="HK493" s="9"/>
      <c r="HL493" s="9"/>
    </row>
    <row r="494" spans="1:220" s="99" customFormat="1">
      <c r="A494" s="109"/>
      <c r="C494" s="4"/>
      <c r="D494" s="110"/>
      <c r="F494" s="219"/>
      <c r="H494" s="110"/>
      <c r="AJ494" s="111"/>
      <c r="AK494" s="111"/>
      <c r="AW494" s="4"/>
      <c r="AX494" s="4"/>
      <c r="AY494" s="112"/>
      <c r="BA494" s="114"/>
      <c r="CQ494" s="113"/>
      <c r="CS494" s="116"/>
      <c r="CV494" s="9"/>
      <c r="CW494" s="9"/>
      <c r="CX494" s="9"/>
      <c r="CY494" s="9"/>
      <c r="CZ494" s="139"/>
      <c r="DA494" s="139"/>
      <c r="DB494" s="139"/>
      <c r="DC494" s="139"/>
      <c r="DD494" s="139"/>
      <c r="DE494" s="139"/>
      <c r="DF494" s="139"/>
      <c r="DG494" s="139"/>
      <c r="DH494" s="139"/>
      <c r="DI494" s="13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</row>
    <row r="495" spans="1:220" s="99" customFormat="1">
      <c r="A495" s="109"/>
      <c r="C495" s="4"/>
      <c r="D495" s="110"/>
      <c r="F495" s="219"/>
      <c r="H495" s="110"/>
      <c r="AJ495" s="111"/>
      <c r="AK495" s="111"/>
      <c r="AW495" s="4"/>
      <c r="AX495" s="4"/>
      <c r="AY495" s="112"/>
      <c r="BA495" s="114"/>
      <c r="CQ495" s="113"/>
      <c r="CS495" s="116"/>
      <c r="CV495" s="9"/>
      <c r="CW495" s="9"/>
      <c r="CX495" s="9"/>
      <c r="CY495" s="9"/>
      <c r="CZ495" s="139"/>
      <c r="DA495" s="139"/>
      <c r="DB495" s="139"/>
      <c r="DC495" s="139"/>
      <c r="DD495" s="139"/>
      <c r="DE495" s="139"/>
      <c r="DF495" s="139"/>
      <c r="DG495" s="139"/>
      <c r="DH495" s="139"/>
      <c r="DI495" s="13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</row>
    <row r="496" spans="1:220" s="99" customFormat="1">
      <c r="A496" s="109"/>
      <c r="C496" s="4"/>
      <c r="D496" s="110"/>
      <c r="F496" s="219"/>
      <c r="H496" s="110"/>
      <c r="AJ496" s="111"/>
      <c r="AK496" s="111"/>
      <c r="AW496" s="4"/>
      <c r="AX496" s="4"/>
      <c r="AY496" s="112"/>
      <c r="BA496" s="114"/>
      <c r="CQ496" s="113"/>
      <c r="CS496" s="116"/>
      <c r="CV496" s="9"/>
      <c r="CW496" s="9"/>
      <c r="CX496" s="9"/>
      <c r="CY496" s="9"/>
      <c r="CZ496" s="139"/>
      <c r="DA496" s="139"/>
      <c r="DB496" s="139"/>
      <c r="DC496" s="139"/>
      <c r="DD496" s="139"/>
      <c r="DE496" s="139"/>
      <c r="DF496" s="139"/>
      <c r="DG496" s="139"/>
      <c r="DH496" s="139"/>
      <c r="DI496" s="13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</row>
    <row r="497" spans="1:220" s="99" customFormat="1">
      <c r="A497" s="109"/>
      <c r="C497" s="4"/>
      <c r="D497" s="110"/>
      <c r="F497" s="219"/>
      <c r="H497" s="110"/>
      <c r="AJ497" s="111"/>
      <c r="AK497" s="111"/>
      <c r="AW497" s="4"/>
      <c r="AX497" s="4"/>
      <c r="AY497" s="112"/>
      <c r="BA497" s="114"/>
      <c r="CQ497" s="113"/>
      <c r="CS497" s="116"/>
      <c r="CV497" s="9"/>
      <c r="CW497" s="9"/>
      <c r="CX497" s="9"/>
      <c r="CY497" s="9"/>
      <c r="CZ497" s="139"/>
      <c r="DA497" s="139"/>
      <c r="DB497" s="139"/>
      <c r="DC497" s="139"/>
      <c r="DD497" s="139"/>
      <c r="DE497" s="139"/>
      <c r="DF497" s="139"/>
      <c r="DG497" s="139"/>
      <c r="DH497" s="139"/>
      <c r="DI497" s="13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</row>
    <row r="498" spans="1:220" s="99" customFormat="1">
      <c r="A498" s="109"/>
      <c r="C498" s="4"/>
      <c r="D498" s="110"/>
      <c r="F498" s="219"/>
      <c r="H498" s="110"/>
      <c r="AJ498" s="111"/>
      <c r="AK498" s="111"/>
      <c r="AW498" s="4"/>
      <c r="AX498" s="4"/>
      <c r="AY498" s="112"/>
      <c r="BA498" s="114"/>
      <c r="CQ498" s="113"/>
      <c r="CS498" s="116"/>
      <c r="CV498" s="9"/>
      <c r="CW498" s="9"/>
      <c r="CX498" s="9"/>
      <c r="CY498" s="9"/>
      <c r="CZ498" s="139"/>
      <c r="DA498" s="139"/>
      <c r="DB498" s="139"/>
      <c r="DC498" s="139"/>
      <c r="DD498" s="139"/>
      <c r="DE498" s="139"/>
      <c r="DF498" s="139"/>
      <c r="DG498" s="139"/>
      <c r="DH498" s="139"/>
      <c r="DI498" s="13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  <c r="HJ498" s="9"/>
      <c r="HK498" s="9"/>
      <c r="HL498" s="9"/>
    </row>
    <row r="499" spans="1:220" s="99" customFormat="1">
      <c r="A499" s="109"/>
      <c r="C499" s="4"/>
      <c r="D499" s="110"/>
      <c r="F499" s="219"/>
      <c r="H499" s="110"/>
      <c r="AJ499" s="111"/>
      <c r="AK499" s="111"/>
      <c r="AW499" s="4"/>
      <c r="AX499" s="4"/>
      <c r="AY499" s="112"/>
      <c r="BA499" s="114"/>
      <c r="CQ499" s="113"/>
      <c r="CS499" s="116"/>
      <c r="CV499" s="9"/>
      <c r="CW499" s="9"/>
      <c r="CX499" s="9"/>
      <c r="CY499" s="9"/>
      <c r="CZ499" s="139"/>
      <c r="DA499" s="139"/>
      <c r="DB499" s="139"/>
      <c r="DC499" s="139"/>
      <c r="DD499" s="139"/>
      <c r="DE499" s="139"/>
      <c r="DF499" s="139"/>
      <c r="DG499" s="139"/>
      <c r="DH499" s="139"/>
      <c r="DI499" s="13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  <c r="HE499" s="9"/>
      <c r="HF499" s="9"/>
      <c r="HG499" s="9"/>
      <c r="HH499" s="9"/>
      <c r="HI499" s="9"/>
      <c r="HJ499" s="9"/>
      <c r="HK499" s="9"/>
      <c r="HL499" s="9"/>
    </row>
    <row r="500" spans="1:220" s="99" customFormat="1">
      <c r="A500" s="109"/>
      <c r="C500" s="4"/>
      <c r="D500" s="110"/>
      <c r="F500" s="219"/>
      <c r="H500" s="110"/>
      <c r="AJ500" s="111"/>
      <c r="AK500" s="111"/>
      <c r="AW500" s="4"/>
      <c r="AX500" s="4"/>
      <c r="AY500" s="112"/>
      <c r="BA500" s="114"/>
      <c r="CQ500" s="113"/>
      <c r="CS500" s="116"/>
      <c r="CV500" s="9"/>
      <c r="CW500" s="9"/>
      <c r="CX500" s="9"/>
      <c r="CY500" s="9"/>
      <c r="CZ500" s="139"/>
      <c r="DA500" s="139"/>
      <c r="DB500" s="139"/>
      <c r="DC500" s="139"/>
      <c r="DD500" s="139"/>
      <c r="DE500" s="139"/>
      <c r="DF500" s="139"/>
      <c r="DG500" s="139"/>
      <c r="DH500" s="139"/>
      <c r="DI500" s="13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  <c r="FI500" s="9"/>
      <c r="FJ500" s="9"/>
      <c r="FK500" s="9"/>
      <c r="FL500" s="9"/>
      <c r="FM500" s="9"/>
      <c r="FN500" s="9"/>
      <c r="FO500" s="9"/>
      <c r="FP500" s="9"/>
      <c r="FQ500" s="9"/>
      <c r="FR500" s="9"/>
      <c r="FS500" s="9"/>
      <c r="FT500" s="9"/>
      <c r="FU500" s="9"/>
      <c r="FV500" s="9"/>
      <c r="FW500" s="9"/>
      <c r="FX500" s="9"/>
      <c r="FY500" s="9"/>
      <c r="FZ500" s="9"/>
      <c r="GA500" s="9"/>
      <c r="GB500" s="9"/>
      <c r="GC500" s="9"/>
      <c r="GD500" s="9"/>
      <c r="GE500" s="9"/>
      <c r="GF500" s="9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  <c r="HE500" s="9"/>
      <c r="HF500" s="9"/>
      <c r="HG500" s="9"/>
      <c r="HH500" s="9"/>
      <c r="HI500" s="9"/>
      <c r="HJ500" s="9"/>
      <c r="HK500" s="9"/>
      <c r="HL500" s="9"/>
    </row>
    <row r="501" spans="1:220" s="99" customFormat="1">
      <c r="A501" s="109"/>
      <c r="C501" s="4"/>
      <c r="D501" s="110"/>
      <c r="F501" s="219"/>
      <c r="H501" s="110"/>
      <c r="AJ501" s="111"/>
      <c r="AK501" s="111"/>
      <c r="AW501" s="4"/>
      <c r="AX501" s="4"/>
      <c r="AY501" s="112"/>
      <c r="BA501" s="114"/>
      <c r="CQ501" s="113"/>
      <c r="CS501" s="116"/>
      <c r="CV501" s="9"/>
      <c r="CW501" s="9"/>
      <c r="CX501" s="9"/>
      <c r="CY501" s="9"/>
      <c r="CZ501" s="139"/>
      <c r="DA501" s="139"/>
      <c r="DB501" s="139"/>
      <c r="DC501" s="139"/>
      <c r="DD501" s="139"/>
      <c r="DE501" s="139"/>
      <c r="DF501" s="139"/>
      <c r="DG501" s="139"/>
      <c r="DH501" s="139"/>
      <c r="DI501" s="13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  <c r="HE501" s="9"/>
      <c r="HF501" s="9"/>
      <c r="HG501" s="9"/>
      <c r="HH501" s="9"/>
      <c r="HI501" s="9"/>
      <c r="HJ501" s="9"/>
      <c r="HK501" s="9"/>
      <c r="HL501" s="9"/>
    </row>
    <row r="502" spans="1:220" s="99" customFormat="1">
      <c r="A502" s="109"/>
      <c r="C502" s="4"/>
      <c r="D502" s="110"/>
      <c r="F502" s="219"/>
      <c r="H502" s="110"/>
      <c r="AJ502" s="111"/>
      <c r="AK502" s="111"/>
      <c r="AW502" s="4"/>
      <c r="AX502" s="4"/>
      <c r="AY502" s="112"/>
      <c r="BA502" s="114"/>
      <c r="CQ502" s="113"/>
      <c r="CS502" s="116"/>
      <c r="CV502" s="9"/>
      <c r="CW502" s="9"/>
      <c r="CX502" s="9"/>
      <c r="CY502" s="9"/>
      <c r="CZ502" s="139"/>
      <c r="DA502" s="139"/>
      <c r="DB502" s="139"/>
      <c r="DC502" s="139"/>
      <c r="DD502" s="139"/>
      <c r="DE502" s="139"/>
      <c r="DF502" s="139"/>
      <c r="DG502" s="139"/>
      <c r="DH502" s="139"/>
      <c r="DI502" s="13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  <c r="HE502" s="9"/>
      <c r="HF502" s="9"/>
      <c r="HG502" s="9"/>
      <c r="HH502" s="9"/>
      <c r="HI502" s="9"/>
      <c r="HJ502" s="9"/>
      <c r="HK502" s="9"/>
      <c r="HL502" s="9"/>
    </row>
    <row r="503" spans="1:220" s="99" customFormat="1">
      <c r="A503" s="109"/>
      <c r="C503" s="4"/>
      <c r="D503" s="110"/>
      <c r="F503" s="219"/>
      <c r="H503" s="110"/>
      <c r="AJ503" s="111"/>
      <c r="AK503" s="111"/>
      <c r="AW503" s="4"/>
      <c r="AX503" s="4"/>
      <c r="AY503" s="112"/>
      <c r="BA503" s="114"/>
      <c r="CQ503" s="113"/>
      <c r="CS503" s="116"/>
      <c r="CV503" s="9"/>
      <c r="CW503" s="9"/>
      <c r="CX503" s="9"/>
      <c r="CY503" s="9"/>
      <c r="CZ503" s="139"/>
      <c r="DA503" s="139"/>
      <c r="DB503" s="139"/>
      <c r="DC503" s="139"/>
      <c r="DD503" s="139"/>
      <c r="DE503" s="139"/>
      <c r="DF503" s="139"/>
      <c r="DG503" s="139"/>
      <c r="DH503" s="139"/>
      <c r="DI503" s="13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</row>
    <row r="504" spans="1:220" s="99" customFormat="1">
      <c r="A504" s="109"/>
      <c r="C504" s="4"/>
      <c r="D504" s="110"/>
      <c r="F504" s="219"/>
      <c r="H504" s="110"/>
      <c r="AJ504" s="111"/>
      <c r="AK504" s="111"/>
      <c r="AW504" s="4"/>
      <c r="AX504" s="4"/>
      <c r="AY504" s="112"/>
      <c r="BA504" s="114"/>
      <c r="CQ504" s="113"/>
      <c r="CS504" s="116"/>
      <c r="CV504" s="9"/>
      <c r="CW504" s="9"/>
      <c r="CX504" s="9"/>
      <c r="CY504" s="9"/>
      <c r="CZ504" s="139"/>
      <c r="DA504" s="139"/>
      <c r="DB504" s="139"/>
      <c r="DC504" s="139"/>
      <c r="DD504" s="139"/>
      <c r="DE504" s="139"/>
      <c r="DF504" s="139"/>
      <c r="DG504" s="139"/>
      <c r="DH504" s="139"/>
      <c r="DI504" s="13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9"/>
      <c r="FS504" s="9"/>
      <c r="FT504" s="9"/>
      <c r="FU504" s="9"/>
      <c r="FV504" s="9"/>
      <c r="FW504" s="9"/>
      <c r="FX504" s="9"/>
      <c r="FY504" s="9"/>
      <c r="FZ504" s="9"/>
      <c r="GA504" s="9"/>
      <c r="GB504" s="9"/>
      <c r="GC504" s="9"/>
      <c r="GD504" s="9"/>
      <c r="GE504" s="9"/>
      <c r="GF504" s="9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  <c r="HJ504" s="9"/>
      <c r="HK504" s="9"/>
      <c r="HL504" s="9"/>
    </row>
    <row r="505" spans="1:220" s="99" customFormat="1">
      <c r="A505" s="109"/>
      <c r="C505" s="4"/>
      <c r="D505" s="110"/>
      <c r="F505" s="219"/>
      <c r="H505" s="110"/>
      <c r="AJ505" s="111"/>
      <c r="AK505" s="111"/>
      <c r="AW505" s="4"/>
      <c r="AX505" s="4"/>
      <c r="AY505" s="112"/>
      <c r="BA505" s="114"/>
      <c r="CQ505" s="113"/>
      <c r="CS505" s="116"/>
      <c r="CV505" s="9"/>
      <c r="CW505" s="9"/>
      <c r="CX505" s="9"/>
      <c r="CY505" s="9"/>
      <c r="CZ505" s="139"/>
      <c r="DA505" s="139"/>
      <c r="DB505" s="139"/>
      <c r="DC505" s="139"/>
      <c r="DD505" s="139"/>
      <c r="DE505" s="139"/>
      <c r="DF505" s="139"/>
      <c r="DG505" s="139"/>
      <c r="DH505" s="139"/>
      <c r="DI505" s="13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</row>
    <row r="506" spans="1:220" s="99" customFormat="1">
      <c r="A506" s="109"/>
      <c r="C506" s="4"/>
      <c r="D506" s="110"/>
      <c r="F506" s="219"/>
      <c r="H506" s="110"/>
      <c r="AJ506" s="111"/>
      <c r="AK506" s="111"/>
      <c r="AW506" s="4"/>
      <c r="AX506" s="4"/>
      <c r="AY506" s="112"/>
      <c r="BA506" s="114"/>
      <c r="CQ506" s="113"/>
      <c r="CS506" s="116"/>
      <c r="CV506" s="9"/>
      <c r="CW506" s="9"/>
      <c r="CX506" s="9"/>
      <c r="CY506" s="9"/>
      <c r="CZ506" s="139"/>
      <c r="DA506" s="139"/>
      <c r="DB506" s="139"/>
      <c r="DC506" s="139"/>
      <c r="DD506" s="139"/>
      <c r="DE506" s="139"/>
      <c r="DF506" s="139"/>
      <c r="DG506" s="139"/>
      <c r="DH506" s="139"/>
      <c r="DI506" s="13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9"/>
      <c r="FS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  <c r="HJ506" s="9"/>
      <c r="HK506" s="9"/>
      <c r="HL506" s="9"/>
    </row>
    <row r="507" spans="1:220" s="99" customFormat="1">
      <c r="A507" s="109"/>
      <c r="C507" s="4"/>
      <c r="D507" s="110"/>
      <c r="F507" s="219"/>
      <c r="H507" s="110"/>
      <c r="AJ507" s="111"/>
      <c r="AK507" s="111"/>
      <c r="AW507" s="4"/>
      <c r="AX507" s="4"/>
      <c r="AY507" s="112"/>
      <c r="BA507" s="114"/>
      <c r="CQ507" s="113"/>
      <c r="CS507" s="116"/>
      <c r="CV507" s="9"/>
      <c r="CW507" s="9"/>
      <c r="CX507" s="9"/>
      <c r="CY507" s="9"/>
      <c r="CZ507" s="139"/>
      <c r="DA507" s="139"/>
      <c r="DB507" s="139"/>
      <c r="DC507" s="139"/>
      <c r="DD507" s="139"/>
      <c r="DE507" s="139"/>
      <c r="DF507" s="139"/>
      <c r="DG507" s="139"/>
      <c r="DH507" s="139"/>
      <c r="DI507" s="13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</row>
    <row r="508" spans="1:220" s="99" customFormat="1">
      <c r="A508" s="109"/>
      <c r="C508" s="4"/>
      <c r="D508" s="110"/>
      <c r="F508" s="219"/>
      <c r="H508" s="110"/>
      <c r="AJ508" s="111"/>
      <c r="AK508" s="111"/>
      <c r="AW508" s="4"/>
      <c r="AX508" s="4"/>
      <c r="AY508" s="112"/>
      <c r="BA508" s="114"/>
      <c r="CQ508" s="113"/>
      <c r="CS508" s="116"/>
      <c r="CV508" s="9"/>
      <c r="CW508" s="9"/>
      <c r="CX508" s="9"/>
      <c r="CY508" s="9"/>
      <c r="CZ508" s="139"/>
      <c r="DA508" s="139"/>
      <c r="DB508" s="139"/>
      <c r="DC508" s="139"/>
      <c r="DD508" s="139"/>
      <c r="DE508" s="139"/>
      <c r="DF508" s="139"/>
      <c r="DG508" s="139"/>
      <c r="DH508" s="139"/>
      <c r="DI508" s="13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</row>
    <row r="509" spans="1:220" s="99" customFormat="1">
      <c r="A509" s="109"/>
      <c r="C509" s="4"/>
      <c r="D509" s="110"/>
      <c r="F509" s="219"/>
      <c r="H509" s="110"/>
      <c r="AJ509" s="111"/>
      <c r="AK509" s="111"/>
      <c r="AW509" s="4"/>
      <c r="AX509" s="4"/>
      <c r="AY509" s="112"/>
      <c r="BA509" s="114"/>
      <c r="CQ509" s="113"/>
      <c r="CS509" s="116"/>
      <c r="CV509" s="9"/>
      <c r="CW509" s="9"/>
      <c r="CX509" s="9"/>
      <c r="CY509" s="9"/>
      <c r="CZ509" s="139"/>
      <c r="DA509" s="139"/>
      <c r="DB509" s="139"/>
      <c r="DC509" s="139"/>
      <c r="DD509" s="139"/>
      <c r="DE509" s="139"/>
      <c r="DF509" s="139"/>
      <c r="DG509" s="139"/>
      <c r="DH509" s="139"/>
      <c r="DI509" s="13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  <c r="HJ509" s="9"/>
      <c r="HK509" s="9"/>
      <c r="HL509" s="9"/>
    </row>
    <row r="510" spans="1:220" s="99" customFormat="1">
      <c r="A510" s="109"/>
      <c r="C510" s="4"/>
      <c r="D510" s="110"/>
      <c r="F510" s="219"/>
      <c r="H510" s="110"/>
      <c r="AJ510" s="111"/>
      <c r="AK510" s="111"/>
      <c r="AW510" s="4"/>
      <c r="AX510" s="4"/>
      <c r="AY510" s="112"/>
      <c r="BA510" s="114"/>
      <c r="CQ510" s="113"/>
      <c r="CS510" s="116"/>
      <c r="CV510" s="9"/>
      <c r="CW510" s="9"/>
      <c r="CX510" s="9"/>
      <c r="CY510" s="9"/>
      <c r="CZ510" s="139"/>
      <c r="DA510" s="139"/>
      <c r="DB510" s="139"/>
      <c r="DC510" s="139"/>
      <c r="DD510" s="139"/>
      <c r="DE510" s="139"/>
      <c r="DF510" s="139"/>
      <c r="DG510" s="139"/>
      <c r="DH510" s="139"/>
      <c r="DI510" s="13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9"/>
      <c r="GB510" s="9"/>
      <c r="GC510" s="9"/>
      <c r="GD510" s="9"/>
      <c r="GE510" s="9"/>
      <c r="GF510" s="9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  <c r="HE510" s="9"/>
      <c r="HF510" s="9"/>
      <c r="HG510" s="9"/>
      <c r="HH510" s="9"/>
      <c r="HI510" s="9"/>
      <c r="HJ510" s="9"/>
      <c r="HK510" s="9"/>
      <c r="HL510" s="9"/>
    </row>
    <row r="511" spans="1:220" s="99" customFormat="1">
      <c r="A511" s="109"/>
      <c r="C511" s="4"/>
      <c r="D511" s="110"/>
      <c r="F511" s="219"/>
      <c r="H511" s="110"/>
      <c r="AJ511" s="111"/>
      <c r="AK511" s="111"/>
      <c r="AW511" s="4"/>
      <c r="AX511" s="4"/>
      <c r="AY511" s="112"/>
      <c r="BA511" s="114"/>
      <c r="CQ511" s="113"/>
      <c r="CS511" s="116"/>
      <c r="CV511" s="9"/>
      <c r="CW511" s="9"/>
      <c r="CX511" s="9"/>
      <c r="CY511" s="9"/>
      <c r="CZ511" s="139"/>
      <c r="DA511" s="139"/>
      <c r="DB511" s="139"/>
      <c r="DC511" s="139"/>
      <c r="DD511" s="139"/>
      <c r="DE511" s="139"/>
      <c r="DF511" s="139"/>
      <c r="DG511" s="139"/>
      <c r="DH511" s="139"/>
      <c r="DI511" s="13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</row>
    <row r="512" spans="1:220" s="99" customFormat="1">
      <c r="A512" s="109"/>
      <c r="C512" s="4"/>
      <c r="D512" s="110"/>
      <c r="F512" s="219"/>
      <c r="H512" s="110"/>
      <c r="AJ512" s="111"/>
      <c r="AK512" s="111"/>
      <c r="AW512" s="4"/>
      <c r="AX512" s="4"/>
      <c r="AY512" s="112"/>
      <c r="BA512" s="114"/>
      <c r="CQ512" s="113"/>
      <c r="CS512" s="116"/>
      <c r="CV512" s="9"/>
      <c r="CW512" s="9"/>
      <c r="CX512" s="9"/>
      <c r="CY512" s="9"/>
      <c r="CZ512" s="139"/>
      <c r="DA512" s="139"/>
      <c r="DB512" s="139"/>
      <c r="DC512" s="139"/>
      <c r="DD512" s="139"/>
      <c r="DE512" s="139"/>
      <c r="DF512" s="139"/>
      <c r="DG512" s="139"/>
      <c r="DH512" s="139"/>
      <c r="DI512" s="13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</row>
    <row r="513" spans="1:220" s="99" customFormat="1">
      <c r="A513" s="109"/>
      <c r="C513" s="4"/>
      <c r="D513" s="110"/>
      <c r="F513" s="219"/>
      <c r="H513" s="110"/>
      <c r="AJ513" s="111"/>
      <c r="AK513" s="111"/>
      <c r="AW513" s="4"/>
      <c r="AX513" s="4"/>
      <c r="AY513" s="112"/>
      <c r="BA513" s="114"/>
      <c r="CQ513" s="113"/>
      <c r="CS513" s="116"/>
      <c r="CV513" s="9"/>
      <c r="CW513" s="9"/>
      <c r="CX513" s="9"/>
      <c r="CY513" s="9"/>
      <c r="CZ513" s="139"/>
      <c r="DA513" s="139"/>
      <c r="DB513" s="139"/>
      <c r="DC513" s="139"/>
      <c r="DD513" s="139"/>
      <c r="DE513" s="139"/>
      <c r="DF513" s="139"/>
      <c r="DG513" s="139"/>
      <c r="DH513" s="139"/>
      <c r="DI513" s="13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</row>
    <row r="514" spans="1:220" s="99" customFormat="1">
      <c r="A514" s="109"/>
      <c r="C514" s="4"/>
      <c r="D514" s="110"/>
      <c r="F514" s="219"/>
      <c r="H514" s="110"/>
      <c r="AJ514" s="111"/>
      <c r="AK514" s="111"/>
      <c r="AW514" s="4"/>
      <c r="AX514" s="4"/>
      <c r="AY514" s="112"/>
      <c r="BA514" s="114"/>
      <c r="CQ514" s="113"/>
      <c r="CS514" s="116"/>
      <c r="CV514" s="9"/>
      <c r="CW514" s="9"/>
      <c r="CX514" s="9"/>
      <c r="CY514" s="9"/>
      <c r="CZ514" s="139"/>
      <c r="DA514" s="139"/>
      <c r="DB514" s="139"/>
      <c r="DC514" s="139"/>
      <c r="DD514" s="139"/>
      <c r="DE514" s="139"/>
      <c r="DF514" s="139"/>
      <c r="DG514" s="139"/>
      <c r="DH514" s="139"/>
      <c r="DI514" s="13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  <c r="FI514" s="9"/>
      <c r="FJ514" s="9"/>
      <c r="FK514" s="9"/>
      <c r="FL514" s="9"/>
      <c r="FM514" s="9"/>
      <c r="FN514" s="9"/>
      <c r="FO514" s="9"/>
      <c r="FP514" s="9"/>
      <c r="FQ514" s="9"/>
      <c r="FR514" s="9"/>
      <c r="FS514" s="9"/>
      <c r="FT514" s="9"/>
      <c r="FU514" s="9"/>
      <c r="FV514" s="9"/>
      <c r="FW514" s="9"/>
      <c r="FX514" s="9"/>
      <c r="FY514" s="9"/>
      <c r="FZ514" s="9"/>
      <c r="GA514" s="9"/>
      <c r="GB514" s="9"/>
      <c r="GC514" s="9"/>
      <c r="GD514" s="9"/>
      <c r="GE514" s="9"/>
      <c r="GF514" s="9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  <c r="HJ514" s="9"/>
      <c r="HK514" s="9"/>
      <c r="HL514" s="9"/>
    </row>
    <row r="515" spans="1:220" s="99" customFormat="1">
      <c r="A515" s="109"/>
      <c r="C515" s="4"/>
      <c r="D515" s="110"/>
      <c r="F515" s="219"/>
      <c r="H515" s="110"/>
      <c r="AJ515" s="111"/>
      <c r="AK515" s="111"/>
      <c r="AW515" s="4"/>
      <c r="AX515" s="4"/>
      <c r="AY515" s="112"/>
      <c r="BA515" s="114"/>
      <c r="CQ515" s="113"/>
      <c r="CS515" s="116"/>
      <c r="CV515" s="9"/>
      <c r="CW515" s="9"/>
      <c r="CX515" s="9"/>
      <c r="CY515" s="9"/>
      <c r="CZ515" s="139"/>
      <c r="DA515" s="139"/>
      <c r="DB515" s="139"/>
      <c r="DC515" s="139"/>
      <c r="DD515" s="139"/>
      <c r="DE515" s="139"/>
      <c r="DF515" s="139"/>
      <c r="DG515" s="139"/>
      <c r="DH515" s="139"/>
      <c r="DI515" s="13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E515" s="9"/>
      <c r="FF515" s="9"/>
      <c r="FG515" s="9"/>
      <c r="FH515" s="9"/>
      <c r="FI515" s="9"/>
      <c r="FJ515" s="9"/>
      <c r="FK515" s="9"/>
      <c r="FL515" s="9"/>
      <c r="FM515" s="9"/>
      <c r="FN515" s="9"/>
      <c r="FO515" s="9"/>
      <c r="FP515" s="9"/>
      <c r="FQ515" s="9"/>
      <c r="FR515" s="9"/>
      <c r="FS515" s="9"/>
      <c r="FT515" s="9"/>
      <c r="FU515" s="9"/>
      <c r="FV515" s="9"/>
      <c r="FW515" s="9"/>
      <c r="FX515" s="9"/>
      <c r="FY515" s="9"/>
      <c r="FZ515" s="9"/>
      <c r="GA515" s="9"/>
      <c r="GB515" s="9"/>
      <c r="GC515" s="9"/>
      <c r="GD515" s="9"/>
      <c r="GE515" s="9"/>
      <c r="GF515" s="9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  <c r="HE515" s="9"/>
      <c r="HF515" s="9"/>
      <c r="HG515" s="9"/>
      <c r="HH515" s="9"/>
      <c r="HI515" s="9"/>
      <c r="HJ515" s="9"/>
      <c r="HK515" s="9"/>
      <c r="HL515" s="9"/>
    </row>
    <row r="516" spans="1:220" s="99" customFormat="1">
      <c r="A516" s="109"/>
      <c r="C516" s="4"/>
      <c r="D516" s="110"/>
      <c r="F516" s="219"/>
      <c r="H516" s="110"/>
      <c r="AJ516" s="111"/>
      <c r="AK516" s="111"/>
      <c r="AW516" s="4"/>
      <c r="AX516" s="4"/>
      <c r="AY516" s="112"/>
      <c r="BA516" s="114"/>
      <c r="CQ516" s="113"/>
      <c r="CS516" s="116"/>
      <c r="CV516" s="9"/>
      <c r="CW516" s="9"/>
      <c r="CX516" s="9"/>
      <c r="CY516" s="9"/>
      <c r="CZ516" s="139"/>
      <c r="DA516" s="139"/>
      <c r="DB516" s="139"/>
      <c r="DC516" s="139"/>
      <c r="DD516" s="139"/>
      <c r="DE516" s="139"/>
      <c r="DF516" s="139"/>
      <c r="DG516" s="139"/>
      <c r="DH516" s="139"/>
      <c r="DI516" s="13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9"/>
      <c r="FS516" s="9"/>
      <c r="FT516" s="9"/>
      <c r="FU516" s="9"/>
      <c r="FV516" s="9"/>
      <c r="FW516" s="9"/>
      <c r="FX516" s="9"/>
      <c r="FY516" s="9"/>
      <c r="FZ516" s="9"/>
      <c r="GA516" s="9"/>
      <c r="GB516" s="9"/>
      <c r="GC516" s="9"/>
      <c r="GD516" s="9"/>
      <c r="GE516" s="9"/>
      <c r="GF516" s="9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  <c r="HJ516" s="9"/>
      <c r="HK516" s="9"/>
      <c r="HL516" s="9"/>
    </row>
    <row r="517" spans="1:220" s="99" customFormat="1">
      <c r="A517" s="109"/>
      <c r="C517" s="4"/>
      <c r="D517" s="110"/>
      <c r="F517" s="219"/>
      <c r="H517" s="110"/>
      <c r="AJ517" s="111"/>
      <c r="AK517" s="111"/>
      <c r="AW517" s="4"/>
      <c r="AX517" s="4"/>
      <c r="AY517" s="112"/>
      <c r="BA517" s="114"/>
      <c r="CQ517" s="113"/>
      <c r="CS517" s="116"/>
      <c r="CV517" s="9"/>
      <c r="CW517" s="9"/>
      <c r="CX517" s="9"/>
      <c r="CY517" s="9"/>
      <c r="CZ517" s="139"/>
      <c r="DA517" s="139"/>
      <c r="DB517" s="139"/>
      <c r="DC517" s="139"/>
      <c r="DD517" s="139"/>
      <c r="DE517" s="139"/>
      <c r="DF517" s="139"/>
      <c r="DG517" s="139"/>
      <c r="DH517" s="139"/>
      <c r="DI517" s="13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  <c r="HJ517" s="9"/>
      <c r="HK517" s="9"/>
      <c r="HL517" s="9"/>
    </row>
    <row r="518" spans="1:220" s="99" customFormat="1">
      <c r="A518" s="109"/>
      <c r="C518" s="4"/>
      <c r="D518" s="110"/>
      <c r="F518" s="219"/>
      <c r="H518" s="110"/>
      <c r="AJ518" s="111"/>
      <c r="AK518" s="111"/>
      <c r="AW518" s="4"/>
      <c r="AX518" s="4"/>
      <c r="AY518" s="112"/>
      <c r="BA518" s="114"/>
      <c r="CQ518" s="113"/>
      <c r="CS518" s="116"/>
      <c r="CV518" s="9"/>
      <c r="CW518" s="9"/>
      <c r="CX518" s="9"/>
      <c r="CY518" s="9"/>
      <c r="CZ518" s="139"/>
      <c r="DA518" s="139"/>
      <c r="DB518" s="139"/>
      <c r="DC518" s="139"/>
      <c r="DD518" s="139"/>
      <c r="DE518" s="139"/>
      <c r="DF518" s="139"/>
      <c r="DG518" s="139"/>
      <c r="DH518" s="139"/>
      <c r="DI518" s="13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</row>
    <row r="519" spans="1:220" s="99" customFormat="1">
      <c r="A519" s="109"/>
      <c r="C519" s="4"/>
      <c r="D519" s="110"/>
      <c r="F519" s="219"/>
      <c r="H519" s="110"/>
      <c r="AJ519" s="111"/>
      <c r="AK519" s="111"/>
      <c r="AW519" s="4"/>
      <c r="AX519" s="4"/>
      <c r="AY519" s="112"/>
      <c r="BA519" s="114"/>
      <c r="CQ519" s="113"/>
      <c r="CS519" s="116"/>
      <c r="CV519" s="9"/>
      <c r="CW519" s="9"/>
      <c r="CX519" s="9"/>
      <c r="CY519" s="9"/>
      <c r="CZ519" s="139"/>
      <c r="DA519" s="139"/>
      <c r="DB519" s="139"/>
      <c r="DC519" s="139"/>
      <c r="DD519" s="139"/>
      <c r="DE519" s="139"/>
      <c r="DF519" s="139"/>
      <c r="DG519" s="139"/>
      <c r="DH519" s="139"/>
      <c r="DI519" s="13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  <c r="HJ519" s="9"/>
      <c r="HK519" s="9"/>
      <c r="HL519" s="9"/>
    </row>
    <row r="520" spans="1:220" s="99" customFormat="1">
      <c r="A520" s="109"/>
      <c r="C520" s="4"/>
      <c r="D520" s="110"/>
      <c r="F520" s="219"/>
      <c r="H520" s="110"/>
      <c r="AJ520" s="111"/>
      <c r="AK520" s="111"/>
      <c r="AW520" s="4"/>
      <c r="AX520" s="4"/>
      <c r="AY520" s="112"/>
      <c r="BA520" s="114"/>
      <c r="CQ520" s="113"/>
      <c r="CS520" s="116"/>
      <c r="CV520" s="9"/>
      <c r="CW520" s="9"/>
      <c r="CX520" s="9"/>
      <c r="CY520" s="9"/>
      <c r="CZ520" s="139"/>
      <c r="DA520" s="139"/>
      <c r="DB520" s="139"/>
      <c r="DC520" s="139"/>
      <c r="DD520" s="139"/>
      <c r="DE520" s="139"/>
      <c r="DF520" s="139"/>
      <c r="DG520" s="139"/>
      <c r="DH520" s="139"/>
      <c r="DI520" s="13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</row>
    <row r="521" spans="1:220" s="99" customFormat="1">
      <c r="A521" s="109"/>
      <c r="C521" s="4"/>
      <c r="D521" s="110"/>
      <c r="F521" s="219"/>
      <c r="H521" s="110"/>
      <c r="AJ521" s="111"/>
      <c r="AK521" s="111"/>
      <c r="AW521" s="4"/>
      <c r="AX521" s="4"/>
      <c r="AY521" s="112"/>
      <c r="BA521" s="114"/>
      <c r="CQ521" s="113"/>
      <c r="CS521" s="116"/>
      <c r="CV521" s="9"/>
      <c r="CW521" s="9"/>
      <c r="CX521" s="9"/>
      <c r="CY521" s="9"/>
      <c r="CZ521" s="139"/>
      <c r="DA521" s="139"/>
      <c r="DB521" s="139"/>
      <c r="DC521" s="139"/>
      <c r="DD521" s="139"/>
      <c r="DE521" s="139"/>
      <c r="DF521" s="139"/>
      <c r="DG521" s="139"/>
      <c r="DH521" s="139"/>
      <c r="DI521" s="13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  <c r="HJ521" s="9"/>
      <c r="HK521" s="9"/>
      <c r="HL521" s="9"/>
    </row>
    <row r="522" spans="1:220" s="99" customFormat="1">
      <c r="A522" s="109"/>
      <c r="C522" s="4"/>
      <c r="D522" s="110"/>
      <c r="F522" s="219"/>
      <c r="H522" s="110"/>
      <c r="AJ522" s="111"/>
      <c r="AK522" s="111"/>
      <c r="AW522" s="4"/>
      <c r="AX522" s="4"/>
      <c r="AY522" s="112"/>
      <c r="BA522" s="114"/>
      <c r="CQ522" s="113"/>
      <c r="CS522" s="116"/>
      <c r="CV522" s="9"/>
      <c r="CW522" s="9"/>
      <c r="CX522" s="9"/>
      <c r="CY522" s="9"/>
      <c r="CZ522" s="139"/>
      <c r="DA522" s="139"/>
      <c r="DB522" s="139"/>
      <c r="DC522" s="139"/>
      <c r="DD522" s="139"/>
      <c r="DE522" s="139"/>
      <c r="DF522" s="139"/>
      <c r="DG522" s="139"/>
      <c r="DH522" s="139"/>
      <c r="DI522" s="13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</row>
    <row r="523" spans="1:220" s="99" customFormat="1">
      <c r="A523" s="109"/>
      <c r="C523" s="4"/>
      <c r="D523" s="110"/>
      <c r="F523" s="219"/>
      <c r="H523" s="110"/>
      <c r="AJ523" s="111"/>
      <c r="AK523" s="111"/>
      <c r="AW523" s="4"/>
      <c r="AX523" s="4"/>
      <c r="AY523" s="112"/>
      <c r="BA523" s="114"/>
      <c r="CQ523" s="113"/>
      <c r="CS523" s="116"/>
      <c r="CV523" s="9"/>
      <c r="CW523" s="9"/>
      <c r="CX523" s="9"/>
      <c r="CY523" s="9"/>
      <c r="CZ523" s="139"/>
      <c r="DA523" s="139"/>
      <c r="DB523" s="139"/>
      <c r="DC523" s="139"/>
      <c r="DD523" s="139"/>
      <c r="DE523" s="139"/>
      <c r="DF523" s="139"/>
      <c r="DG523" s="139"/>
      <c r="DH523" s="139"/>
      <c r="DI523" s="13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  <c r="HJ523" s="9"/>
      <c r="HK523" s="9"/>
      <c r="HL523" s="9"/>
    </row>
    <row r="524" spans="1:220" s="99" customFormat="1">
      <c r="A524" s="109"/>
      <c r="C524" s="4"/>
      <c r="D524" s="110"/>
      <c r="F524" s="219"/>
      <c r="H524" s="110"/>
      <c r="AJ524" s="111"/>
      <c r="AK524" s="111"/>
      <c r="AW524" s="4"/>
      <c r="AX524" s="4"/>
      <c r="AY524" s="112"/>
      <c r="BA524" s="114"/>
      <c r="CQ524" s="113"/>
      <c r="CS524" s="116"/>
      <c r="CV524" s="9"/>
      <c r="CW524" s="9"/>
      <c r="CX524" s="9"/>
      <c r="CY524" s="9"/>
      <c r="CZ524" s="139"/>
      <c r="DA524" s="139"/>
      <c r="DB524" s="139"/>
      <c r="DC524" s="139"/>
      <c r="DD524" s="139"/>
      <c r="DE524" s="139"/>
      <c r="DF524" s="139"/>
      <c r="DG524" s="139"/>
      <c r="DH524" s="139"/>
      <c r="DI524" s="13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</row>
    <row r="525" spans="1:220" s="99" customFormat="1">
      <c r="A525" s="109"/>
      <c r="C525" s="4"/>
      <c r="D525" s="110"/>
      <c r="F525" s="219"/>
      <c r="H525" s="110"/>
      <c r="AJ525" s="111"/>
      <c r="AK525" s="111"/>
      <c r="AW525" s="4"/>
      <c r="AX525" s="4"/>
      <c r="AY525" s="112"/>
      <c r="BA525" s="114"/>
      <c r="CQ525" s="113"/>
      <c r="CS525" s="116"/>
      <c r="CV525" s="9"/>
      <c r="CW525" s="9"/>
      <c r="CX525" s="9"/>
      <c r="CY525" s="9"/>
      <c r="CZ525" s="139"/>
      <c r="DA525" s="139"/>
      <c r="DB525" s="139"/>
      <c r="DC525" s="139"/>
      <c r="DD525" s="139"/>
      <c r="DE525" s="139"/>
      <c r="DF525" s="139"/>
      <c r="DG525" s="139"/>
      <c r="DH525" s="139"/>
      <c r="DI525" s="13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  <c r="HJ525" s="9"/>
      <c r="HK525" s="9"/>
      <c r="HL525" s="9"/>
    </row>
    <row r="526" spans="1:220" s="99" customFormat="1">
      <c r="A526" s="109"/>
      <c r="C526" s="4"/>
      <c r="D526" s="110"/>
      <c r="F526" s="219"/>
      <c r="H526" s="110"/>
      <c r="AJ526" s="111"/>
      <c r="AK526" s="111"/>
      <c r="AW526" s="4"/>
      <c r="AX526" s="4"/>
      <c r="AY526" s="112"/>
      <c r="BA526" s="114"/>
      <c r="CQ526" s="113"/>
      <c r="CS526" s="116"/>
      <c r="CV526" s="9"/>
      <c r="CW526" s="9"/>
      <c r="CX526" s="9"/>
      <c r="CY526" s="9"/>
      <c r="CZ526" s="139"/>
      <c r="DA526" s="139"/>
      <c r="DB526" s="139"/>
      <c r="DC526" s="139"/>
      <c r="DD526" s="139"/>
      <c r="DE526" s="139"/>
      <c r="DF526" s="139"/>
      <c r="DG526" s="139"/>
      <c r="DH526" s="139"/>
      <c r="DI526" s="13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</row>
    <row r="527" spans="1:220" s="99" customFormat="1">
      <c r="A527" s="109"/>
      <c r="C527" s="4"/>
      <c r="D527" s="110"/>
      <c r="F527" s="219"/>
      <c r="H527" s="110"/>
      <c r="AJ527" s="111"/>
      <c r="AK527" s="111"/>
      <c r="AW527" s="4"/>
      <c r="AX527" s="4"/>
      <c r="AY527" s="112"/>
      <c r="BA527" s="114"/>
      <c r="CQ527" s="113"/>
      <c r="CS527" s="116"/>
      <c r="CV527" s="9"/>
      <c r="CW527" s="9"/>
      <c r="CX527" s="9"/>
      <c r="CY527" s="9"/>
      <c r="CZ527" s="139"/>
      <c r="DA527" s="139"/>
      <c r="DB527" s="139"/>
      <c r="DC527" s="139"/>
      <c r="DD527" s="139"/>
      <c r="DE527" s="139"/>
      <c r="DF527" s="139"/>
      <c r="DG527" s="139"/>
      <c r="DH527" s="139"/>
      <c r="DI527" s="13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  <c r="FI527" s="9"/>
      <c r="FJ527" s="9"/>
      <c r="FK527" s="9"/>
      <c r="FL527" s="9"/>
      <c r="FM527" s="9"/>
      <c r="FN527" s="9"/>
      <c r="FO527" s="9"/>
      <c r="FP527" s="9"/>
      <c r="FQ527" s="9"/>
      <c r="FR527" s="9"/>
      <c r="FS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  <c r="HE527" s="9"/>
      <c r="HF527" s="9"/>
      <c r="HG527" s="9"/>
      <c r="HH527" s="9"/>
      <c r="HI527" s="9"/>
      <c r="HJ527" s="9"/>
      <c r="HK527" s="9"/>
      <c r="HL527" s="9"/>
    </row>
    <row r="528" spans="1:220" s="99" customFormat="1">
      <c r="A528" s="109"/>
      <c r="C528" s="4"/>
      <c r="D528" s="110"/>
      <c r="F528" s="219"/>
      <c r="H528" s="110"/>
      <c r="AJ528" s="111"/>
      <c r="AK528" s="111"/>
      <c r="AW528" s="4"/>
      <c r="AX528" s="4"/>
      <c r="AY528" s="112"/>
      <c r="BA528" s="114"/>
      <c r="CQ528" s="113"/>
      <c r="CS528" s="116"/>
      <c r="CV528" s="9"/>
      <c r="CW528" s="9"/>
      <c r="CX528" s="9"/>
      <c r="CY528" s="9"/>
      <c r="CZ528" s="139"/>
      <c r="DA528" s="139"/>
      <c r="DB528" s="139"/>
      <c r="DC528" s="139"/>
      <c r="DD528" s="139"/>
      <c r="DE528" s="139"/>
      <c r="DF528" s="139"/>
      <c r="DG528" s="139"/>
      <c r="DH528" s="139"/>
      <c r="DI528" s="13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</row>
    <row r="529" spans="1:220" s="99" customFormat="1">
      <c r="A529" s="109"/>
      <c r="C529" s="4"/>
      <c r="D529" s="110"/>
      <c r="F529" s="219"/>
      <c r="H529" s="110"/>
      <c r="AJ529" s="111"/>
      <c r="AK529" s="111"/>
      <c r="AW529" s="4"/>
      <c r="AX529" s="4"/>
      <c r="AY529" s="112"/>
      <c r="BA529" s="114"/>
      <c r="CQ529" s="113"/>
      <c r="CS529" s="116"/>
      <c r="CV529" s="9"/>
      <c r="CW529" s="9"/>
      <c r="CX529" s="9"/>
      <c r="CY529" s="9"/>
      <c r="CZ529" s="139"/>
      <c r="DA529" s="139"/>
      <c r="DB529" s="139"/>
      <c r="DC529" s="139"/>
      <c r="DD529" s="139"/>
      <c r="DE529" s="139"/>
      <c r="DF529" s="139"/>
      <c r="DG529" s="139"/>
      <c r="DH529" s="139"/>
      <c r="DI529" s="13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  <c r="HJ529" s="9"/>
      <c r="HK529" s="9"/>
      <c r="HL529" s="9"/>
    </row>
    <row r="530" spans="1:220" s="99" customFormat="1">
      <c r="A530" s="109"/>
      <c r="C530" s="4"/>
      <c r="D530" s="110"/>
      <c r="F530" s="219"/>
      <c r="H530" s="110"/>
      <c r="AJ530" s="111"/>
      <c r="AK530" s="111"/>
      <c r="AW530" s="4"/>
      <c r="AX530" s="4"/>
      <c r="AY530" s="112"/>
      <c r="BA530" s="114"/>
      <c r="CQ530" s="113"/>
      <c r="CS530" s="116"/>
      <c r="CV530" s="9"/>
      <c r="CW530" s="9"/>
      <c r="CX530" s="9"/>
      <c r="CY530" s="9"/>
      <c r="CZ530" s="139"/>
      <c r="DA530" s="139"/>
      <c r="DB530" s="139"/>
      <c r="DC530" s="139"/>
      <c r="DD530" s="139"/>
      <c r="DE530" s="139"/>
      <c r="DF530" s="139"/>
      <c r="DG530" s="139"/>
      <c r="DH530" s="139"/>
      <c r="DI530" s="13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</row>
    <row r="531" spans="1:220" s="99" customFormat="1">
      <c r="A531" s="109"/>
      <c r="C531" s="4"/>
      <c r="D531" s="110"/>
      <c r="F531" s="219"/>
      <c r="H531" s="110"/>
      <c r="AJ531" s="111"/>
      <c r="AK531" s="111"/>
      <c r="AW531" s="4"/>
      <c r="AX531" s="4"/>
      <c r="AY531" s="112"/>
      <c r="BA531" s="114"/>
      <c r="CQ531" s="113"/>
      <c r="CS531" s="116"/>
      <c r="CV531" s="9"/>
      <c r="CW531" s="9"/>
      <c r="CX531" s="9"/>
      <c r="CY531" s="9"/>
      <c r="CZ531" s="139"/>
      <c r="DA531" s="139"/>
      <c r="DB531" s="139"/>
      <c r="DC531" s="139"/>
      <c r="DD531" s="139"/>
      <c r="DE531" s="139"/>
      <c r="DF531" s="139"/>
      <c r="DG531" s="139"/>
      <c r="DH531" s="139"/>
      <c r="DI531" s="13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  <c r="HJ531" s="9"/>
      <c r="HK531" s="9"/>
      <c r="HL531" s="9"/>
    </row>
    <row r="532" spans="1:220" s="99" customFormat="1">
      <c r="A532" s="109"/>
      <c r="C532" s="4"/>
      <c r="D532" s="110"/>
      <c r="F532" s="219"/>
      <c r="H532" s="110"/>
      <c r="AJ532" s="111"/>
      <c r="AK532" s="111"/>
      <c r="AW532" s="4"/>
      <c r="AX532" s="4"/>
      <c r="AY532" s="112"/>
      <c r="BA532" s="114"/>
      <c r="CQ532" s="113"/>
      <c r="CS532" s="116"/>
      <c r="CV532" s="9"/>
      <c r="CW532" s="9"/>
      <c r="CX532" s="9"/>
      <c r="CY532" s="9"/>
      <c r="CZ532" s="139"/>
      <c r="DA532" s="139"/>
      <c r="DB532" s="139"/>
      <c r="DC532" s="139"/>
      <c r="DD532" s="139"/>
      <c r="DE532" s="139"/>
      <c r="DF532" s="139"/>
      <c r="DG532" s="139"/>
      <c r="DH532" s="139"/>
      <c r="DI532" s="13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</row>
    <row r="533" spans="1:220" s="99" customFormat="1">
      <c r="A533" s="109"/>
      <c r="C533" s="4"/>
      <c r="D533" s="110"/>
      <c r="F533" s="219"/>
      <c r="H533" s="110"/>
      <c r="AJ533" s="111"/>
      <c r="AK533" s="111"/>
      <c r="AW533" s="4"/>
      <c r="AX533" s="4"/>
      <c r="AY533" s="112"/>
      <c r="BA533" s="114"/>
      <c r="CQ533" s="113"/>
      <c r="CS533" s="116"/>
      <c r="CV533" s="9"/>
      <c r="CW533" s="9"/>
      <c r="CX533" s="9"/>
      <c r="CY533" s="9"/>
      <c r="CZ533" s="139"/>
      <c r="DA533" s="139"/>
      <c r="DB533" s="139"/>
      <c r="DC533" s="139"/>
      <c r="DD533" s="139"/>
      <c r="DE533" s="139"/>
      <c r="DF533" s="139"/>
      <c r="DG533" s="139"/>
      <c r="DH533" s="139"/>
      <c r="DI533" s="13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  <c r="HJ533" s="9"/>
      <c r="HK533" s="9"/>
      <c r="HL533" s="9"/>
    </row>
    <row r="534" spans="1:220" s="99" customFormat="1">
      <c r="A534" s="109"/>
      <c r="C534" s="4"/>
      <c r="D534" s="110"/>
      <c r="F534" s="219"/>
      <c r="H534" s="110"/>
      <c r="AJ534" s="111"/>
      <c r="AK534" s="111"/>
      <c r="AW534" s="4"/>
      <c r="AX534" s="4"/>
      <c r="AY534" s="112"/>
      <c r="BA534" s="114"/>
      <c r="CQ534" s="113"/>
      <c r="CS534" s="116"/>
      <c r="CV534" s="9"/>
      <c r="CW534" s="9"/>
      <c r="CX534" s="9"/>
      <c r="CY534" s="9"/>
      <c r="CZ534" s="139"/>
      <c r="DA534" s="139"/>
      <c r="DB534" s="139"/>
      <c r="DC534" s="139"/>
      <c r="DD534" s="139"/>
      <c r="DE534" s="139"/>
      <c r="DF534" s="139"/>
      <c r="DG534" s="139"/>
      <c r="DH534" s="139"/>
      <c r="DI534" s="13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9"/>
      <c r="FS534" s="9"/>
      <c r="FT534" s="9"/>
      <c r="FU534" s="9"/>
      <c r="FV534" s="9"/>
      <c r="FW534" s="9"/>
      <c r="FX534" s="9"/>
      <c r="FY534" s="9"/>
      <c r="FZ534" s="9"/>
      <c r="GA534" s="9"/>
      <c r="GB534" s="9"/>
      <c r="GC534" s="9"/>
      <c r="GD534" s="9"/>
      <c r="GE534" s="9"/>
      <c r="GF534" s="9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  <c r="HJ534" s="9"/>
      <c r="HK534" s="9"/>
      <c r="HL534" s="9"/>
    </row>
    <row r="535" spans="1:220" s="99" customFormat="1">
      <c r="A535" s="109"/>
      <c r="C535" s="4"/>
      <c r="D535" s="110"/>
      <c r="F535" s="219"/>
      <c r="H535" s="110"/>
      <c r="AJ535" s="111"/>
      <c r="AK535" s="111"/>
      <c r="AW535" s="4"/>
      <c r="AX535" s="4"/>
      <c r="AY535" s="112"/>
      <c r="BA535" s="114"/>
      <c r="CQ535" s="113"/>
      <c r="CS535" s="116"/>
      <c r="CV535" s="9"/>
      <c r="CW535" s="9"/>
      <c r="CX535" s="9"/>
      <c r="CY535" s="9"/>
      <c r="CZ535" s="139"/>
      <c r="DA535" s="139"/>
      <c r="DB535" s="139"/>
      <c r="DC535" s="139"/>
      <c r="DD535" s="139"/>
      <c r="DE535" s="139"/>
      <c r="DF535" s="139"/>
      <c r="DG535" s="139"/>
      <c r="DH535" s="139"/>
      <c r="DI535" s="13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</row>
    <row r="536" spans="1:220" s="99" customFormat="1">
      <c r="A536" s="109"/>
      <c r="C536" s="4"/>
      <c r="D536" s="110"/>
      <c r="F536" s="219"/>
      <c r="H536" s="110"/>
      <c r="AJ536" s="111"/>
      <c r="AK536" s="111"/>
      <c r="AW536" s="4"/>
      <c r="AX536" s="4"/>
      <c r="AY536" s="112"/>
      <c r="BA536" s="114"/>
      <c r="CQ536" s="113"/>
      <c r="CS536" s="116"/>
      <c r="CV536" s="9"/>
      <c r="CW536" s="9"/>
      <c r="CX536" s="9"/>
      <c r="CY536" s="9"/>
      <c r="CZ536" s="139"/>
      <c r="DA536" s="139"/>
      <c r="DB536" s="139"/>
      <c r="DC536" s="139"/>
      <c r="DD536" s="139"/>
      <c r="DE536" s="139"/>
      <c r="DF536" s="139"/>
      <c r="DG536" s="139"/>
      <c r="DH536" s="139"/>
      <c r="DI536" s="13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  <c r="HJ536" s="9"/>
      <c r="HK536" s="9"/>
      <c r="HL536" s="9"/>
    </row>
    <row r="537" spans="1:220" s="99" customFormat="1">
      <c r="A537" s="109"/>
      <c r="C537" s="4"/>
      <c r="D537" s="110"/>
      <c r="F537" s="219"/>
      <c r="H537" s="110"/>
      <c r="AJ537" s="111"/>
      <c r="AK537" s="111"/>
      <c r="AW537" s="4"/>
      <c r="AX537" s="4"/>
      <c r="AY537" s="112"/>
      <c r="BA537" s="114"/>
      <c r="CQ537" s="113"/>
      <c r="CS537" s="116"/>
      <c r="CV537" s="9"/>
      <c r="CW537" s="9"/>
      <c r="CX537" s="9"/>
      <c r="CY537" s="9"/>
      <c r="CZ537" s="139"/>
      <c r="DA537" s="139"/>
      <c r="DB537" s="139"/>
      <c r="DC537" s="139"/>
      <c r="DD537" s="139"/>
      <c r="DE537" s="139"/>
      <c r="DF537" s="139"/>
      <c r="DG537" s="139"/>
      <c r="DH537" s="139"/>
      <c r="DI537" s="13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  <c r="HJ537" s="9"/>
      <c r="HK537" s="9"/>
      <c r="HL537" s="9"/>
    </row>
    <row r="538" spans="1:220" s="99" customFormat="1">
      <c r="A538" s="109"/>
      <c r="C538" s="4"/>
      <c r="D538" s="110"/>
      <c r="F538" s="219"/>
      <c r="H538" s="110"/>
      <c r="AJ538" s="111"/>
      <c r="AK538" s="111"/>
      <c r="AW538" s="4"/>
      <c r="AX538" s="4"/>
      <c r="AY538" s="112"/>
      <c r="BA538" s="114"/>
      <c r="CQ538" s="113"/>
      <c r="CS538" s="116"/>
      <c r="CV538" s="9"/>
      <c r="CW538" s="9"/>
      <c r="CX538" s="9"/>
      <c r="CY538" s="9"/>
      <c r="CZ538" s="139"/>
      <c r="DA538" s="139"/>
      <c r="DB538" s="139"/>
      <c r="DC538" s="139"/>
      <c r="DD538" s="139"/>
      <c r="DE538" s="139"/>
      <c r="DF538" s="139"/>
      <c r="DG538" s="139"/>
      <c r="DH538" s="139"/>
      <c r="DI538" s="13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</row>
    <row r="539" spans="1:220" s="99" customFormat="1">
      <c r="A539" s="109"/>
      <c r="C539" s="4"/>
      <c r="D539" s="110"/>
      <c r="F539" s="219"/>
      <c r="H539" s="110"/>
      <c r="AJ539" s="111"/>
      <c r="AK539" s="111"/>
      <c r="AW539" s="4"/>
      <c r="AX539" s="4"/>
      <c r="AY539" s="112"/>
      <c r="BA539" s="114"/>
      <c r="CQ539" s="113"/>
      <c r="CS539" s="116"/>
      <c r="CV539" s="9"/>
      <c r="CW539" s="9"/>
      <c r="CX539" s="9"/>
      <c r="CY539" s="9"/>
      <c r="CZ539" s="139"/>
      <c r="DA539" s="139"/>
      <c r="DB539" s="139"/>
      <c r="DC539" s="139"/>
      <c r="DD539" s="139"/>
      <c r="DE539" s="139"/>
      <c r="DF539" s="139"/>
      <c r="DG539" s="139"/>
      <c r="DH539" s="139"/>
      <c r="DI539" s="13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  <c r="HE539" s="9"/>
      <c r="HF539" s="9"/>
      <c r="HG539" s="9"/>
      <c r="HH539" s="9"/>
      <c r="HI539" s="9"/>
      <c r="HJ539" s="9"/>
      <c r="HK539" s="9"/>
      <c r="HL539" s="9"/>
    </row>
    <row r="540" spans="1:220" s="99" customFormat="1">
      <c r="A540" s="109"/>
      <c r="C540" s="4"/>
      <c r="D540" s="110"/>
      <c r="F540" s="219"/>
      <c r="H540" s="110"/>
      <c r="AJ540" s="111"/>
      <c r="AK540" s="111"/>
      <c r="AW540" s="4"/>
      <c r="AX540" s="4"/>
      <c r="AY540" s="112"/>
      <c r="BA540" s="114"/>
      <c r="CQ540" s="113"/>
      <c r="CS540" s="116"/>
      <c r="CV540" s="9"/>
      <c r="CW540" s="9"/>
      <c r="CX540" s="9"/>
      <c r="CY540" s="9"/>
      <c r="CZ540" s="139"/>
      <c r="DA540" s="139"/>
      <c r="DB540" s="139"/>
      <c r="DC540" s="139"/>
      <c r="DD540" s="139"/>
      <c r="DE540" s="139"/>
      <c r="DF540" s="139"/>
      <c r="DG540" s="139"/>
      <c r="DH540" s="139"/>
      <c r="DI540" s="13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  <c r="HJ540" s="9"/>
      <c r="HK540" s="9"/>
      <c r="HL540" s="9"/>
    </row>
    <row r="541" spans="1:220" s="99" customFormat="1">
      <c r="A541" s="109"/>
      <c r="C541" s="4"/>
      <c r="D541" s="110"/>
      <c r="F541" s="219"/>
      <c r="H541" s="110"/>
      <c r="AJ541" s="111"/>
      <c r="AK541" s="111"/>
      <c r="AW541" s="4"/>
      <c r="AX541" s="4"/>
      <c r="AY541" s="112"/>
      <c r="BA541" s="114"/>
      <c r="CQ541" s="113"/>
      <c r="CS541" s="116"/>
      <c r="CV541" s="9"/>
      <c r="CW541" s="9"/>
      <c r="CX541" s="9"/>
      <c r="CY541" s="9"/>
      <c r="CZ541" s="139"/>
      <c r="DA541" s="139"/>
      <c r="DB541" s="139"/>
      <c r="DC541" s="139"/>
      <c r="DD541" s="139"/>
      <c r="DE541" s="139"/>
      <c r="DF541" s="139"/>
      <c r="DG541" s="139"/>
      <c r="DH541" s="139"/>
      <c r="DI541" s="13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  <c r="FI541" s="9"/>
      <c r="FJ541" s="9"/>
      <c r="FK541" s="9"/>
      <c r="FL541" s="9"/>
      <c r="FM541" s="9"/>
      <c r="FN541" s="9"/>
      <c r="FO541" s="9"/>
      <c r="FP541" s="9"/>
      <c r="FQ541" s="9"/>
      <c r="FR541" s="9"/>
      <c r="FS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  <c r="HE541" s="9"/>
      <c r="HF541" s="9"/>
      <c r="HG541" s="9"/>
      <c r="HH541" s="9"/>
      <c r="HI541" s="9"/>
      <c r="HJ541" s="9"/>
      <c r="HK541" s="9"/>
      <c r="HL541" s="9"/>
    </row>
    <row r="542" spans="1:220" s="99" customFormat="1">
      <c r="A542" s="109"/>
      <c r="C542" s="4"/>
      <c r="D542" s="110"/>
      <c r="F542" s="219"/>
      <c r="H542" s="110"/>
      <c r="AJ542" s="111"/>
      <c r="AK542" s="111"/>
      <c r="AW542" s="4"/>
      <c r="AX542" s="4"/>
      <c r="AY542" s="112"/>
      <c r="BA542" s="114"/>
      <c r="CQ542" s="113"/>
      <c r="CS542" s="116"/>
      <c r="CV542" s="9"/>
      <c r="CW542" s="9"/>
      <c r="CX542" s="9"/>
      <c r="CY542" s="9"/>
      <c r="CZ542" s="139"/>
      <c r="DA542" s="139"/>
      <c r="DB542" s="139"/>
      <c r="DC542" s="139"/>
      <c r="DD542" s="139"/>
      <c r="DE542" s="139"/>
      <c r="DF542" s="139"/>
      <c r="DG542" s="139"/>
      <c r="DH542" s="139"/>
      <c r="DI542" s="13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</row>
    <row r="543" spans="1:220" s="99" customFormat="1">
      <c r="A543" s="109"/>
      <c r="C543" s="4"/>
      <c r="D543" s="110"/>
      <c r="F543" s="219"/>
      <c r="H543" s="110"/>
      <c r="AJ543" s="111"/>
      <c r="AK543" s="111"/>
      <c r="AW543" s="4"/>
      <c r="AX543" s="4"/>
      <c r="AY543" s="112"/>
      <c r="BA543" s="114"/>
      <c r="CQ543" s="113"/>
      <c r="CS543" s="116"/>
      <c r="CV543" s="9"/>
      <c r="CW543" s="9"/>
      <c r="CX543" s="9"/>
      <c r="CY543" s="9"/>
      <c r="CZ543" s="139"/>
      <c r="DA543" s="139"/>
      <c r="DB543" s="139"/>
      <c r="DC543" s="139"/>
      <c r="DD543" s="139"/>
      <c r="DE543" s="139"/>
      <c r="DF543" s="139"/>
      <c r="DG543" s="139"/>
      <c r="DH543" s="139"/>
      <c r="DI543" s="13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E543" s="9"/>
      <c r="FF543" s="9"/>
      <c r="FG543" s="9"/>
      <c r="FH543" s="9"/>
      <c r="FI543" s="9"/>
      <c r="FJ543" s="9"/>
      <c r="FK543" s="9"/>
      <c r="FL543" s="9"/>
      <c r="FM543" s="9"/>
      <c r="FN543" s="9"/>
      <c r="FO543" s="9"/>
      <c r="FP543" s="9"/>
      <c r="FQ543" s="9"/>
      <c r="FR543" s="9"/>
      <c r="FS543" s="9"/>
      <c r="FT543" s="9"/>
      <c r="FU543" s="9"/>
      <c r="FV543" s="9"/>
      <c r="FW543" s="9"/>
      <c r="FX543" s="9"/>
      <c r="FY543" s="9"/>
      <c r="FZ543" s="9"/>
      <c r="GA543" s="9"/>
      <c r="GB543" s="9"/>
      <c r="GC543" s="9"/>
      <c r="GD543" s="9"/>
      <c r="GE543" s="9"/>
      <c r="GF543" s="9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  <c r="HE543" s="9"/>
      <c r="HF543" s="9"/>
      <c r="HG543" s="9"/>
      <c r="HH543" s="9"/>
      <c r="HI543" s="9"/>
      <c r="HJ543" s="9"/>
      <c r="HK543" s="9"/>
      <c r="HL543" s="9"/>
    </row>
    <row r="544" spans="1:220" s="99" customFormat="1">
      <c r="A544" s="109"/>
      <c r="C544" s="4"/>
      <c r="D544" s="110"/>
      <c r="F544" s="219"/>
      <c r="H544" s="110"/>
      <c r="AJ544" s="111"/>
      <c r="AK544" s="111"/>
      <c r="AW544" s="4"/>
      <c r="AX544" s="4"/>
      <c r="AY544" s="112"/>
      <c r="BA544" s="114"/>
      <c r="CQ544" s="113"/>
      <c r="CS544" s="116"/>
      <c r="CV544" s="9"/>
      <c r="CW544" s="9"/>
      <c r="CX544" s="9"/>
      <c r="CY544" s="9"/>
      <c r="CZ544" s="139"/>
      <c r="DA544" s="139"/>
      <c r="DB544" s="139"/>
      <c r="DC544" s="139"/>
      <c r="DD544" s="139"/>
      <c r="DE544" s="139"/>
      <c r="DF544" s="139"/>
      <c r="DG544" s="139"/>
      <c r="DH544" s="139"/>
      <c r="DI544" s="13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</row>
    <row r="545" spans="1:220" s="99" customFormat="1">
      <c r="A545" s="109"/>
      <c r="C545" s="4"/>
      <c r="D545" s="110"/>
      <c r="F545" s="219"/>
      <c r="H545" s="110"/>
      <c r="AJ545" s="111"/>
      <c r="AK545" s="111"/>
      <c r="AW545" s="4"/>
      <c r="AX545" s="4"/>
      <c r="AY545" s="112"/>
      <c r="BA545" s="114"/>
      <c r="CQ545" s="113"/>
      <c r="CS545" s="116"/>
      <c r="CV545" s="9"/>
      <c r="CW545" s="9"/>
      <c r="CX545" s="9"/>
      <c r="CY545" s="9"/>
      <c r="CZ545" s="139"/>
      <c r="DA545" s="139"/>
      <c r="DB545" s="139"/>
      <c r="DC545" s="139"/>
      <c r="DD545" s="139"/>
      <c r="DE545" s="139"/>
      <c r="DF545" s="139"/>
      <c r="DG545" s="139"/>
      <c r="DH545" s="139"/>
      <c r="DI545" s="13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/>
      <c r="FH545" s="9"/>
      <c r="FI545" s="9"/>
      <c r="FJ545" s="9"/>
      <c r="FK545" s="9"/>
      <c r="FL545" s="9"/>
      <c r="FM545" s="9"/>
      <c r="FN545" s="9"/>
      <c r="FO545" s="9"/>
      <c r="FP545" s="9"/>
      <c r="FQ545" s="9"/>
      <c r="FR545" s="9"/>
      <c r="FS545" s="9"/>
      <c r="FT545" s="9"/>
      <c r="FU545" s="9"/>
      <c r="FV545" s="9"/>
      <c r="FW545" s="9"/>
      <c r="FX545" s="9"/>
      <c r="FY545" s="9"/>
      <c r="FZ545" s="9"/>
      <c r="GA545" s="9"/>
      <c r="GB545" s="9"/>
      <c r="GC545" s="9"/>
      <c r="GD545" s="9"/>
      <c r="GE545" s="9"/>
      <c r="GF545" s="9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  <c r="HE545" s="9"/>
      <c r="HF545" s="9"/>
      <c r="HG545" s="9"/>
      <c r="HH545" s="9"/>
      <c r="HI545" s="9"/>
      <c r="HJ545" s="9"/>
      <c r="HK545" s="9"/>
      <c r="HL545" s="9"/>
    </row>
    <row r="546" spans="1:220" s="99" customFormat="1">
      <c r="A546" s="109"/>
      <c r="C546" s="4"/>
      <c r="D546" s="110"/>
      <c r="F546" s="219"/>
      <c r="H546" s="110"/>
      <c r="AJ546" s="111"/>
      <c r="AK546" s="111"/>
      <c r="AW546" s="4"/>
      <c r="AX546" s="4"/>
      <c r="AY546" s="112"/>
      <c r="BA546" s="114"/>
      <c r="CQ546" s="113"/>
      <c r="CS546" s="116"/>
      <c r="CV546" s="9"/>
      <c r="CW546" s="9"/>
      <c r="CX546" s="9"/>
      <c r="CY546" s="9"/>
      <c r="CZ546" s="139"/>
      <c r="DA546" s="139"/>
      <c r="DB546" s="139"/>
      <c r="DC546" s="139"/>
      <c r="DD546" s="139"/>
      <c r="DE546" s="139"/>
      <c r="DF546" s="139"/>
      <c r="DG546" s="139"/>
      <c r="DH546" s="139"/>
      <c r="DI546" s="13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  <c r="HJ546" s="9"/>
      <c r="HK546" s="9"/>
      <c r="HL546" s="9"/>
    </row>
    <row r="547" spans="1:220" s="99" customFormat="1">
      <c r="A547" s="109"/>
      <c r="C547" s="4"/>
      <c r="D547" s="110"/>
      <c r="F547" s="219"/>
      <c r="H547" s="110"/>
      <c r="AJ547" s="111"/>
      <c r="AK547" s="111"/>
      <c r="AW547" s="4"/>
      <c r="AX547" s="4"/>
      <c r="AY547" s="112"/>
      <c r="BA547" s="114"/>
      <c r="CQ547" s="113"/>
      <c r="CS547" s="116"/>
      <c r="CV547" s="9"/>
      <c r="CW547" s="9"/>
      <c r="CX547" s="9"/>
      <c r="CY547" s="9"/>
      <c r="CZ547" s="139"/>
      <c r="DA547" s="139"/>
      <c r="DB547" s="139"/>
      <c r="DC547" s="139"/>
      <c r="DD547" s="139"/>
      <c r="DE547" s="139"/>
      <c r="DF547" s="139"/>
      <c r="DG547" s="139"/>
      <c r="DH547" s="139"/>
      <c r="DI547" s="13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  <c r="HE547" s="9"/>
      <c r="HF547" s="9"/>
      <c r="HG547" s="9"/>
      <c r="HH547" s="9"/>
      <c r="HI547" s="9"/>
      <c r="HJ547" s="9"/>
      <c r="HK547" s="9"/>
      <c r="HL547" s="9"/>
    </row>
    <row r="548" spans="1:220" s="99" customFormat="1">
      <c r="A548" s="109"/>
      <c r="C548" s="4"/>
      <c r="D548" s="110"/>
      <c r="F548" s="219"/>
      <c r="H548" s="110"/>
      <c r="AJ548" s="111"/>
      <c r="AK548" s="111"/>
      <c r="AW548" s="4"/>
      <c r="AX548" s="4"/>
      <c r="AY548" s="112"/>
      <c r="BA548" s="114"/>
      <c r="CQ548" s="113"/>
      <c r="CS548" s="116"/>
      <c r="CV548" s="9"/>
      <c r="CW548" s="9"/>
      <c r="CX548" s="9"/>
      <c r="CY548" s="9"/>
      <c r="CZ548" s="139"/>
      <c r="DA548" s="139"/>
      <c r="DB548" s="139"/>
      <c r="DC548" s="139"/>
      <c r="DD548" s="139"/>
      <c r="DE548" s="139"/>
      <c r="DF548" s="139"/>
      <c r="DG548" s="139"/>
      <c r="DH548" s="139"/>
      <c r="DI548" s="13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  <c r="FI548" s="9"/>
      <c r="FJ548" s="9"/>
      <c r="FK548" s="9"/>
      <c r="FL548" s="9"/>
      <c r="FM548" s="9"/>
      <c r="FN548" s="9"/>
      <c r="FO548" s="9"/>
      <c r="FP548" s="9"/>
      <c r="FQ548" s="9"/>
      <c r="FR548" s="9"/>
      <c r="FS548" s="9"/>
      <c r="FT548" s="9"/>
      <c r="FU548" s="9"/>
      <c r="FV548" s="9"/>
      <c r="FW548" s="9"/>
      <c r="FX548" s="9"/>
      <c r="FY548" s="9"/>
      <c r="FZ548" s="9"/>
      <c r="GA548" s="9"/>
      <c r="GB548" s="9"/>
      <c r="GC548" s="9"/>
      <c r="GD548" s="9"/>
      <c r="GE548" s="9"/>
      <c r="GF548" s="9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  <c r="HJ548" s="9"/>
      <c r="HK548" s="9"/>
      <c r="HL548" s="9"/>
    </row>
    <row r="549" spans="1:220" s="99" customFormat="1">
      <c r="A549" s="109"/>
      <c r="C549" s="4"/>
      <c r="D549" s="110"/>
      <c r="F549" s="219"/>
      <c r="H549" s="110"/>
      <c r="AJ549" s="111"/>
      <c r="AK549" s="111"/>
      <c r="AW549" s="4"/>
      <c r="AX549" s="4"/>
      <c r="AY549" s="112"/>
      <c r="BA549" s="114"/>
      <c r="CQ549" s="113"/>
      <c r="CS549" s="116"/>
      <c r="CV549" s="9"/>
      <c r="CW549" s="9"/>
      <c r="CX549" s="9"/>
      <c r="CY549" s="9"/>
      <c r="CZ549" s="139"/>
      <c r="DA549" s="139"/>
      <c r="DB549" s="139"/>
      <c r="DC549" s="139"/>
      <c r="DD549" s="139"/>
      <c r="DE549" s="139"/>
      <c r="DF549" s="139"/>
      <c r="DG549" s="139"/>
      <c r="DH549" s="139"/>
      <c r="DI549" s="13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E549" s="9"/>
      <c r="FF549" s="9"/>
      <c r="FG549" s="9"/>
      <c r="FH549" s="9"/>
      <c r="FI549" s="9"/>
      <c r="FJ549" s="9"/>
      <c r="FK549" s="9"/>
      <c r="FL549" s="9"/>
      <c r="FM549" s="9"/>
      <c r="FN549" s="9"/>
      <c r="FO549" s="9"/>
      <c r="FP549" s="9"/>
      <c r="FQ549" s="9"/>
      <c r="FR549" s="9"/>
      <c r="FS549" s="9"/>
      <c r="FT549" s="9"/>
      <c r="FU549" s="9"/>
      <c r="FV549" s="9"/>
      <c r="FW549" s="9"/>
      <c r="FX549" s="9"/>
      <c r="FY549" s="9"/>
      <c r="FZ549" s="9"/>
      <c r="GA549" s="9"/>
      <c r="GB549" s="9"/>
      <c r="GC549" s="9"/>
      <c r="GD549" s="9"/>
      <c r="GE549" s="9"/>
      <c r="GF549" s="9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  <c r="HE549" s="9"/>
      <c r="HF549" s="9"/>
      <c r="HG549" s="9"/>
      <c r="HH549" s="9"/>
      <c r="HI549" s="9"/>
      <c r="HJ549" s="9"/>
      <c r="HK549" s="9"/>
      <c r="HL549" s="9"/>
    </row>
    <row r="550" spans="1:220" s="99" customFormat="1">
      <c r="A550" s="109"/>
      <c r="C550" s="4"/>
      <c r="D550" s="110"/>
      <c r="F550" s="219"/>
      <c r="H550" s="110"/>
      <c r="AJ550" s="111"/>
      <c r="AK550" s="111"/>
      <c r="AW550" s="4"/>
      <c r="AX550" s="4"/>
      <c r="AY550" s="112"/>
      <c r="BA550" s="114"/>
      <c r="CQ550" s="113"/>
      <c r="CS550" s="116"/>
      <c r="CV550" s="9"/>
      <c r="CW550" s="9"/>
      <c r="CX550" s="9"/>
      <c r="CY550" s="9"/>
      <c r="CZ550" s="139"/>
      <c r="DA550" s="139"/>
      <c r="DB550" s="139"/>
      <c r="DC550" s="139"/>
      <c r="DD550" s="139"/>
      <c r="DE550" s="139"/>
      <c r="DF550" s="139"/>
      <c r="DG550" s="139"/>
      <c r="DH550" s="139"/>
      <c r="DI550" s="13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  <c r="HJ550" s="9"/>
      <c r="HK550" s="9"/>
      <c r="HL550" s="9"/>
    </row>
    <row r="551" spans="1:220" s="99" customFormat="1">
      <c r="A551" s="109"/>
      <c r="C551" s="4"/>
      <c r="D551" s="110"/>
      <c r="F551" s="219"/>
      <c r="H551" s="110"/>
      <c r="AJ551" s="111"/>
      <c r="AK551" s="111"/>
      <c r="AW551" s="4"/>
      <c r="AX551" s="4"/>
      <c r="AY551" s="112"/>
      <c r="BA551" s="114"/>
      <c r="CQ551" s="113"/>
      <c r="CS551" s="116"/>
      <c r="CV551" s="9"/>
      <c r="CW551" s="9"/>
      <c r="CX551" s="9"/>
      <c r="CY551" s="9"/>
      <c r="CZ551" s="139"/>
      <c r="DA551" s="139"/>
      <c r="DB551" s="139"/>
      <c r="DC551" s="139"/>
      <c r="DD551" s="139"/>
      <c r="DE551" s="139"/>
      <c r="DF551" s="139"/>
      <c r="DG551" s="139"/>
      <c r="DH551" s="139"/>
      <c r="DI551" s="13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</row>
    <row r="552" spans="1:220" s="99" customFormat="1">
      <c r="A552" s="109"/>
      <c r="C552" s="4"/>
      <c r="D552" s="110"/>
      <c r="F552" s="219"/>
      <c r="H552" s="110"/>
      <c r="AJ552" s="111"/>
      <c r="AK552" s="111"/>
      <c r="AW552" s="4"/>
      <c r="AX552" s="4"/>
      <c r="AY552" s="112"/>
      <c r="BA552" s="114"/>
      <c r="CQ552" s="113"/>
      <c r="CS552" s="116"/>
      <c r="CV552" s="9"/>
      <c r="CW552" s="9"/>
      <c r="CX552" s="9"/>
      <c r="CY552" s="9"/>
      <c r="CZ552" s="139"/>
      <c r="DA552" s="139"/>
      <c r="DB552" s="139"/>
      <c r="DC552" s="139"/>
      <c r="DD552" s="139"/>
      <c r="DE552" s="139"/>
      <c r="DF552" s="139"/>
      <c r="DG552" s="139"/>
      <c r="DH552" s="139"/>
      <c r="DI552" s="13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</row>
    <row r="553" spans="1:220" s="99" customFormat="1">
      <c r="A553" s="109"/>
      <c r="C553" s="4"/>
      <c r="D553" s="110"/>
      <c r="F553" s="219"/>
      <c r="H553" s="110"/>
      <c r="AJ553" s="111"/>
      <c r="AK553" s="111"/>
      <c r="AW553" s="4"/>
      <c r="AX553" s="4"/>
      <c r="AY553" s="112"/>
      <c r="BA553" s="114"/>
      <c r="CQ553" s="113"/>
      <c r="CS553" s="116"/>
      <c r="CV553" s="9"/>
      <c r="CW553" s="9"/>
      <c r="CX553" s="9"/>
      <c r="CY553" s="9"/>
      <c r="CZ553" s="139"/>
      <c r="DA553" s="139"/>
      <c r="DB553" s="139"/>
      <c r="DC553" s="139"/>
      <c r="DD553" s="139"/>
      <c r="DE553" s="139"/>
      <c r="DF553" s="139"/>
      <c r="DG553" s="139"/>
      <c r="DH553" s="139"/>
      <c r="DI553" s="13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9"/>
      <c r="FJ553" s="9"/>
      <c r="FK553" s="9"/>
      <c r="FL553" s="9"/>
      <c r="FM553" s="9"/>
      <c r="FN553" s="9"/>
      <c r="FO553" s="9"/>
      <c r="FP553" s="9"/>
      <c r="FQ553" s="9"/>
      <c r="FR553" s="9"/>
      <c r="FS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  <c r="HJ553" s="9"/>
      <c r="HK553" s="9"/>
      <c r="HL553" s="9"/>
    </row>
    <row r="554" spans="1:220" s="99" customFormat="1">
      <c r="A554" s="109"/>
      <c r="C554" s="4"/>
      <c r="D554" s="110"/>
      <c r="F554" s="219"/>
      <c r="H554" s="110"/>
      <c r="AJ554" s="111"/>
      <c r="AK554" s="111"/>
      <c r="AW554" s="4"/>
      <c r="AX554" s="4"/>
      <c r="AY554" s="112"/>
      <c r="BA554" s="114"/>
      <c r="CQ554" s="113"/>
      <c r="CS554" s="116"/>
      <c r="CV554" s="9"/>
      <c r="CW554" s="9"/>
      <c r="CX554" s="9"/>
      <c r="CY554" s="9"/>
      <c r="CZ554" s="139"/>
      <c r="DA554" s="139"/>
      <c r="DB554" s="139"/>
      <c r="DC554" s="139"/>
      <c r="DD554" s="139"/>
      <c r="DE554" s="139"/>
      <c r="DF554" s="139"/>
      <c r="DG554" s="139"/>
      <c r="DH554" s="139"/>
      <c r="DI554" s="13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</row>
    <row r="555" spans="1:220" s="99" customFormat="1">
      <c r="A555" s="109"/>
      <c r="C555" s="4"/>
      <c r="D555" s="110"/>
      <c r="F555" s="219"/>
      <c r="H555" s="110"/>
      <c r="AJ555" s="111"/>
      <c r="AK555" s="111"/>
      <c r="AW555" s="4"/>
      <c r="AX555" s="4"/>
      <c r="AY555" s="112"/>
      <c r="BA555" s="114"/>
      <c r="CQ555" s="113"/>
      <c r="CS555" s="116"/>
      <c r="CV555" s="9"/>
      <c r="CW555" s="9"/>
      <c r="CX555" s="9"/>
      <c r="CY555" s="9"/>
      <c r="CZ555" s="139"/>
      <c r="DA555" s="139"/>
      <c r="DB555" s="139"/>
      <c r="DC555" s="139"/>
      <c r="DD555" s="139"/>
      <c r="DE555" s="139"/>
      <c r="DF555" s="139"/>
      <c r="DG555" s="139"/>
      <c r="DH555" s="139"/>
      <c r="DI555" s="13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  <c r="FI555" s="9"/>
      <c r="FJ555" s="9"/>
      <c r="FK555" s="9"/>
      <c r="FL555" s="9"/>
      <c r="FM555" s="9"/>
      <c r="FN555" s="9"/>
      <c r="FO555" s="9"/>
      <c r="FP555" s="9"/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  <c r="HJ555" s="9"/>
      <c r="HK555" s="9"/>
      <c r="HL555" s="9"/>
    </row>
    <row r="556" spans="1:220" s="99" customFormat="1">
      <c r="A556" s="109"/>
      <c r="C556" s="4"/>
      <c r="D556" s="110"/>
      <c r="F556" s="219"/>
      <c r="H556" s="110"/>
      <c r="AJ556" s="111"/>
      <c r="AK556" s="111"/>
      <c r="AW556" s="4"/>
      <c r="AX556" s="4"/>
      <c r="AY556" s="112"/>
      <c r="BA556" s="114"/>
      <c r="CQ556" s="113"/>
      <c r="CS556" s="116"/>
      <c r="CV556" s="9"/>
      <c r="CW556" s="9"/>
      <c r="CX556" s="9"/>
      <c r="CY556" s="9"/>
      <c r="CZ556" s="139"/>
      <c r="DA556" s="139"/>
      <c r="DB556" s="139"/>
      <c r="DC556" s="139"/>
      <c r="DD556" s="139"/>
      <c r="DE556" s="139"/>
      <c r="DF556" s="139"/>
      <c r="DG556" s="139"/>
      <c r="DH556" s="139"/>
      <c r="DI556" s="13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9"/>
      <c r="FQ556" s="9"/>
      <c r="FR556" s="9"/>
      <c r="FS556" s="9"/>
      <c r="FT556" s="9"/>
      <c r="FU556" s="9"/>
      <c r="FV556" s="9"/>
      <c r="FW556" s="9"/>
      <c r="FX556" s="9"/>
      <c r="FY556" s="9"/>
      <c r="FZ556" s="9"/>
      <c r="GA556" s="9"/>
      <c r="GB556" s="9"/>
      <c r="GC556" s="9"/>
      <c r="GD556" s="9"/>
      <c r="GE556" s="9"/>
      <c r="GF556" s="9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  <c r="HE556" s="9"/>
      <c r="HF556" s="9"/>
      <c r="HG556" s="9"/>
      <c r="HH556" s="9"/>
      <c r="HI556" s="9"/>
      <c r="HJ556" s="9"/>
      <c r="HK556" s="9"/>
      <c r="HL556" s="9"/>
    </row>
    <row r="557" spans="1:220" s="99" customFormat="1">
      <c r="A557" s="109"/>
      <c r="C557" s="4"/>
      <c r="D557" s="110"/>
      <c r="F557" s="219"/>
      <c r="H557" s="110"/>
      <c r="AJ557" s="111"/>
      <c r="AK557" s="111"/>
      <c r="AW557" s="4"/>
      <c r="AX557" s="4"/>
      <c r="AY557" s="112"/>
      <c r="BA557" s="114"/>
      <c r="CQ557" s="113"/>
      <c r="CS557" s="116"/>
      <c r="CV557" s="9"/>
      <c r="CW557" s="9"/>
      <c r="CX557" s="9"/>
      <c r="CY557" s="9"/>
      <c r="CZ557" s="139"/>
      <c r="DA557" s="139"/>
      <c r="DB557" s="139"/>
      <c r="DC557" s="139"/>
      <c r="DD557" s="139"/>
      <c r="DE557" s="139"/>
      <c r="DF557" s="139"/>
      <c r="DG557" s="139"/>
      <c r="DH557" s="139"/>
      <c r="DI557" s="13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  <c r="HJ557" s="9"/>
      <c r="HK557" s="9"/>
      <c r="HL557" s="9"/>
    </row>
    <row r="558" spans="1:220" s="99" customFormat="1">
      <c r="A558" s="109"/>
      <c r="C558" s="4"/>
      <c r="D558" s="110"/>
      <c r="F558" s="219"/>
      <c r="H558" s="110"/>
      <c r="AJ558" s="111"/>
      <c r="AK558" s="111"/>
      <c r="AW558" s="4"/>
      <c r="AX558" s="4"/>
      <c r="AY558" s="112"/>
      <c r="BA558" s="114"/>
      <c r="CQ558" s="113"/>
      <c r="CS558" s="116"/>
      <c r="CV558" s="9"/>
      <c r="CW558" s="9"/>
      <c r="CX558" s="9"/>
      <c r="CY558" s="9"/>
      <c r="CZ558" s="139"/>
      <c r="DA558" s="139"/>
      <c r="DB558" s="139"/>
      <c r="DC558" s="139"/>
      <c r="DD558" s="139"/>
      <c r="DE558" s="139"/>
      <c r="DF558" s="139"/>
      <c r="DG558" s="139"/>
      <c r="DH558" s="139"/>
      <c r="DI558" s="13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9"/>
      <c r="FS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</row>
    <row r="559" spans="1:220" s="99" customFormat="1">
      <c r="A559" s="109"/>
      <c r="C559" s="4"/>
      <c r="D559" s="110"/>
      <c r="F559" s="219"/>
      <c r="H559" s="110"/>
      <c r="AJ559" s="111"/>
      <c r="AK559" s="111"/>
      <c r="AW559" s="4"/>
      <c r="AX559" s="4"/>
      <c r="AY559" s="112"/>
      <c r="BA559" s="114"/>
      <c r="CQ559" s="113"/>
      <c r="CS559" s="116"/>
      <c r="CV559" s="9"/>
      <c r="CW559" s="9"/>
      <c r="CX559" s="9"/>
      <c r="CY559" s="9"/>
      <c r="CZ559" s="139"/>
      <c r="DA559" s="139"/>
      <c r="DB559" s="139"/>
      <c r="DC559" s="139"/>
      <c r="DD559" s="139"/>
      <c r="DE559" s="139"/>
      <c r="DF559" s="139"/>
      <c r="DG559" s="139"/>
      <c r="DH559" s="139"/>
      <c r="DI559" s="13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</row>
    <row r="560" spans="1:220" s="99" customFormat="1">
      <c r="A560" s="109"/>
      <c r="C560" s="4"/>
      <c r="D560" s="110"/>
      <c r="F560" s="219"/>
      <c r="H560" s="110"/>
      <c r="AJ560" s="111"/>
      <c r="AK560" s="111"/>
      <c r="AW560" s="4"/>
      <c r="AX560" s="4"/>
      <c r="AY560" s="112"/>
      <c r="BA560" s="114"/>
      <c r="CQ560" s="113"/>
      <c r="CS560" s="116"/>
      <c r="CV560" s="9"/>
      <c r="CW560" s="9"/>
      <c r="CX560" s="9"/>
      <c r="CY560" s="9"/>
      <c r="CZ560" s="139"/>
      <c r="DA560" s="139"/>
      <c r="DB560" s="139"/>
      <c r="DC560" s="139"/>
      <c r="DD560" s="139"/>
      <c r="DE560" s="139"/>
      <c r="DF560" s="139"/>
      <c r="DG560" s="139"/>
      <c r="DH560" s="139"/>
      <c r="DI560" s="13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  <c r="HJ560" s="9"/>
      <c r="HK560" s="9"/>
      <c r="HL560" s="9"/>
    </row>
    <row r="561" spans="1:220" s="99" customFormat="1">
      <c r="A561" s="109"/>
      <c r="C561" s="4"/>
      <c r="D561" s="110"/>
      <c r="F561" s="219"/>
      <c r="H561" s="110"/>
      <c r="AJ561" s="111"/>
      <c r="AK561" s="111"/>
      <c r="AW561" s="4"/>
      <c r="AX561" s="4"/>
      <c r="AY561" s="112"/>
      <c r="BA561" s="114"/>
      <c r="CQ561" s="113"/>
      <c r="CS561" s="116"/>
      <c r="CV561" s="9"/>
      <c r="CW561" s="9"/>
      <c r="CX561" s="9"/>
      <c r="CY561" s="9"/>
      <c r="CZ561" s="139"/>
      <c r="DA561" s="139"/>
      <c r="DB561" s="139"/>
      <c r="DC561" s="139"/>
      <c r="DD561" s="139"/>
      <c r="DE561" s="139"/>
      <c r="DF561" s="139"/>
      <c r="DG561" s="139"/>
      <c r="DH561" s="139"/>
      <c r="DI561" s="13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  <c r="HJ561" s="9"/>
      <c r="HK561" s="9"/>
      <c r="HL561" s="9"/>
    </row>
    <row r="562" spans="1:220" s="99" customFormat="1">
      <c r="A562" s="109"/>
      <c r="C562" s="4"/>
      <c r="D562" s="110"/>
      <c r="F562" s="219"/>
      <c r="H562" s="110"/>
      <c r="AJ562" s="111"/>
      <c r="AK562" s="111"/>
      <c r="AW562" s="4"/>
      <c r="AX562" s="4"/>
      <c r="AY562" s="112"/>
      <c r="BA562" s="114"/>
      <c r="CQ562" s="113"/>
      <c r="CS562" s="116"/>
      <c r="CV562" s="9"/>
      <c r="CW562" s="9"/>
      <c r="CX562" s="9"/>
      <c r="CY562" s="9"/>
      <c r="CZ562" s="139"/>
      <c r="DA562" s="139"/>
      <c r="DB562" s="139"/>
      <c r="DC562" s="139"/>
      <c r="DD562" s="139"/>
      <c r="DE562" s="139"/>
      <c r="DF562" s="139"/>
      <c r="DG562" s="139"/>
      <c r="DH562" s="139"/>
      <c r="DI562" s="13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</row>
    <row r="563" spans="1:220" s="99" customFormat="1">
      <c r="A563" s="109"/>
      <c r="C563" s="4"/>
      <c r="D563" s="110"/>
      <c r="F563" s="219"/>
      <c r="H563" s="110"/>
      <c r="AJ563" s="111"/>
      <c r="AK563" s="111"/>
      <c r="AW563" s="4"/>
      <c r="AX563" s="4"/>
      <c r="AY563" s="112"/>
      <c r="BA563" s="114"/>
      <c r="CQ563" s="113"/>
      <c r="CS563" s="116"/>
      <c r="CV563" s="9"/>
      <c r="CW563" s="9"/>
      <c r="CX563" s="9"/>
      <c r="CY563" s="9"/>
      <c r="CZ563" s="139"/>
      <c r="DA563" s="139"/>
      <c r="DB563" s="139"/>
      <c r="DC563" s="139"/>
      <c r="DD563" s="139"/>
      <c r="DE563" s="139"/>
      <c r="DF563" s="139"/>
      <c r="DG563" s="139"/>
      <c r="DH563" s="139"/>
      <c r="DI563" s="13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  <c r="FI563" s="9"/>
      <c r="FJ563" s="9"/>
      <c r="FK563" s="9"/>
      <c r="FL563" s="9"/>
      <c r="FM563" s="9"/>
      <c r="FN563" s="9"/>
      <c r="FO563" s="9"/>
      <c r="FP563" s="9"/>
      <c r="FQ563" s="9"/>
      <c r="FR563" s="9"/>
      <c r="FS563" s="9"/>
      <c r="FT563" s="9"/>
      <c r="FU563" s="9"/>
      <c r="FV563" s="9"/>
      <c r="FW563" s="9"/>
      <c r="FX563" s="9"/>
      <c r="FY563" s="9"/>
      <c r="FZ563" s="9"/>
      <c r="GA563" s="9"/>
      <c r="GB563" s="9"/>
      <c r="GC563" s="9"/>
      <c r="GD563" s="9"/>
      <c r="GE563" s="9"/>
      <c r="GF563" s="9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  <c r="HE563" s="9"/>
      <c r="HF563" s="9"/>
      <c r="HG563" s="9"/>
      <c r="HH563" s="9"/>
      <c r="HI563" s="9"/>
      <c r="HJ563" s="9"/>
      <c r="HK563" s="9"/>
      <c r="HL563" s="9"/>
    </row>
    <row r="564" spans="1:220" s="99" customFormat="1">
      <c r="A564" s="109"/>
      <c r="C564" s="4"/>
      <c r="D564" s="110"/>
      <c r="F564" s="219"/>
      <c r="H564" s="110"/>
      <c r="AJ564" s="111"/>
      <c r="AK564" s="111"/>
      <c r="AW564" s="4"/>
      <c r="AX564" s="4"/>
      <c r="AY564" s="112"/>
      <c r="BA564" s="114"/>
      <c r="CQ564" s="113"/>
      <c r="CS564" s="116"/>
      <c r="CV564" s="9"/>
      <c r="CW564" s="9"/>
      <c r="CX564" s="9"/>
      <c r="CY564" s="9"/>
      <c r="CZ564" s="139"/>
      <c r="DA564" s="139"/>
      <c r="DB564" s="139"/>
      <c r="DC564" s="139"/>
      <c r="DD564" s="139"/>
      <c r="DE564" s="139"/>
      <c r="DF564" s="139"/>
      <c r="DG564" s="139"/>
      <c r="DH564" s="139"/>
      <c r="DI564" s="13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9"/>
      <c r="FK564" s="9"/>
      <c r="FL564" s="9"/>
      <c r="FM564" s="9"/>
      <c r="FN564" s="9"/>
      <c r="FO564" s="9"/>
      <c r="FP564" s="9"/>
      <c r="FQ564" s="9"/>
      <c r="FR564" s="9"/>
      <c r="FS564" s="9"/>
      <c r="FT564" s="9"/>
      <c r="FU564" s="9"/>
      <c r="FV564" s="9"/>
      <c r="FW564" s="9"/>
      <c r="FX564" s="9"/>
      <c r="FY564" s="9"/>
      <c r="FZ564" s="9"/>
      <c r="GA564" s="9"/>
      <c r="GB564" s="9"/>
      <c r="GC564" s="9"/>
      <c r="GD564" s="9"/>
      <c r="GE564" s="9"/>
      <c r="GF564" s="9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  <c r="HJ564" s="9"/>
      <c r="HK564" s="9"/>
      <c r="HL564" s="9"/>
    </row>
    <row r="565" spans="1:220" s="99" customFormat="1">
      <c r="A565" s="109"/>
      <c r="C565" s="4"/>
      <c r="D565" s="110"/>
      <c r="F565" s="219"/>
      <c r="H565" s="110"/>
      <c r="AJ565" s="111"/>
      <c r="AK565" s="111"/>
      <c r="AW565" s="4"/>
      <c r="AX565" s="4"/>
      <c r="AY565" s="112"/>
      <c r="BA565" s="114"/>
      <c r="CQ565" s="113"/>
      <c r="CS565" s="116"/>
      <c r="CV565" s="9"/>
      <c r="CW565" s="9"/>
      <c r="CX565" s="9"/>
      <c r="CY565" s="9"/>
      <c r="CZ565" s="139"/>
      <c r="DA565" s="139"/>
      <c r="DB565" s="139"/>
      <c r="DC565" s="139"/>
      <c r="DD565" s="139"/>
      <c r="DE565" s="139"/>
      <c r="DF565" s="139"/>
      <c r="DG565" s="139"/>
      <c r="DH565" s="139"/>
      <c r="DI565" s="13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</row>
    <row r="566" spans="1:220" s="99" customFormat="1">
      <c r="A566" s="109"/>
      <c r="C566" s="4"/>
      <c r="D566" s="110"/>
      <c r="F566" s="219"/>
      <c r="H566" s="110"/>
      <c r="AJ566" s="111"/>
      <c r="AK566" s="111"/>
      <c r="AW566" s="4"/>
      <c r="AX566" s="4"/>
      <c r="AY566" s="112"/>
      <c r="BA566" s="114"/>
      <c r="CQ566" s="113"/>
      <c r="CS566" s="116"/>
      <c r="CV566" s="9"/>
      <c r="CW566" s="9"/>
      <c r="CX566" s="9"/>
      <c r="CY566" s="9"/>
      <c r="CZ566" s="139"/>
      <c r="DA566" s="139"/>
      <c r="DB566" s="139"/>
      <c r="DC566" s="139"/>
      <c r="DD566" s="139"/>
      <c r="DE566" s="139"/>
      <c r="DF566" s="139"/>
      <c r="DG566" s="139"/>
      <c r="DH566" s="139"/>
      <c r="DI566" s="13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</row>
    <row r="567" spans="1:220" s="99" customFormat="1">
      <c r="A567" s="109"/>
      <c r="C567" s="4"/>
      <c r="D567" s="110"/>
      <c r="F567" s="219"/>
      <c r="H567" s="110"/>
      <c r="AJ567" s="111"/>
      <c r="AK567" s="111"/>
      <c r="AW567" s="4"/>
      <c r="AX567" s="4"/>
      <c r="AY567" s="112"/>
      <c r="BA567" s="114"/>
      <c r="CQ567" s="113"/>
      <c r="CS567" s="116"/>
      <c r="CV567" s="9"/>
      <c r="CW567" s="9"/>
      <c r="CX567" s="9"/>
      <c r="CY567" s="9"/>
      <c r="CZ567" s="139"/>
      <c r="DA567" s="139"/>
      <c r="DB567" s="139"/>
      <c r="DC567" s="139"/>
      <c r="DD567" s="139"/>
      <c r="DE567" s="139"/>
      <c r="DF567" s="139"/>
      <c r="DG567" s="139"/>
      <c r="DH567" s="139"/>
      <c r="DI567" s="13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  <c r="HJ567" s="9"/>
      <c r="HK567" s="9"/>
      <c r="HL567" s="9"/>
    </row>
    <row r="568" spans="1:220" s="99" customFormat="1">
      <c r="A568" s="109"/>
      <c r="C568" s="4"/>
      <c r="D568" s="110"/>
      <c r="F568" s="219"/>
      <c r="H568" s="110"/>
      <c r="AJ568" s="111"/>
      <c r="AK568" s="111"/>
      <c r="AW568" s="4"/>
      <c r="AX568" s="4"/>
      <c r="AY568" s="112"/>
      <c r="BA568" s="114"/>
      <c r="CQ568" s="113"/>
      <c r="CS568" s="116"/>
      <c r="CV568" s="9"/>
      <c r="CW568" s="9"/>
      <c r="CX568" s="9"/>
      <c r="CY568" s="9"/>
      <c r="CZ568" s="139"/>
      <c r="DA568" s="139"/>
      <c r="DB568" s="139"/>
      <c r="DC568" s="139"/>
      <c r="DD568" s="139"/>
      <c r="DE568" s="139"/>
      <c r="DF568" s="139"/>
      <c r="DG568" s="139"/>
      <c r="DH568" s="139"/>
      <c r="DI568" s="13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</row>
    <row r="569" spans="1:220" s="99" customFormat="1">
      <c r="A569" s="109"/>
      <c r="C569" s="4"/>
      <c r="D569" s="110"/>
      <c r="F569" s="219"/>
      <c r="H569" s="110"/>
      <c r="AJ569" s="111"/>
      <c r="AK569" s="111"/>
      <c r="AW569" s="4"/>
      <c r="AX569" s="4"/>
      <c r="AY569" s="112"/>
      <c r="BA569" s="114"/>
      <c r="CQ569" s="113"/>
      <c r="CS569" s="116"/>
      <c r="CV569" s="9"/>
      <c r="CW569" s="9"/>
      <c r="CX569" s="9"/>
      <c r="CY569" s="9"/>
      <c r="CZ569" s="139"/>
      <c r="DA569" s="139"/>
      <c r="DB569" s="139"/>
      <c r="DC569" s="139"/>
      <c r="DD569" s="139"/>
      <c r="DE569" s="139"/>
      <c r="DF569" s="139"/>
      <c r="DG569" s="139"/>
      <c r="DH569" s="139"/>
      <c r="DI569" s="13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</row>
    <row r="570" spans="1:220" s="99" customFormat="1">
      <c r="A570" s="109"/>
      <c r="C570" s="4"/>
      <c r="D570" s="110"/>
      <c r="F570" s="219"/>
      <c r="H570" s="110"/>
      <c r="AJ570" s="111"/>
      <c r="AK570" s="111"/>
      <c r="AW570" s="4"/>
      <c r="AX570" s="4"/>
      <c r="AY570" s="112"/>
      <c r="BA570" s="114"/>
      <c r="CQ570" s="113"/>
      <c r="CS570" s="116"/>
      <c r="CV570" s="9"/>
      <c r="CW570" s="9"/>
      <c r="CX570" s="9"/>
      <c r="CY570" s="9"/>
      <c r="CZ570" s="139"/>
      <c r="DA570" s="139"/>
      <c r="DB570" s="139"/>
      <c r="DC570" s="139"/>
      <c r="DD570" s="139"/>
      <c r="DE570" s="139"/>
      <c r="DF570" s="139"/>
      <c r="DG570" s="139"/>
      <c r="DH570" s="139"/>
      <c r="DI570" s="13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</row>
    <row r="571" spans="1:220" s="99" customFormat="1">
      <c r="A571" s="109"/>
      <c r="C571" s="4"/>
      <c r="D571" s="110"/>
      <c r="F571" s="219"/>
      <c r="H571" s="110"/>
      <c r="AJ571" s="111"/>
      <c r="AK571" s="111"/>
      <c r="AW571" s="4"/>
      <c r="AX571" s="4"/>
      <c r="AY571" s="112"/>
      <c r="BA571" s="114"/>
      <c r="CQ571" s="113"/>
      <c r="CS571" s="116"/>
      <c r="CV571" s="9"/>
      <c r="CW571" s="9"/>
      <c r="CX571" s="9"/>
      <c r="CY571" s="9"/>
      <c r="CZ571" s="139"/>
      <c r="DA571" s="139"/>
      <c r="DB571" s="139"/>
      <c r="DC571" s="139"/>
      <c r="DD571" s="139"/>
      <c r="DE571" s="139"/>
      <c r="DF571" s="139"/>
      <c r="DG571" s="139"/>
      <c r="DH571" s="139"/>
      <c r="DI571" s="13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9"/>
      <c r="FK571" s="9"/>
      <c r="FL571" s="9"/>
      <c r="FM571" s="9"/>
      <c r="FN571" s="9"/>
      <c r="FO571" s="9"/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  <c r="HJ571" s="9"/>
      <c r="HK571" s="9"/>
      <c r="HL571" s="9"/>
    </row>
    <row r="572" spans="1:220" s="99" customFormat="1">
      <c r="A572" s="109"/>
      <c r="C572" s="4"/>
      <c r="D572" s="110"/>
      <c r="F572" s="219"/>
      <c r="H572" s="110"/>
      <c r="AJ572" s="111"/>
      <c r="AK572" s="111"/>
      <c r="AW572" s="4"/>
      <c r="AX572" s="4"/>
      <c r="AY572" s="112"/>
      <c r="BA572" s="114"/>
      <c r="CQ572" s="113"/>
      <c r="CS572" s="116"/>
      <c r="CV572" s="9"/>
      <c r="CW572" s="9"/>
      <c r="CX572" s="9"/>
      <c r="CY572" s="9"/>
      <c r="CZ572" s="139"/>
      <c r="DA572" s="139"/>
      <c r="DB572" s="139"/>
      <c r="DC572" s="139"/>
      <c r="DD572" s="139"/>
      <c r="DE572" s="139"/>
      <c r="DF572" s="139"/>
      <c r="DG572" s="139"/>
      <c r="DH572" s="139"/>
      <c r="DI572" s="13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</row>
    <row r="573" spans="1:220" s="99" customFormat="1">
      <c r="A573" s="109"/>
      <c r="C573" s="4"/>
      <c r="D573" s="110"/>
      <c r="F573" s="219"/>
      <c r="H573" s="110"/>
      <c r="AJ573" s="111"/>
      <c r="AK573" s="111"/>
      <c r="AW573" s="4"/>
      <c r="AX573" s="4"/>
      <c r="AY573" s="112"/>
      <c r="BA573" s="114"/>
      <c r="CQ573" s="113"/>
      <c r="CS573" s="116"/>
      <c r="CV573" s="9"/>
      <c r="CW573" s="9"/>
      <c r="CX573" s="9"/>
      <c r="CY573" s="9"/>
      <c r="CZ573" s="139"/>
      <c r="DA573" s="139"/>
      <c r="DB573" s="139"/>
      <c r="DC573" s="139"/>
      <c r="DD573" s="139"/>
      <c r="DE573" s="139"/>
      <c r="DF573" s="139"/>
      <c r="DG573" s="139"/>
      <c r="DH573" s="139"/>
      <c r="DI573" s="13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</row>
    <row r="574" spans="1:220" s="99" customFormat="1">
      <c r="A574" s="109"/>
      <c r="C574" s="4"/>
      <c r="D574" s="110"/>
      <c r="F574" s="219"/>
      <c r="H574" s="110"/>
      <c r="AJ574" s="111"/>
      <c r="AK574" s="111"/>
      <c r="AW574" s="4"/>
      <c r="AX574" s="4"/>
      <c r="AY574" s="112"/>
      <c r="BA574" s="114"/>
      <c r="CQ574" s="113"/>
      <c r="CS574" s="116"/>
      <c r="CV574" s="9"/>
      <c r="CW574" s="9"/>
      <c r="CX574" s="9"/>
      <c r="CY574" s="9"/>
      <c r="CZ574" s="139"/>
      <c r="DA574" s="139"/>
      <c r="DB574" s="139"/>
      <c r="DC574" s="139"/>
      <c r="DD574" s="139"/>
      <c r="DE574" s="139"/>
      <c r="DF574" s="139"/>
      <c r="DG574" s="139"/>
      <c r="DH574" s="139"/>
      <c r="DI574" s="13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</row>
    <row r="575" spans="1:220" s="99" customFormat="1">
      <c r="A575" s="109"/>
      <c r="C575" s="4"/>
      <c r="D575" s="110"/>
      <c r="F575" s="219"/>
      <c r="H575" s="110"/>
      <c r="AJ575" s="111"/>
      <c r="AK575" s="111"/>
      <c r="AW575" s="4"/>
      <c r="AX575" s="4"/>
      <c r="AY575" s="112"/>
      <c r="BA575" s="114"/>
      <c r="CQ575" s="113"/>
      <c r="CS575" s="116"/>
      <c r="CV575" s="9"/>
      <c r="CW575" s="9"/>
      <c r="CX575" s="9"/>
      <c r="CY575" s="9"/>
      <c r="CZ575" s="139"/>
      <c r="DA575" s="139"/>
      <c r="DB575" s="139"/>
      <c r="DC575" s="139"/>
      <c r="DD575" s="139"/>
      <c r="DE575" s="139"/>
      <c r="DF575" s="139"/>
      <c r="DG575" s="139"/>
      <c r="DH575" s="139"/>
      <c r="DI575" s="13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9"/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  <c r="HJ575" s="9"/>
      <c r="HK575" s="9"/>
      <c r="HL575" s="9"/>
    </row>
    <row r="576" spans="1:220" s="99" customFormat="1">
      <c r="A576" s="109"/>
      <c r="C576" s="4"/>
      <c r="D576" s="110"/>
      <c r="F576" s="219"/>
      <c r="H576" s="110"/>
      <c r="AJ576" s="111"/>
      <c r="AK576" s="111"/>
      <c r="AW576" s="4"/>
      <c r="AX576" s="4"/>
      <c r="AY576" s="112"/>
      <c r="BA576" s="114"/>
      <c r="CQ576" s="113"/>
      <c r="CS576" s="116"/>
      <c r="CV576" s="9"/>
      <c r="CW576" s="9"/>
      <c r="CX576" s="9"/>
      <c r="CY576" s="9"/>
      <c r="CZ576" s="139"/>
      <c r="DA576" s="139"/>
      <c r="DB576" s="139"/>
      <c r="DC576" s="139"/>
      <c r="DD576" s="139"/>
      <c r="DE576" s="139"/>
      <c r="DF576" s="139"/>
      <c r="DG576" s="139"/>
      <c r="DH576" s="139"/>
      <c r="DI576" s="13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9"/>
      <c r="FS576" s="9"/>
      <c r="FT576" s="9"/>
      <c r="FU576" s="9"/>
      <c r="FV576" s="9"/>
      <c r="FW576" s="9"/>
      <c r="FX576" s="9"/>
      <c r="FY576" s="9"/>
      <c r="FZ576" s="9"/>
      <c r="GA576" s="9"/>
      <c r="GB576" s="9"/>
      <c r="GC576" s="9"/>
      <c r="GD576" s="9"/>
      <c r="GE576" s="9"/>
      <c r="GF576" s="9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  <c r="HJ576" s="9"/>
      <c r="HK576" s="9"/>
      <c r="HL576" s="9"/>
    </row>
    <row r="577" spans="1:220" s="99" customFormat="1">
      <c r="A577" s="109"/>
      <c r="C577" s="4"/>
      <c r="D577" s="110"/>
      <c r="F577" s="219"/>
      <c r="H577" s="110"/>
      <c r="AJ577" s="111"/>
      <c r="AK577" s="111"/>
      <c r="AW577" s="4"/>
      <c r="AX577" s="4"/>
      <c r="AY577" s="112"/>
      <c r="BA577" s="114"/>
      <c r="CQ577" s="113"/>
      <c r="CS577" s="116"/>
      <c r="CV577" s="9"/>
      <c r="CW577" s="9"/>
      <c r="CX577" s="9"/>
      <c r="CY577" s="9"/>
      <c r="CZ577" s="139"/>
      <c r="DA577" s="139"/>
      <c r="DB577" s="139"/>
      <c r="DC577" s="139"/>
      <c r="DD577" s="139"/>
      <c r="DE577" s="139"/>
      <c r="DF577" s="139"/>
      <c r="DG577" s="139"/>
      <c r="DH577" s="139"/>
      <c r="DI577" s="13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  <c r="FI577" s="9"/>
      <c r="FJ577" s="9"/>
      <c r="FK577" s="9"/>
      <c r="FL577" s="9"/>
      <c r="FM577" s="9"/>
      <c r="FN577" s="9"/>
      <c r="FO577" s="9"/>
      <c r="FP577" s="9"/>
      <c r="FQ577" s="9"/>
      <c r="FR577" s="9"/>
      <c r="FS577" s="9"/>
      <c r="FT577" s="9"/>
      <c r="FU577" s="9"/>
      <c r="FV577" s="9"/>
      <c r="FW577" s="9"/>
      <c r="FX577" s="9"/>
      <c r="FY577" s="9"/>
      <c r="FZ577" s="9"/>
      <c r="GA577" s="9"/>
      <c r="GB577" s="9"/>
      <c r="GC577" s="9"/>
      <c r="GD577" s="9"/>
      <c r="GE577" s="9"/>
      <c r="GF577" s="9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  <c r="HE577" s="9"/>
      <c r="HF577" s="9"/>
      <c r="HG577" s="9"/>
      <c r="HH577" s="9"/>
      <c r="HI577" s="9"/>
      <c r="HJ577" s="9"/>
      <c r="HK577" s="9"/>
      <c r="HL577" s="9"/>
    </row>
    <row r="578" spans="1:220" s="99" customFormat="1">
      <c r="A578" s="109"/>
      <c r="C578" s="4"/>
      <c r="D578" s="110"/>
      <c r="F578" s="219"/>
      <c r="H578" s="110"/>
      <c r="AJ578" s="111"/>
      <c r="AK578" s="111"/>
      <c r="AW578" s="4"/>
      <c r="AX578" s="4"/>
      <c r="AY578" s="112"/>
      <c r="BA578" s="114"/>
      <c r="CQ578" s="113"/>
      <c r="CS578" s="116"/>
      <c r="CV578" s="9"/>
      <c r="CW578" s="9"/>
      <c r="CX578" s="9"/>
      <c r="CY578" s="9"/>
      <c r="CZ578" s="139"/>
      <c r="DA578" s="139"/>
      <c r="DB578" s="139"/>
      <c r="DC578" s="139"/>
      <c r="DD578" s="139"/>
      <c r="DE578" s="139"/>
      <c r="DF578" s="139"/>
      <c r="DG578" s="139"/>
      <c r="DH578" s="139"/>
      <c r="DI578" s="13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</row>
    <row r="579" spans="1:220" s="99" customFormat="1">
      <c r="A579" s="109"/>
      <c r="C579" s="4"/>
      <c r="D579" s="110"/>
      <c r="F579" s="219"/>
      <c r="H579" s="110"/>
      <c r="AJ579" s="111"/>
      <c r="AK579" s="111"/>
      <c r="AW579" s="4"/>
      <c r="AX579" s="4"/>
      <c r="AY579" s="112"/>
      <c r="BA579" s="114"/>
      <c r="CQ579" s="113"/>
      <c r="CS579" s="116"/>
      <c r="CV579" s="9"/>
      <c r="CW579" s="9"/>
      <c r="CX579" s="9"/>
      <c r="CY579" s="9"/>
      <c r="CZ579" s="139"/>
      <c r="DA579" s="139"/>
      <c r="DB579" s="139"/>
      <c r="DC579" s="139"/>
      <c r="DD579" s="139"/>
      <c r="DE579" s="139"/>
      <c r="DF579" s="139"/>
      <c r="DG579" s="139"/>
      <c r="DH579" s="139"/>
      <c r="DI579" s="13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  <c r="FI579" s="9"/>
      <c r="FJ579" s="9"/>
      <c r="FK579" s="9"/>
      <c r="FL579" s="9"/>
      <c r="FM579" s="9"/>
      <c r="FN579" s="9"/>
      <c r="FO579" s="9"/>
      <c r="FP579" s="9"/>
      <c r="FQ579" s="9"/>
      <c r="FR579" s="9"/>
      <c r="FS579" s="9"/>
      <c r="FT579" s="9"/>
      <c r="FU579" s="9"/>
      <c r="FV579" s="9"/>
      <c r="FW579" s="9"/>
      <c r="FX579" s="9"/>
      <c r="FY579" s="9"/>
      <c r="FZ579" s="9"/>
      <c r="GA579" s="9"/>
      <c r="GB579" s="9"/>
      <c r="GC579" s="9"/>
      <c r="GD579" s="9"/>
      <c r="GE579" s="9"/>
      <c r="GF579" s="9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  <c r="HE579" s="9"/>
      <c r="HF579" s="9"/>
      <c r="HG579" s="9"/>
      <c r="HH579" s="9"/>
      <c r="HI579" s="9"/>
      <c r="HJ579" s="9"/>
      <c r="HK579" s="9"/>
      <c r="HL579" s="9"/>
    </row>
    <row r="580" spans="1:220" s="99" customFormat="1">
      <c r="A580" s="109"/>
      <c r="C580" s="4"/>
      <c r="D580" s="110"/>
      <c r="F580" s="219"/>
      <c r="H580" s="110"/>
      <c r="AJ580" s="111"/>
      <c r="AK580" s="111"/>
      <c r="AW580" s="4"/>
      <c r="AX580" s="4"/>
      <c r="AY580" s="112"/>
      <c r="BA580" s="114"/>
      <c r="CQ580" s="113"/>
      <c r="CS580" s="116"/>
      <c r="CV580" s="9"/>
      <c r="CW580" s="9"/>
      <c r="CX580" s="9"/>
      <c r="CY580" s="9"/>
      <c r="CZ580" s="139"/>
      <c r="DA580" s="139"/>
      <c r="DB580" s="139"/>
      <c r="DC580" s="139"/>
      <c r="DD580" s="139"/>
      <c r="DE580" s="139"/>
      <c r="DF580" s="139"/>
      <c r="DG580" s="139"/>
      <c r="DH580" s="139"/>
      <c r="DI580" s="13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</row>
    <row r="581" spans="1:220" s="99" customFormat="1">
      <c r="A581" s="109"/>
      <c r="C581" s="4"/>
      <c r="D581" s="110"/>
      <c r="F581" s="219"/>
      <c r="H581" s="110"/>
      <c r="AJ581" s="111"/>
      <c r="AK581" s="111"/>
      <c r="AW581" s="4"/>
      <c r="AX581" s="4"/>
      <c r="AY581" s="112"/>
      <c r="BA581" s="114"/>
      <c r="CQ581" s="113"/>
      <c r="CS581" s="116"/>
      <c r="CV581" s="9"/>
      <c r="CW581" s="9"/>
      <c r="CX581" s="9"/>
      <c r="CY581" s="9"/>
      <c r="CZ581" s="139"/>
      <c r="DA581" s="139"/>
      <c r="DB581" s="139"/>
      <c r="DC581" s="139"/>
      <c r="DD581" s="139"/>
      <c r="DE581" s="139"/>
      <c r="DF581" s="139"/>
      <c r="DG581" s="139"/>
      <c r="DH581" s="139"/>
      <c r="DI581" s="13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9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  <c r="HE581" s="9"/>
      <c r="HF581" s="9"/>
      <c r="HG581" s="9"/>
      <c r="HH581" s="9"/>
      <c r="HI581" s="9"/>
      <c r="HJ581" s="9"/>
      <c r="HK581" s="9"/>
      <c r="HL581" s="9"/>
    </row>
    <row r="582" spans="1:220" s="99" customFormat="1">
      <c r="A582" s="109"/>
      <c r="C582" s="4"/>
      <c r="D582" s="110"/>
      <c r="F582" s="219"/>
      <c r="H582" s="110"/>
      <c r="AJ582" s="111"/>
      <c r="AK582" s="111"/>
      <c r="AW582" s="4"/>
      <c r="AX582" s="4"/>
      <c r="AY582" s="112"/>
      <c r="BA582" s="114"/>
      <c r="CQ582" s="113"/>
      <c r="CS582" s="116"/>
      <c r="CV582" s="9"/>
      <c r="CW582" s="9"/>
      <c r="CX582" s="9"/>
      <c r="CY582" s="9"/>
      <c r="CZ582" s="139"/>
      <c r="DA582" s="139"/>
      <c r="DB582" s="139"/>
      <c r="DC582" s="139"/>
      <c r="DD582" s="139"/>
      <c r="DE582" s="139"/>
      <c r="DF582" s="139"/>
      <c r="DG582" s="139"/>
      <c r="DH582" s="139"/>
      <c r="DI582" s="13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</row>
    <row r="583" spans="1:220" s="99" customFormat="1">
      <c r="A583" s="109"/>
      <c r="C583" s="4"/>
      <c r="D583" s="110"/>
      <c r="F583" s="219"/>
      <c r="H583" s="110"/>
      <c r="AJ583" s="111"/>
      <c r="AK583" s="111"/>
      <c r="AW583" s="4"/>
      <c r="AX583" s="4"/>
      <c r="AY583" s="112"/>
      <c r="BA583" s="114"/>
      <c r="CQ583" s="113"/>
      <c r="CS583" s="116"/>
      <c r="CV583" s="9"/>
      <c r="CW583" s="9"/>
      <c r="CX583" s="9"/>
      <c r="CY583" s="9"/>
      <c r="CZ583" s="139"/>
      <c r="DA583" s="139"/>
      <c r="DB583" s="139"/>
      <c r="DC583" s="139"/>
      <c r="DD583" s="139"/>
      <c r="DE583" s="139"/>
      <c r="DF583" s="139"/>
      <c r="DG583" s="139"/>
      <c r="DH583" s="139"/>
      <c r="DI583" s="13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9"/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  <c r="HE583" s="9"/>
      <c r="HF583" s="9"/>
      <c r="HG583" s="9"/>
      <c r="HH583" s="9"/>
      <c r="HI583" s="9"/>
      <c r="HJ583" s="9"/>
      <c r="HK583" s="9"/>
      <c r="HL583" s="9"/>
    </row>
    <row r="584" spans="1:220" s="99" customFormat="1">
      <c r="A584" s="109"/>
      <c r="C584" s="4"/>
      <c r="D584" s="110"/>
      <c r="F584" s="219"/>
      <c r="H584" s="110"/>
      <c r="AJ584" s="111"/>
      <c r="AK584" s="111"/>
      <c r="AW584" s="4"/>
      <c r="AX584" s="4"/>
      <c r="AY584" s="112"/>
      <c r="BA584" s="114"/>
      <c r="CQ584" s="113"/>
      <c r="CS584" s="116"/>
      <c r="CV584" s="9"/>
      <c r="CW584" s="9"/>
      <c r="CX584" s="9"/>
      <c r="CY584" s="9"/>
      <c r="CZ584" s="139"/>
      <c r="DA584" s="139"/>
      <c r="DB584" s="139"/>
      <c r="DC584" s="139"/>
      <c r="DD584" s="139"/>
      <c r="DE584" s="139"/>
      <c r="DF584" s="139"/>
      <c r="DG584" s="139"/>
      <c r="DH584" s="139"/>
      <c r="DI584" s="13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</row>
    <row r="585" spans="1:220" s="99" customFormat="1">
      <c r="A585" s="109"/>
      <c r="C585" s="4"/>
      <c r="D585" s="110"/>
      <c r="F585" s="219"/>
      <c r="H585" s="110"/>
      <c r="AJ585" s="111"/>
      <c r="AK585" s="111"/>
      <c r="AW585" s="4"/>
      <c r="AX585" s="4"/>
      <c r="AY585" s="112"/>
      <c r="BA585" s="114"/>
      <c r="CQ585" s="113"/>
      <c r="CS585" s="116"/>
      <c r="CV585" s="9"/>
      <c r="CW585" s="9"/>
      <c r="CX585" s="9"/>
      <c r="CY585" s="9"/>
      <c r="CZ585" s="139"/>
      <c r="DA585" s="139"/>
      <c r="DB585" s="139"/>
      <c r="DC585" s="139"/>
      <c r="DD585" s="139"/>
      <c r="DE585" s="139"/>
      <c r="DF585" s="139"/>
      <c r="DG585" s="139"/>
      <c r="DH585" s="139"/>
      <c r="DI585" s="13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  <c r="HJ585" s="9"/>
      <c r="HK585" s="9"/>
      <c r="HL585" s="9"/>
    </row>
    <row r="586" spans="1:220" s="99" customFormat="1">
      <c r="A586" s="109"/>
      <c r="C586" s="4"/>
      <c r="D586" s="110"/>
      <c r="F586" s="219"/>
      <c r="H586" s="110"/>
      <c r="AJ586" s="111"/>
      <c r="AK586" s="111"/>
      <c r="AW586" s="4"/>
      <c r="AX586" s="4"/>
      <c r="AY586" s="112"/>
      <c r="BA586" s="114"/>
      <c r="CQ586" s="113"/>
      <c r="CS586" s="116"/>
      <c r="CV586" s="9"/>
      <c r="CW586" s="9"/>
      <c r="CX586" s="9"/>
      <c r="CY586" s="9"/>
      <c r="CZ586" s="139"/>
      <c r="DA586" s="139"/>
      <c r="DB586" s="139"/>
      <c r="DC586" s="139"/>
      <c r="DD586" s="139"/>
      <c r="DE586" s="139"/>
      <c r="DF586" s="139"/>
      <c r="DG586" s="139"/>
      <c r="DH586" s="139"/>
      <c r="DI586" s="13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</row>
    <row r="587" spans="1:220" s="99" customFormat="1">
      <c r="A587" s="109"/>
      <c r="C587" s="4"/>
      <c r="D587" s="110"/>
      <c r="F587" s="219"/>
      <c r="H587" s="110"/>
      <c r="AJ587" s="111"/>
      <c r="AK587" s="111"/>
      <c r="AW587" s="4"/>
      <c r="AX587" s="4"/>
      <c r="AY587" s="112"/>
      <c r="BA587" s="114"/>
      <c r="CQ587" s="113"/>
      <c r="CS587" s="116"/>
      <c r="CV587" s="9"/>
      <c r="CW587" s="9"/>
      <c r="CX587" s="9"/>
      <c r="CY587" s="9"/>
      <c r="CZ587" s="139"/>
      <c r="DA587" s="139"/>
      <c r="DB587" s="139"/>
      <c r="DC587" s="139"/>
      <c r="DD587" s="139"/>
      <c r="DE587" s="139"/>
      <c r="DF587" s="139"/>
      <c r="DG587" s="139"/>
      <c r="DH587" s="139"/>
      <c r="DI587" s="13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  <c r="HJ587" s="9"/>
      <c r="HK587" s="9"/>
      <c r="HL587" s="9"/>
    </row>
    <row r="588" spans="1:220" s="99" customFormat="1">
      <c r="A588" s="109"/>
      <c r="C588" s="4"/>
      <c r="D588" s="110"/>
      <c r="F588" s="219"/>
      <c r="H588" s="110"/>
      <c r="AJ588" s="111"/>
      <c r="AK588" s="111"/>
      <c r="AW588" s="4"/>
      <c r="AX588" s="4"/>
      <c r="AY588" s="112"/>
      <c r="BA588" s="114"/>
      <c r="CQ588" s="113"/>
      <c r="CS588" s="116"/>
      <c r="CV588" s="9"/>
      <c r="CW588" s="9"/>
      <c r="CX588" s="9"/>
      <c r="CY588" s="9"/>
      <c r="CZ588" s="139"/>
      <c r="DA588" s="139"/>
      <c r="DB588" s="139"/>
      <c r="DC588" s="139"/>
      <c r="DD588" s="139"/>
      <c r="DE588" s="139"/>
      <c r="DF588" s="139"/>
      <c r="DG588" s="139"/>
      <c r="DH588" s="139"/>
      <c r="DI588" s="13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</row>
    <row r="589" spans="1:220" s="99" customFormat="1">
      <c r="A589" s="109"/>
      <c r="C589" s="4"/>
      <c r="D589" s="110"/>
      <c r="F589" s="219"/>
      <c r="H589" s="110"/>
      <c r="AJ589" s="111"/>
      <c r="AK589" s="111"/>
      <c r="AW589" s="4"/>
      <c r="AX589" s="4"/>
      <c r="AY589" s="112"/>
      <c r="BA589" s="114"/>
      <c r="CQ589" s="113"/>
      <c r="CS589" s="116"/>
      <c r="CV589" s="9"/>
      <c r="CW589" s="9"/>
      <c r="CX589" s="9"/>
      <c r="CY589" s="9"/>
      <c r="CZ589" s="139"/>
      <c r="DA589" s="139"/>
      <c r="DB589" s="139"/>
      <c r="DC589" s="139"/>
      <c r="DD589" s="139"/>
      <c r="DE589" s="139"/>
      <c r="DF589" s="139"/>
      <c r="DG589" s="139"/>
      <c r="DH589" s="139"/>
      <c r="DI589" s="13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  <c r="HJ589" s="9"/>
      <c r="HK589" s="9"/>
      <c r="HL589" s="9"/>
    </row>
    <row r="590" spans="1:220" s="99" customFormat="1">
      <c r="A590" s="109"/>
      <c r="C590" s="4"/>
      <c r="D590" s="110"/>
      <c r="F590" s="219"/>
      <c r="H590" s="110"/>
      <c r="AJ590" s="111"/>
      <c r="AK590" s="111"/>
      <c r="AW590" s="4"/>
      <c r="AX590" s="4"/>
      <c r="AY590" s="112"/>
      <c r="BA590" s="114"/>
      <c r="CQ590" s="113"/>
      <c r="CS590" s="116"/>
      <c r="CV590" s="9"/>
      <c r="CW590" s="9"/>
      <c r="CX590" s="9"/>
      <c r="CY590" s="9"/>
      <c r="CZ590" s="139"/>
      <c r="DA590" s="139"/>
      <c r="DB590" s="139"/>
      <c r="DC590" s="139"/>
      <c r="DD590" s="139"/>
      <c r="DE590" s="139"/>
      <c r="DF590" s="139"/>
      <c r="DG590" s="139"/>
      <c r="DH590" s="139"/>
      <c r="DI590" s="13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</row>
    <row r="591" spans="1:220" s="99" customFormat="1">
      <c r="A591" s="109"/>
      <c r="C591" s="4"/>
      <c r="D591" s="110"/>
      <c r="F591" s="219"/>
      <c r="H591" s="110"/>
      <c r="AJ591" s="111"/>
      <c r="AK591" s="111"/>
      <c r="AW591" s="4"/>
      <c r="AX591" s="4"/>
      <c r="AY591" s="112"/>
      <c r="BA591" s="114"/>
      <c r="CQ591" s="113"/>
      <c r="CS591" s="116"/>
      <c r="CV591" s="9"/>
      <c r="CW591" s="9"/>
      <c r="CX591" s="9"/>
      <c r="CY591" s="9"/>
      <c r="CZ591" s="139"/>
      <c r="DA591" s="139"/>
      <c r="DB591" s="139"/>
      <c r="DC591" s="139"/>
      <c r="DD591" s="139"/>
      <c r="DE591" s="139"/>
      <c r="DF591" s="139"/>
      <c r="DG591" s="139"/>
      <c r="DH591" s="139"/>
      <c r="DI591" s="13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  <c r="HJ591" s="9"/>
      <c r="HK591" s="9"/>
      <c r="HL591" s="9"/>
    </row>
    <row r="592" spans="1:220" s="99" customFormat="1">
      <c r="A592" s="109"/>
      <c r="C592" s="4"/>
      <c r="D592" s="110"/>
      <c r="F592" s="219"/>
      <c r="H592" s="110"/>
      <c r="AJ592" s="111"/>
      <c r="AK592" s="111"/>
      <c r="AW592" s="4"/>
      <c r="AX592" s="4"/>
      <c r="AY592" s="112"/>
      <c r="BA592" s="114"/>
      <c r="CQ592" s="113"/>
      <c r="CS592" s="116"/>
      <c r="CV592" s="9"/>
      <c r="CW592" s="9"/>
      <c r="CX592" s="9"/>
      <c r="CY592" s="9"/>
      <c r="CZ592" s="139"/>
      <c r="DA592" s="139"/>
      <c r="DB592" s="139"/>
      <c r="DC592" s="139"/>
      <c r="DD592" s="139"/>
      <c r="DE592" s="139"/>
      <c r="DF592" s="139"/>
      <c r="DG592" s="139"/>
      <c r="DH592" s="139"/>
      <c r="DI592" s="13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</row>
    <row r="593" spans="1:220" s="99" customFormat="1">
      <c r="A593" s="109"/>
      <c r="C593" s="4"/>
      <c r="D593" s="110"/>
      <c r="F593" s="219"/>
      <c r="H593" s="110"/>
      <c r="AJ593" s="111"/>
      <c r="AK593" s="111"/>
      <c r="AW593" s="4"/>
      <c r="AX593" s="4"/>
      <c r="AY593" s="112"/>
      <c r="BA593" s="114"/>
      <c r="CQ593" s="113"/>
      <c r="CS593" s="116"/>
      <c r="CV593" s="9"/>
      <c r="CW593" s="9"/>
      <c r="CX593" s="9"/>
      <c r="CY593" s="9"/>
      <c r="CZ593" s="139"/>
      <c r="DA593" s="139"/>
      <c r="DB593" s="139"/>
      <c r="DC593" s="139"/>
      <c r="DD593" s="139"/>
      <c r="DE593" s="139"/>
      <c r="DF593" s="139"/>
      <c r="DG593" s="139"/>
      <c r="DH593" s="139"/>
      <c r="DI593" s="13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</row>
    <row r="594" spans="1:220" s="99" customFormat="1">
      <c r="A594" s="109"/>
      <c r="C594" s="4"/>
      <c r="D594" s="110"/>
      <c r="F594" s="219"/>
      <c r="H594" s="110"/>
      <c r="AJ594" s="111"/>
      <c r="AK594" s="111"/>
      <c r="AW594" s="4"/>
      <c r="AX594" s="4"/>
      <c r="AY594" s="112"/>
      <c r="BA594" s="114"/>
      <c r="CQ594" s="113"/>
      <c r="CS594" s="116"/>
      <c r="CV594" s="9"/>
      <c r="CW594" s="9"/>
      <c r="CX594" s="9"/>
      <c r="CY594" s="9"/>
      <c r="CZ594" s="139"/>
      <c r="DA594" s="139"/>
      <c r="DB594" s="139"/>
      <c r="DC594" s="139"/>
      <c r="DD594" s="139"/>
      <c r="DE594" s="139"/>
      <c r="DF594" s="139"/>
      <c r="DG594" s="139"/>
      <c r="DH594" s="139"/>
      <c r="DI594" s="13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</row>
    <row r="595" spans="1:220" s="99" customFormat="1">
      <c r="A595" s="109"/>
      <c r="C595" s="4"/>
      <c r="D595" s="110"/>
      <c r="F595" s="219"/>
      <c r="H595" s="110"/>
      <c r="AJ595" s="111"/>
      <c r="AK595" s="111"/>
      <c r="AW595" s="4"/>
      <c r="AX595" s="4"/>
      <c r="AY595" s="112"/>
      <c r="BA595" s="114"/>
      <c r="CQ595" s="113"/>
      <c r="CS595" s="116"/>
      <c r="CV595" s="9"/>
      <c r="CW595" s="9"/>
      <c r="CX595" s="9"/>
      <c r="CY595" s="9"/>
      <c r="CZ595" s="139"/>
      <c r="DA595" s="139"/>
      <c r="DB595" s="139"/>
      <c r="DC595" s="139"/>
      <c r="DD595" s="139"/>
      <c r="DE595" s="139"/>
      <c r="DF595" s="139"/>
      <c r="DG595" s="139"/>
      <c r="DH595" s="139"/>
      <c r="DI595" s="13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  <c r="HJ595" s="9"/>
      <c r="HK595" s="9"/>
      <c r="HL595" s="9"/>
    </row>
    <row r="596" spans="1:220" s="99" customFormat="1">
      <c r="A596" s="109"/>
      <c r="C596" s="4"/>
      <c r="D596" s="110"/>
      <c r="F596" s="219"/>
      <c r="H596" s="110"/>
      <c r="AJ596" s="111"/>
      <c r="AK596" s="111"/>
      <c r="AW596" s="4"/>
      <c r="AX596" s="4"/>
      <c r="AY596" s="112"/>
      <c r="BA596" s="114"/>
      <c r="CQ596" s="113"/>
      <c r="CS596" s="116"/>
      <c r="CV596" s="9"/>
      <c r="CW596" s="9"/>
      <c r="CX596" s="9"/>
      <c r="CY596" s="9"/>
      <c r="CZ596" s="139"/>
      <c r="DA596" s="139"/>
      <c r="DB596" s="139"/>
      <c r="DC596" s="139"/>
      <c r="DD596" s="139"/>
      <c r="DE596" s="139"/>
      <c r="DF596" s="139"/>
      <c r="DG596" s="139"/>
      <c r="DH596" s="139"/>
      <c r="DI596" s="13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</row>
    <row r="597" spans="1:220" s="99" customFormat="1">
      <c r="A597" s="109"/>
      <c r="C597" s="4"/>
      <c r="D597" s="110"/>
      <c r="F597" s="219"/>
      <c r="H597" s="110"/>
      <c r="AJ597" s="111"/>
      <c r="AK597" s="111"/>
      <c r="AW597" s="4"/>
      <c r="AX597" s="4"/>
      <c r="AY597" s="112"/>
      <c r="BA597" s="114"/>
      <c r="CQ597" s="113"/>
      <c r="CS597" s="116"/>
      <c r="CV597" s="9"/>
      <c r="CW597" s="9"/>
      <c r="CX597" s="9"/>
      <c r="CY597" s="9"/>
      <c r="CZ597" s="139"/>
      <c r="DA597" s="139"/>
      <c r="DB597" s="139"/>
      <c r="DC597" s="139"/>
      <c r="DD597" s="139"/>
      <c r="DE597" s="139"/>
      <c r="DF597" s="139"/>
      <c r="DG597" s="139"/>
      <c r="DH597" s="139"/>
      <c r="DI597" s="13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  <c r="HJ597" s="9"/>
      <c r="HK597" s="9"/>
      <c r="HL597" s="9"/>
    </row>
    <row r="598" spans="1:220" s="99" customFormat="1">
      <c r="A598" s="109"/>
      <c r="C598" s="4"/>
      <c r="D598" s="110"/>
      <c r="F598" s="219"/>
      <c r="H598" s="110"/>
      <c r="AJ598" s="111"/>
      <c r="AK598" s="111"/>
      <c r="AW598" s="4"/>
      <c r="AX598" s="4"/>
      <c r="AY598" s="112"/>
      <c r="BA598" s="114"/>
      <c r="CQ598" s="113"/>
      <c r="CS598" s="116"/>
      <c r="CV598" s="9"/>
      <c r="CW598" s="9"/>
      <c r="CX598" s="9"/>
      <c r="CY598" s="9"/>
      <c r="CZ598" s="139"/>
      <c r="DA598" s="139"/>
      <c r="DB598" s="139"/>
      <c r="DC598" s="139"/>
      <c r="DD598" s="139"/>
      <c r="DE598" s="139"/>
      <c r="DF598" s="139"/>
      <c r="DG598" s="139"/>
      <c r="DH598" s="139"/>
      <c r="DI598" s="13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</row>
    <row r="599" spans="1:220" s="99" customFormat="1">
      <c r="A599" s="109"/>
      <c r="C599" s="4"/>
      <c r="D599" s="110"/>
      <c r="F599" s="219"/>
      <c r="H599" s="110"/>
      <c r="AJ599" s="111"/>
      <c r="AK599" s="111"/>
      <c r="AW599" s="4"/>
      <c r="AX599" s="4"/>
      <c r="AY599" s="112"/>
      <c r="BA599" s="114"/>
      <c r="CQ599" s="113"/>
      <c r="CS599" s="116"/>
      <c r="CV599" s="9"/>
      <c r="CW599" s="9"/>
      <c r="CX599" s="9"/>
      <c r="CY599" s="9"/>
      <c r="CZ599" s="139"/>
      <c r="DA599" s="139"/>
      <c r="DB599" s="139"/>
      <c r="DC599" s="139"/>
      <c r="DD599" s="139"/>
      <c r="DE599" s="139"/>
      <c r="DF599" s="139"/>
      <c r="DG599" s="139"/>
      <c r="DH599" s="139"/>
      <c r="DI599" s="13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  <c r="HJ599" s="9"/>
      <c r="HK599" s="9"/>
      <c r="HL599" s="9"/>
    </row>
    <row r="600" spans="1:220" s="99" customFormat="1">
      <c r="A600" s="109"/>
      <c r="C600" s="4"/>
      <c r="D600" s="110"/>
      <c r="F600" s="219"/>
      <c r="H600" s="110"/>
      <c r="AJ600" s="111"/>
      <c r="AK600" s="111"/>
      <c r="AW600" s="4"/>
      <c r="AX600" s="4"/>
      <c r="AY600" s="112"/>
      <c r="BA600" s="114"/>
      <c r="CQ600" s="113"/>
      <c r="CS600" s="116"/>
      <c r="CV600" s="9"/>
      <c r="CW600" s="9"/>
      <c r="CX600" s="9"/>
      <c r="CY600" s="9"/>
      <c r="CZ600" s="139"/>
      <c r="DA600" s="139"/>
      <c r="DB600" s="139"/>
      <c r="DC600" s="139"/>
      <c r="DD600" s="139"/>
      <c r="DE600" s="139"/>
      <c r="DF600" s="139"/>
      <c r="DG600" s="139"/>
      <c r="DH600" s="139"/>
      <c r="DI600" s="13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</row>
    <row r="601" spans="1:220" s="99" customFormat="1">
      <c r="A601" s="109"/>
      <c r="C601" s="4"/>
      <c r="D601" s="110"/>
      <c r="F601" s="219"/>
      <c r="H601" s="110"/>
      <c r="AJ601" s="111"/>
      <c r="AK601" s="111"/>
      <c r="AW601" s="4"/>
      <c r="AX601" s="4"/>
      <c r="AY601" s="112"/>
      <c r="BA601" s="114"/>
      <c r="CQ601" s="113"/>
      <c r="CS601" s="116"/>
      <c r="CV601" s="9"/>
      <c r="CW601" s="9"/>
      <c r="CX601" s="9"/>
      <c r="CY601" s="9"/>
      <c r="CZ601" s="139"/>
      <c r="DA601" s="139"/>
      <c r="DB601" s="139"/>
      <c r="DC601" s="139"/>
      <c r="DD601" s="139"/>
      <c r="DE601" s="139"/>
      <c r="DF601" s="139"/>
      <c r="DG601" s="139"/>
      <c r="DH601" s="139"/>
      <c r="DI601" s="13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  <c r="HE601" s="9"/>
      <c r="HF601" s="9"/>
      <c r="HG601" s="9"/>
      <c r="HH601" s="9"/>
      <c r="HI601" s="9"/>
      <c r="HJ601" s="9"/>
      <c r="HK601" s="9"/>
      <c r="HL601" s="9"/>
    </row>
    <row r="602" spans="1:220" s="99" customFormat="1">
      <c r="A602" s="109"/>
      <c r="C602" s="4"/>
      <c r="D602" s="110"/>
      <c r="F602" s="219"/>
      <c r="H602" s="110"/>
      <c r="AJ602" s="111"/>
      <c r="AK602" s="111"/>
      <c r="AW602" s="4"/>
      <c r="AX602" s="4"/>
      <c r="AY602" s="112"/>
      <c r="BA602" s="114"/>
      <c r="CQ602" s="113"/>
      <c r="CS602" s="116"/>
      <c r="CV602" s="9"/>
      <c r="CW602" s="9"/>
      <c r="CX602" s="9"/>
      <c r="CY602" s="9"/>
      <c r="CZ602" s="139"/>
      <c r="DA602" s="139"/>
      <c r="DB602" s="139"/>
      <c r="DC602" s="139"/>
      <c r="DD602" s="139"/>
      <c r="DE602" s="139"/>
      <c r="DF602" s="139"/>
      <c r="DG602" s="139"/>
      <c r="DH602" s="139"/>
      <c r="DI602" s="13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</row>
    <row r="603" spans="1:220" s="99" customFormat="1">
      <c r="A603" s="109"/>
      <c r="C603" s="4"/>
      <c r="D603" s="110"/>
      <c r="F603" s="219"/>
      <c r="H603" s="110"/>
      <c r="AJ603" s="111"/>
      <c r="AK603" s="111"/>
      <c r="AW603" s="4"/>
      <c r="AX603" s="4"/>
      <c r="AY603" s="112"/>
      <c r="BA603" s="114"/>
      <c r="CQ603" s="113"/>
      <c r="CS603" s="116"/>
      <c r="CV603" s="9"/>
      <c r="CW603" s="9"/>
      <c r="CX603" s="9"/>
      <c r="CY603" s="9"/>
      <c r="CZ603" s="139"/>
      <c r="DA603" s="139"/>
      <c r="DB603" s="139"/>
      <c r="DC603" s="139"/>
      <c r="DD603" s="139"/>
      <c r="DE603" s="139"/>
      <c r="DF603" s="139"/>
      <c r="DG603" s="139"/>
      <c r="DH603" s="139"/>
      <c r="DI603" s="13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  <c r="FI603" s="9"/>
      <c r="FJ603" s="9"/>
      <c r="FK603" s="9"/>
      <c r="FL603" s="9"/>
      <c r="FM603" s="9"/>
      <c r="FN603" s="9"/>
      <c r="FO603" s="9"/>
      <c r="FP603" s="9"/>
      <c r="FQ603" s="9"/>
      <c r="FR603" s="9"/>
      <c r="FS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  <c r="HE603" s="9"/>
      <c r="HF603" s="9"/>
      <c r="HG603" s="9"/>
      <c r="HH603" s="9"/>
      <c r="HI603" s="9"/>
      <c r="HJ603" s="9"/>
      <c r="HK603" s="9"/>
      <c r="HL603" s="9"/>
    </row>
    <row r="604" spans="1:220" s="99" customFormat="1">
      <c r="A604" s="109"/>
      <c r="C604" s="4"/>
      <c r="D604" s="110"/>
      <c r="F604" s="219"/>
      <c r="H604" s="110"/>
      <c r="AJ604" s="111"/>
      <c r="AK604" s="111"/>
      <c r="AW604" s="4"/>
      <c r="AX604" s="4"/>
      <c r="AY604" s="112"/>
      <c r="BA604" s="114"/>
      <c r="CQ604" s="113"/>
      <c r="CS604" s="116"/>
      <c r="CV604" s="9"/>
      <c r="CW604" s="9"/>
      <c r="CX604" s="9"/>
      <c r="CY604" s="9"/>
      <c r="CZ604" s="139"/>
      <c r="DA604" s="139"/>
      <c r="DB604" s="139"/>
      <c r="DC604" s="139"/>
      <c r="DD604" s="139"/>
      <c r="DE604" s="139"/>
      <c r="DF604" s="139"/>
      <c r="DG604" s="139"/>
      <c r="DH604" s="139"/>
      <c r="DI604" s="13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9"/>
      <c r="FS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  <c r="HJ604" s="9"/>
      <c r="HK604" s="9"/>
      <c r="HL604" s="9"/>
    </row>
    <row r="605" spans="1:220" s="99" customFormat="1">
      <c r="A605" s="109"/>
      <c r="C605" s="4"/>
      <c r="D605" s="110"/>
      <c r="F605" s="219"/>
      <c r="H605" s="110"/>
      <c r="AJ605" s="111"/>
      <c r="AK605" s="111"/>
      <c r="AW605" s="4"/>
      <c r="AX605" s="4"/>
      <c r="AY605" s="112"/>
      <c r="BA605" s="114"/>
      <c r="CQ605" s="113"/>
      <c r="CS605" s="116"/>
      <c r="CV605" s="9"/>
      <c r="CW605" s="9"/>
      <c r="CX605" s="9"/>
      <c r="CY605" s="9"/>
      <c r="CZ605" s="139"/>
      <c r="DA605" s="139"/>
      <c r="DB605" s="139"/>
      <c r="DC605" s="139"/>
      <c r="DD605" s="139"/>
      <c r="DE605" s="139"/>
      <c r="DF605" s="139"/>
      <c r="DG605" s="139"/>
      <c r="DH605" s="139"/>
      <c r="DI605" s="13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  <c r="FI605" s="9"/>
      <c r="FJ605" s="9"/>
      <c r="FK605" s="9"/>
      <c r="FL605" s="9"/>
      <c r="FM605" s="9"/>
      <c r="FN605" s="9"/>
      <c r="FO605" s="9"/>
      <c r="FP605" s="9"/>
      <c r="FQ605" s="9"/>
      <c r="FR605" s="9"/>
      <c r="FS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  <c r="HE605" s="9"/>
      <c r="HF605" s="9"/>
      <c r="HG605" s="9"/>
      <c r="HH605" s="9"/>
      <c r="HI605" s="9"/>
      <c r="HJ605" s="9"/>
      <c r="HK605" s="9"/>
      <c r="HL605" s="9"/>
    </row>
    <row r="606" spans="1:220" s="99" customFormat="1">
      <c r="A606" s="109"/>
      <c r="C606" s="4"/>
      <c r="D606" s="110"/>
      <c r="F606" s="219"/>
      <c r="H606" s="110"/>
      <c r="AJ606" s="111"/>
      <c r="AK606" s="111"/>
      <c r="AW606" s="4"/>
      <c r="AX606" s="4"/>
      <c r="AY606" s="112"/>
      <c r="BA606" s="114"/>
      <c r="CQ606" s="113"/>
      <c r="CS606" s="116"/>
      <c r="CV606" s="9"/>
      <c r="CW606" s="9"/>
      <c r="CX606" s="9"/>
      <c r="CY606" s="9"/>
      <c r="CZ606" s="139"/>
      <c r="DA606" s="139"/>
      <c r="DB606" s="139"/>
      <c r="DC606" s="139"/>
      <c r="DD606" s="139"/>
      <c r="DE606" s="139"/>
      <c r="DF606" s="139"/>
      <c r="DG606" s="139"/>
      <c r="DH606" s="139"/>
      <c r="DI606" s="13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  <c r="HJ606" s="9"/>
      <c r="HK606" s="9"/>
      <c r="HL606" s="9"/>
    </row>
    <row r="607" spans="1:220" s="99" customFormat="1">
      <c r="A607" s="109"/>
      <c r="C607" s="4"/>
      <c r="D607" s="110"/>
      <c r="F607" s="219"/>
      <c r="H607" s="110"/>
      <c r="AJ607" s="111"/>
      <c r="AK607" s="111"/>
      <c r="AW607" s="4"/>
      <c r="AX607" s="4"/>
      <c r="AY607" s="112"/>
      <c r="BA607" s="114"/>
      <c r="CQ607" s="113"/>
      <c r="CS607" s="116"/>
      <c r="CV607" s="9"/>
      <c r="CW607" s="9"/>
      <c r="CX607" s="9"/>
      <c r="CY607" s="9"/>
      <c r="CZ607" s="139"/>
      <c r="DA607" s="139"/>
      <c r="DB607" s="139"/>
      <c r="DC607" s="139"/>
      <c r="DD607" s="139"/>
      <c r="DE607" s="139"/>
      <c r="DF607" s="139"/>
      <c r="DG607" s="139"/>
      <c r="DH607" s="139"/>
      <c r="DI607" s="13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  <c r="HJ607" s="9"/>
      <c r="HK607" s="9"/>
      <c r="HL607" s="9"/>
    </row>
    <row r="608" spans="1:220" s="99" customFormat="1">
      <c r="A608" s="109"/>
      <c r="C608" s="4"/>
      <c r="D608" s="110"/>
      <c r="F608" s="219"/>
      <c r="H608" s="110"/>
      <c r="AJ608" s="111"/>
      <c r="AK608" s="111"/>
      <c r="AW608" s="4"/>
      <c r="AX608" s="4"/>
      <c r="AY608" s="112"/>
      <c r="BA608" s="114"/>
      <c r="CQ608" s="113"/>
      <c r="CS608" s="116"/>
      <c r="CV608" s="9"/>
      <c r="CW608" s="9"/>
      <c r="CX608" s="9"/>
      <c r="CY608" s="9"/>
      <c r="CZ608" s="139"/>
      <c r="DA608" s="139"/>
      <c r="DB608" s="139"/>
      <c r="DC608" s="139"/>
      <c r="DD608" s="139"/>
      <c r="DE608" s="139"/>
      <c r="DF608" s="139"/>
      <c r="DG608" s="139"/>
      <c r="DH608" s="139"/>
      <c r="DI608" s="13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9"/>
      <c r="FS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  <c r="HJ608" s="9"/>
      <c r="HK608" s="9"/>
      <c r="HL608" s="9"/>
    </row>
    <row r="609" spans="1:220" s="99" customFormat="1">
      <c r="A609" s="109"/>
      <c r="C609" s="4"/>
      <c r="D609" s="110"/>
      <c r="F609" s="219"/>
      <c r="H609" s="110"/>
      <c r="AJ609" s="111"/>
      <c r="AK609" s="111"/>
      <c r="AW609" s="4"/>
      <c r="AX609" s="4"/>
      <c r="AY609" s="112"/>
      <c r="BA609" s="114"/>
      <c r="CQ609" s="113"/>
      <c r="CS609" s="116"/>
      <c r="CV609" s="9"/>
      <c r="CW609" s="9"/>
      <c r="CX609" s="9"/>
      <c r="CY609" s="9"/>
      <c r="CZ609" s="139"/>
      <c r="DA609" s="139"/>
      <c r="DB609" s="139"/>
      <c r="DC609" s="139"/>
      <c r="DD609" s="139"/>
      <c r="DE609" s="139"/>
      <c r="DF609" s="139"/>
      <c r="DG609" s="139"/>
      <c r="DH609" s="139"/>
      <c r="DI609" s="13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  <c r="FI609" s="9"/>
      <c r="FJ609" s="9"/>
      <c r="FK609" s="9"/>
      <c r="FL609" s="9"/>
      <c r="FM609" s="9"/>
      <c r="FN609" s="9"/>
      <c r="FO609" s="9"/>
      <c r="FP609" s="9"/>
      <c r="FQ609" s="9"/>
      <c r="FR609" s="9"/>
      <c r="FS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  <c r="HE609" s="9"/>
      <c r="HF609" s="9"/>
      <c r="HG609" s="9"/>
      <c r="HH609" s="9"/>
      <c r="HI609" s="9"/>
      <c r="HJ609" s="9"/>
      <c r="HK609" s="9"/>
      <c r="HL609" s="9"/>
    </row>
    <row r="610" spans="1:220" s="99" customFormat="1">
      <c r="A610" s="109"/>
      <c r="C610" s="4"/>
      <c r="D610" s="110"/>
      <c r="F610" s="219"/>
      <c r="H610" s="110"/>
      <c r="AJ610" s="111"/>
      <c r="AK610" s="111"/>
      <c r="AW610" s="4"/>
      <c r="AX610" s="4"/>
      <c r="AY610" s="112"/>
      <c r="BA610" s="114"/>
      <c r="CQ610" s="113"/>
      <c r="CS610" s="116"/>
      <c r="CV610" s="9"/>
      <c r="CW610" s="9"/>
      <c r="CX610" s="9"/>
      <c r="CY610" s="9"/>
      <c r="CZ610" s="139"/>
      <c r="DA610" s="139"/>
      <c r="DB610" s="139"/>
      <c r="DC610" s="139"/>
      <c r="DD610" s="139"/>
      <c r="DE610" s="139"/>
      <c r="DF610" s="139"/>
      <c r="DG610" s="139"/>
      <c r="DH610" s="139"/>
      <c r="DI610" s="13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/>
      <c r="FK610" s="9"/>
      <c r="FL610" s="9"/>
      <c r="FM610" s="9"/>
      <c r="FN610" s="9"/>
      <c r="FO610" s="9"/>
      <c r="FP610" s="9"/>
      <c r="FQ610" s="9"/>
      <c r="FR610" s="9"/>
      <c r="FS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  <c r="HJ610" s="9"/>
      <c r="HK610" s="9"/>
      <c r="HL610" s="9"/>
    </row>
    <row r="611" spans="1:220" s="99" customFormat="1">
      <c r="A611" s="109"/>
      <c r="C611" s="4"/>
      <c r="D611" s="110"/>
      <c r="F611" s="219"/>
      <c r="H611" s="110"/>
      <c r="AJ611" s="111"/>
      <c r="AK611" s="111"/>
      <c r="AW611" s="4"/>
      <c r="AX611" s="4"/>
      <c r="AY611" s="112"/>
      <c r="BA611" s="114"/>
      <c r="CQ611" s="113"/>
      <c r="CS611" s="116"/>
      <c r="CV611" s="9"/>
      <c r="CW611" s="9"/>
      <c r="CX611" s="9"/>
      <c r="CY611" s="9"/>
      <c r="CZ611" s="139"/>
      <c r="DA611" s="139"/>
      <c r="DB611" s="139"/>
      <c r="DC611" s="139"/>
      <c r="DD611" s="139"/>
      <c r="DE611" s="139"/>
      <c r="DF611" s="139"/>
      <c r="DG611" s="139"/>
      <c r="DH611" s="139"/>
      <c r="DI611" s="13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  <c r="FI611" s="9"/>
      <c r="FJ611" s="9"/>
      <c r="FK611" s="9"/>
      <c r="FL611" s="9"/>
      <c r="FM611" s="9"/>
      <c r="FN611" s="9"/>
      <c r="FO611" s="9"/>
      <c r="FP611" s="9"/>
      <c r="FQ611" s="9"/>
      <c r="FR611" s="9"/>
      <c r="FS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  <c r="HE611" s="9"/>
      <c r="HF611" s="9"/>
      <c r="HG611" s="9"/>
      <c r="HH611" s="9"/>
      <c r="HI611" s="9"/>
      <c r="HJ611" s="9"/>
      <c r="HK611" s="9"/>
      <c r="HL611" s="9"/>
    </row>
    <row r="612" spans="1:220" s="99" customFormat="1">
      <c r="A612" s="109"/>
      <c r="C612" s="4"/>
      <c r="D612" s="110"/>
      <c r="F612" s="219"/>
      <c r="H612" s="110"/>
      <c r="AJ612" s="111"/>
      <c r="AK612" s="111"/>
      <c r="AW612" s="4"/>
      <c r="AX612" s="4"/>
      <c r="AY612" s="112"/>
      <c r="BA612" s="114"/>
      <c r="CQ612" s="113"/>
      <c r="CS612" s="116"/>
      <c r="CV612" s="9"/>
      <c r="CW612" s="9"/>
      <c r="CX612" s="9"/>
      <c r="CY612" s="9"/>
      <c r="CZ612" s="139"/>
      <c r="DA612" s="139"/>
      <c r="DB612" s="139"/>
      <c r="DC612" s="139"/>
      <c r="DD612" s="139"/>
      <c r="DE612" s="139"/>
      <c r="DF612" s="139"/>
      <c r="DG612" s="139"/>
      <c r="DH612" s="139"/>
      <c r="DI612" s="13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  <c r="HJ612" s="9"/>
      <c r="HK612" s="9"/>
      <c r="HL612" s="9"/>
    </row>
    <row r="613" spans="1:220" s="99" customFormat="1">
      <c r="A613" s="109"/>
      <c r="C613" s="4"/>
      <c r="D613" s="110"/>
      <c r="F613" s="219"/>
      <c r="H613" s="110"/>
      <c r="AJ613" s="111"/>
      <c r="AK613" s="111"/>
      <c r="AW613" s="4"/>
      <c r="AX613" s="4"/>
      <c r="AY613" s="112"/>
      <c r="BA613" s="114"/>
      <c r="CQ613" s="113"/>
      <c r="CS613" s="116"/>
      <c r="CV613" s="9"/>
      <c r="CW613" s="9"/>
      <c r="CX613" s="9"/>
      <c r="CY613" s="9"/>
      <c r="CZ613" s="139"/>
      <c r="DA613" s="139"/>
      <c r="DB613" s="139"/>
      <c r="DC613" s="139"/>
      <c r="DD613" s="139"/>
      <c r="DE613" s="139"/>
      <c r="DF613" s="139"/>
      <c r="DG613" s="139"/>
      <c r="DH613" s="139"/>
      <c r="DI613" s="13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  <c r="FI613" s="9"/>
      <c r="FJ613" s="9"/>
      <c r="FK613" s="9"/>
      <c r="FL613" s="9"/>
      <c r="FM613" s="9"/>
      <c r="FN613" s="9"/>
      <c r="FO613" s="9"/>
      <c r="FP613" s="9"/>
      <c r="FQ613" s="9"/>
      <c r="FR613" s="9"/>
      <c r="FS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  <c r="HE613" s="9"/>
      <c r="HF613" s="9"/>
      <c r="HG613" s="9"/>
      <c r="HH613" s="9"/>
      <c r="HI613" s="9"/>
      <c r="HJ613" s="9"/>
      <c r="HK613" s="9"/>
      <c r="HL613" s="9"/>
    </row>
    <row r="614" spans="1:220" s="99" customFormat="1">
      <c r="A614" s="109"/>
      <c r="C614" s="4"/>
      <c r="D614" s="110"/>
      <c r="F614" s="219"/>
      <c r="H614" s="110"/>
      <c r="AJ614" s="111"/>
      <c r="AK614" s="111"/>
      <c r="AW614" s="4"/>
      <c r="AX614" s="4"/>
      <c r="AY614" s="112"/>
      <c r="BA614" s="114"/>
      <c r="CQ614" s="113"/>
      <c r="CS614" s="116"/>
      <c r="CV614" s="9"/>
      <c r="CW614" s="9"/>
      <c r="CX614" s="9"/>
      <c r="CY614" s="9"/>
      <c r="CZ614" s="139"/>
      <c r="DA614" s="139"/>
      <c r="DB614" s="139"/>
      <c r="DC614" s="139"/>
      <c r="DD614" s="139"/>
      <c r="DE614" s="139"/>
      <c r="DF614" s="139"/>
      <c r="DG614" s="139"/>
      <c r="DH614" s="139"/>
      <c r="DI614" s="13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9"/>
      <c r="FS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  <c r="HJ614" s="9"/>
      <c r="HK614" s="9"/>
      <c r="HL614" s="9"/>
    </row>
    <row r="615" spans="1:220" s="99" customFormat="1">
      <c r="A615" s="109"/>
      <c r="C615" s="4"/>
      <c r="D615" s="110"/>
      <c r="F615" s="219"/>
      <c r="H615" s="110"/>
      <c r="AJ615" s="111"/>
      <c r="AK615" s="111"/>
      <c r="AW615" s="4"/>
      <c r="AX615" s="4"/>
      <c r="AY615" s="112"/>
      <c r="BA615" s="114"/>
      <c r="CQ615" s="113"/>
      <c r="CS615" s="116"/>
      <c r="CV615" s="9"/>
      <c r="CW615" s="9"/>
      <c r="CX615" s="9"/>
      <c r="CY615" s="9"/>
      <c r="CZ615" s="139"/>
      <c r="DA615" s="139"/>
      <c r="DB615" s="139"/>
      <c r="DC615" s="139"/>
      <c r="DD615" s="139"/>
      <c r="DE615" s="139"/>
      <c r="DF615" s="139"/>
      <c r="DG615" s="139"/>
      <c r="DH615" s="139"/>
      <c r="DI615" s="13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  <c r="FI615" s="9"/>
      <c r="FJ615" s="9"/>
      <c r="FK615" s="9"/>
      <c r="FL615" s="9"/>
      <c r="FM615" s="9"/>
      <c r="FN615" s="9"/>
      <c r="FO615" s="9"/>
      <c r="FP615" s="9"/>
      <c r="FQ615" s="9"/>
      <c r="FR615" s="9"/>
      <c r="FS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  <c r="HE615" s="9"/>
      <c r="HF615" s="9"/>
      <c r="HG615" s="9"/>
      <c r="HH615" s="9"/>
      <c r="HI615" s="9"/>
      <c r="HJ615" s="9"/>
      <c r="HK615" s="9"/>
      <c r="HL615" s="9"/>
    </row>
    <row r="616" spans="1:220" s="99" customFormat="1">
      <c r="A616" s="109"/>
      <c r="C616" s="4"/>
      <c r="D616" s="110"/>
      <c r="F616" s="219"/>
      <c r="H616" s="110"/>
      <c r="AJ616" s="111"/>
      <c r="AK616" s="111"/>
      <c r="AW616" s="4"/>
      <c r="AX616" s="4"/>
      <c r="AY616" s="112"/>
      <c r="BA616" s="114"/>
      <c r="CQ616" s="113"/>
      <c r="CS616" s="116"/>
      <c r="CV616" s="9"/>
      <c r="CW616" s="9"/>
      <c r="CX616" s="9"/>
      <c r="CY616" s="9"/>
      <c r="CZ616" s="139"/>
      <c r="DA616" s="139"/>
      <c r="DB616" s="139"/>
      <c r="DC616" s="139"/>
      <c r="DD616" s="139"/>
      <c r="DE616" s="139"/>
      <c r="DF616" s="139"/>
      <c r="DG616" s="139"/>
      <c r="DH616" s="139"/>
      <c r="DI616" s="13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9"/>
      <c r="FS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  <c r="HJ616" s="9"/>
      <c r="HK616" s="9"/>
      <c r="HL616" s="9"/>
    </row>
    <row r="617" spans="1:220" s="99" customFormat="1">
      <c r="A617" s="109"/>
      <c r="C617" s="4"/>
      <c r="D617" s="110"/>
      <c r="F617" s="219"/>
      <c r="H617" s="110"/>
      <c r="AJ617" s="111"/>
      <c r="AK617" s="111"/>
      <c r="AW617" s="4"/>
      <c r="AX617" s="4"/>
      <c r="AY617" s="112"/>
      <c r="BA617" s="114"/>
      <c r="CQ617" s="113"/>
      <c r="CS617" s="116"/>
      <c r="CV617" s="9"/>
      <c r="CW617" s="9"/>
      <c r="CX617" s="9"/>
      <c r="CY617" s="9"/>
      <c r="CZ617" s="139"/>
      <c r="DA617" s="139"/>
      <c r="DB617" s="139"/>
      <c r="DC617" s="139"/>
      <c r="DD617" s="139"/>
      <c r="DE617" s="139"/>
      <c r="DF617" s="139"/>
      <c r="DG617" s="139"/>
      <c r="DH617" s="139"/>
      <c r="DI617" s="13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  <c r="FI617" s="9"/>
      <c r="FJ617" s="9"/>
      <c r="FK617" s="9"/>
      <c r="FL617" s="9"/>
      <c r="FM617" s="9"/>
      <c r="FN617" s="9"/>
      <c r="FO617" s="9"/>
      <c r="FP617" s="9"/>
      <c r="FQ617" s="9"/>
      <c r="FR617" s="9"/>
      <c r="FS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  <c r="HE617" s="9"/>
      <c r="HF617" s="9"/>
      <c r="HG617" s="9"/>
      <c r="HH617" s="9"/>
      <c r="HI617" s="9"/>
      <c r="HJ617" s="9"/>
      <c r="HK617" s="9"/>
      <c r="HL617" s="9"/>
    </row>
    <row r="618" spans="1:220" s="99" customFormat="1">
      <c r="A618" s="109"/>
      <c r="C618" s="4"/>
      <c r="D618" s="110"/>
      <c r="F618" s="219"/>
      <c r="H618" s="110"/>
      <c r="AJ618" s="111"/>
      <c r="AK618" s="111"/>
      <c r="AW618" s="4"/>
      <c r="AX618" s="4"/>
      <c r="AY618" s="112"/>
      <c r="BA618" s="114"/>
      <c r="CQ618" s="113"/>
      <c r="CS618" s="116"/>
      <c r="CV618" s="9"/>
      <c r="CW618" s="9"/>
      <c r="CX618" s="9"/>
      <c r="CY618" s="9"/>
      <c r="CZ618" s="139"/>
      <c r="DA618" s="139"/>
      <c r="DB618" s="139"/>
      <c r="DC618" s="139"/>
      <c r="DD618" s="139"/>
      <c r="DE618" s="139"/>
      <c r="DF618" s="139"/>
      <c r="DG618" s="139"/>
      <c r="DH618" s="139"/>
      <c r="DI618" s="13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9"/>
      <c r="FS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  <c r="HJ618" s="9"/>
      <c r="HK618" s="9"/>
      <c r="HL618" s="9"/>
    </row>
    <row r="619" spans="1:220" s="99" customFormat="1">
      <c r="A619" s="109"/>
      <c r="C619" s="4"/>
      <c r="D619" s="110"/>
      <c r="F619" s="219"/>
      <c r="H619" s="110"/>
      <c r="AJ619" s="111"/>
      <c r="AK619" s="111"/>
      <c r="AW619" s="4"/>
      <c r="AX619" s="4"/>
      <c r="AY619" s="112"/>
      <c r="BA619" s="114"/>
      <c r="CQ619" s="113"/>
      <c r="CS619" s="116"/>
      <c r="CV619" s="9"/>
      <c r="CW619" s="9"/>
      <c r="CX619" s="9"/>
      <c r="CY619" s="9"/>
      <c r="CZ619" s="139"/>
      <c r="DA619" s="139"/>
      <c r="DB619" s="139"/>
      <c r="DC619" s="139"/>
      <c r="DD619" s="139"/>
      <c r="DE619" s="139"/>
      <c r="DF619" s="139"/>
      <c r="DG619" s="139"/>
      <c r="DH619" s="139"/>
      <c r="DI619" s="13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  <c r="FI619" s="9"/>
      <c r="FJ619" s="9"/>
      <c r="FK619" s="9"/>
      <c r="FL619" s="9"/>
      <c r="FM619" s="9"/>
      <c r="FN619" s="9"/>
      <c r="FO619" s="9"/>
      <c r="FP619" s="9"/>
      <c r="FQ619" s="9"/>
      <c r="FR619" s="9"/>
      <c r="FS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  <c r="HE619" s="9"/>
      <c r="HF619" s="9"/>
      <c r="HG619" s="9"/>
      <c r="HH619" s="9"/>
      <c r="HI619" s="9"/>
      <c r="HJ619" s="9"/>
      <c r="HK619" s="9"/>
      <c r="HL619" s="9"/>
    </row>
    <row r="620" spans="1:220" s="99" customFormat="1">
      <c r="A620" s="109"/>
      <c r="C620" s="4"/>
      <c r="D620" s="110"/>
      <c r="F620" s="219"/>
      <c r="H620" s="110"/>
      <c r="AJ620" s="111"/>
      <c r="AK620" s="111"/>
      <c r="AW620" s="4"/>
      <c r="AX620" s="4"/>
      <c r="AY620" s="112"/>
      <c r="BA620" s="114"/>
      <c r="CQ620" s="113"/>
      <c r="CS620" s="116"/>
      <c r="CV620" s="9"/>
      <c r="CW620" s="9"/>
      <c r="CX620" s="9"/>
      <c r="CY620" s="9"/>
      <c r="CZ620" s="139"/>
      <c r="DA620" s="139"/>
      <c r="DB620" s="139"/>
      <c r="DC620" s="139"/>
      <c r="DD620" s="139"/>
      <c r="DE620" s="139"/>
      <c r="DF620" s="139"/>
      <c r="DG620" s="139"/>
      <c r="DH620" s="139"/>
      <c r="DI620" s="13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</row>
    <row r="621" spans="1:220" s="99" customFormat="1">
      <c r="A621" s="109"/>
      <c r="C621" s="4"/>
      <c r="D621" s="110"/>
      <c r="F621" s="219"/>
      <c r="H621" s="110"/>
      <c r="AJ621" s="111"/>
      <c r="AK621" s="111"/>
      <c r="AW621" s="4"/>
      <c r="AX621" s="4"/>
      <c r="AY621" s="112"/>
      <c r="BA621" s="114"/>
      <c r="CQ621" s="113"/>
      <c r="CS621" s="116"/>
      <c r="CV621" s="9"/>
      <c r="CW621" s="9"/>
      <c r="CX621" s="9"/>
      <c r="CY621" s="9"/>
      <c r="CZ621" s="139"/>
      <c r="DA621" s="139"/>
      <c r="DB621" s="139"/>
      <c r="DC621" s="139"/>
      <c r="DD621" s="139"/>
      <c r="DE621" s="139"/>
      <c r="DF621" s="139"/>
      <c r="DG621" s="139"/>
      <c r="DH621" s="139"/>
      <c r="DI621" s="13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  <c r="HJ621" s="9"/>
      <c r="HK621" s="9"/>
      <c r="HL621" s="9"/>
    </row>
    <row r="622" spans="1:220" s="99" customFormat="1">
      <c r="A622" s="109"/>
      <c r="C622" s="4"/>
      <c r="D622" s="110"/>
      <c r="F622" s="219"/>
      <c r="H622" s="110"/>
      <c r="AJ622" s="111"/>
      <c r="AK622" s="111"/>
      <c r="AW622" s="4"/>
      <c r="AX622" s="4"/>
      <c r="AY622" s="112"/>
      <c r="BA622" s="114"/>
      <c r="CQ622" s="113"/>
      <c r="CS622" s="116"/>
      <c r="CV622" s="9"/>
      <c r="CW622" s="9"/>
      <c r="CX622" s="9"/>
      <c r="CY622" s="9"/>
      <c r="CZ622" s="139"/>
      <c r="DA622" s="139"/>
      <c r="DB622" s="139"/>
      <c r="DC622" s="139"/>
      <c r="DD622" s="139"/>
      <c r="DE622" s="139"/>
      <c r="DF622" s="139"/>
      <c r="DG622" s="139"/>
      <c r="DH622" s="139"/>
      <c r="DI622" s="13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/>
      <c r="FK622" s="9"/>
      <c r="FL622" s="9"/>
      <c r="FM622" s="9"/>
      <c r="FN622" s="9"/>
      <c r="FO622" s="9"/>
      <c r="FP622" s="9"/>
      <c r="FQ622" s="9"/>
      <c r="FR622" s="9"/>
      <c r="FS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  <c r="HJ622" s="9"/>
      <c r="HK622" s="9"/>
      <c r="HL622" s="9"/>
    </row>
    <row r="623" spans="1:220" s="99" customFormat="1">
      <c r="A623" s="109"/>
      <c r="C623" s="4"/>
      <c r="D623" s="110"/>
      <c r="F623" s="219"/>
      <c r="H623" s="110"/>
      <c r="AJ623" s="111"/>
      <c r="AK623" s="111"/>
      <c r="AW623" s="4"/>
      <c r="AX623" s="4"/>
      <c r="AY623" s="112"/>
      <c r="BA623" s="114"/>
      <c r="CQ623" s="113"/>
      <c r="CS623" s="116"/>
      <c r="CV623" s="9"/>
      <c r="CW623" s="9"/>
      <c r="CX623" s="9"/>
      <c r="CY623" s="9"/>
      <c r="CZ623" s="139"/>
      <c r="DA623" s="139"/>
      <c r="DB623" s="139"/>
      <c r="DC623" s="139"/>
      <c r="DD623" s="139"/>
      <c r="DE623" s="139"/>
      <c r="DF623" s="139"/>
      <c r="DG623" s="139"/>
      <c r="DH623" s="139"/>
      <c r="DI623" s="13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  <c r="FI623" s="9"/>
      <c r="FJ623" s="9"/>
      <c r="FK623" s="9"/>
      <c r="FL623" s="9"/>
      <c r="FM623" s="9"/>
      <c r="FN623" s="9"/>
      <c r="FO623" s="9"/>
      <c r="FP623" s="9"/>
      <c r="FQ623" s="9"/>
      <c r="FR623" s="9"/>
      <c r="FS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  <c r="HE623" s="9"/>
      <c r="HF623" s="9"/>
      <c r="HG623" s="9"/>
      <c r="HH623" s="9"/>
      <c r="HI623" s="9"/>
      <c r="HJ623" s="9"/>
      <c r="HK623" s="9"/>
      <c r="HL623" s="9"/>
    </row>
    <row r="624" spans="1:220" s="99" customFormat="1">
      <c r="A624" s="109"/>
      <c r="C624" s="4"/>
      <c r="D624" s="110"/>
      <c r="F624" s="219"/>
      <c r="H624" s="110"/>
      <c r="AJ624" s="111"/>
      <c r="AK624" s="111"/>
      <c r="AW624" s="4"/>
      <c r="AX624" s="4"/>
      <c r="AY624" s="112"/>
      <c r="BA624" s="114"/>
      <c r="CQ624" s="113"/>
      <c r="CS624" s="116"/>
      <c r="CV624" s="9"/>
      <c r="CW624" s="9"/>
      <c r="CX624" s="9"/>
      <c r="CY624" s="9"/>
      <c r="CZ624" s="139"/>
      <c r="DA624" s="139"/>
      <c r="DB624" s="139"/>
      <c r="DC624" s="139"/>
      <c r="DD624" s="139"/>
      <c r="DE624" s="139"/>
      <c r="DF624" s="139"/>
      <c r="DG624" s="139"/>
      <c r="DH624" s="139"/>
      <c r="DI624" s="13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</row>
    <row r="625" spans="1:220" s="99" customFormat="1">
      <c r="A625" s="109"/>
      <c r="C625" s="4"/>
      <c r="D625" s="110"/>
      <c r="F625" s="219"/>
      <c r="H625" s="110"/>
      <c r="AJ625" s="111"/>
      <c r="AK625" s="111"/>
      <c r="AW625" s="4"/>
      <c r="AX625" s="4"/>
      <c r="AY625" s="112"/>
      <c r="BA625" s="114"/>
      <c r="CQ625" s="113"/>
      <c r="CS625" s="116"/>
      <c r="CV625" s="9"/>
      <c r="CW625" s="9"/>
      <c r="CX625" s="9"/>
      <c r="CY625" s="9"/>
      <c r="CZ625" s="139"/>
      <c r="DA625" s="139"/>
      <c r="DB625" s="139"/>
      <c r="DC625" s="139"/>
      <c r="DD625" s="139"/>
      <c r="DE625" s="139"/>
      <c r="DF625" s="139"/>
      <c r="DG625" s="139"/>
      <c r="DH625" s="139"/>
      <c r="DI625" s="13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  <c r="FI625" s="9"/>
      <c r="FJ625" s="9"/>
      <c r="FK625" s="9"/>
      <c r="FL625" s="9"/>
      <c r="FM625" s="9"/>
      <c r="FN625" s="9"/>
      <c r="FO625" s="9"/>
      <c r="FP625" s="9"/>
      <c r="FQ625" s="9"/>
      <c r="FR625" s="9"/>
      <c r="FS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  <c r="HE625" s="9"/>
      <c r="HF625" s="9"/>
      <c r="HG625" s="9"/>
      <c r="HH625" s="9"/>
      <c r="HI625" s="9"/>
      <c r="HJ625" s="9"/>
      <c r="HK625" s="9"/>
      <c r="HL625" s="9"/>
    </row>
    <row r="626" spans="1:220" s="99" customFormat="1">
      <c r="A626" s="109"/>
      <c r="C626" s="4"/>
      <c r="D626" s="110"/>
      <c r="F626" s="219"/>
      <c r="H626" s="110"/>
      <c r="AJ626" s="111"/>
      <c r="AK626" s="111"/>
      <c r="AW626" s="4"/>
      <c r="AX626" s="4"/>
      <c r="AY626" s="112"/>
      <c r="BA626" s="114"/>
      <c r="CQ626" s="113"/>
      <c r="CS626" s="116"/>
      <c r="CV626" s="9"/>
      <c r="CW626" s="9"/>
      <c r="CX626" s="9"/>
      <c r="CY626" s="9"/>
      <c r="CZ626" s="139"/>
      <c r="DA626" s="139"/>
      <c r="DB626" s="139"/>
      <c r="DC626" s="139"/>
      <c r="DD626" s="139"/>
      <c r="DE626" s="139"/>
      <c r="DF626" s="139"/>
      <c r="DG626" s="139"/>
      <c r="DH626" s="139"/>
      <c r="DI626" s="13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  <c r="FI626" s="9"/>
      <c r="FJ626" s="9"/>
      <c r="FK626" s="9"/>
      <c r="FL626" s="9"/>
      <c r="FM626" s="9"/>
      <c r="FN626" s="9"/>
      <c r="FO626" s="9"/>
      <c r="FP626" s="9"/>
      <c r="FQ626" s="9"/>
      <c r="FR626" s="9"/>
      <c r="FS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  <c r="HJ626" s="9"/>
      <c r="HK626" s="9"/>
      <c r="HL626" s="9"/>
    </row>
    <row r="627" spans="1:220" s="99" customFormat="1">
      <c r="A627" s="109"/>
      <c r="C627" s="4"/>
      <c r="D627" s="110"/>
      <c r="F627" s="219"/>
      <c r="H627" s="110"/>
      <c r="AJ627" s="111"/>
      <c r="AK627" s="111"/>
      <c r="AW627" s="4"/>
      <c r="AX627" s="4"/>
      <c r="AY627" s="112"/>
      <c r="BA627" s="114"/>
      <c r="CQ627" s="113"/>
      <c r="CS627" s="116"/>
      <c r="CV627" s="9"/>
      <c r="CW627" s="9"/>
      <c r="CX627" s="9"/>
      <c r="CY627" s="9"/>
      <c r="CZ627" s="139"/>
      <c r="DA627" s="139"/>
      <c r="DB627" s="139"/>
      <c r="DC627" s="139"/>
      <c r="DD627" s="139"/>
      <c r="DE627" s="139"/>
      <c r="DF627" s="139"/>
      <c r="DG627" s="139"/>
      <c r="DH627" s="139"/>
      <c r="DI627" s="13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  <c r="HJ627" s="9"/>
      <c r="HK627" s="9"/>
      <c r="HL627" s="9"/>
    </row>
    <row r="628" spans="1:220" s="99" customFormat="1">
      <c r="A628" s="109"/>
      <c r="C628" s="4"/>
      <c r="D628" s="110"/>
      <c r="F628" s="219"/>
      <c r="H628" s="110"/>
      <c r="AJ628" s="111"/>
      <c r="AK628" s="111"/>
      <c r="AW628" s="4"/>
      <c r="AX628" s="4"/>
      <c r="AY628" s="112"/>
      <c r="BA628" s="114"/>
      <c r="CQ628" s="113"/>
      <c r="CS628" s="116"/>
      <c r="CV628" s="9"/>
      <c r="CW628" s="9"/>
      <c r="CX628" s="9"/>
      <c r="CY628" s="9"/>
      <c r="CZ628" s="139"/>
      <c r="DA628" s="139"/>
      <c r="DB628" s="139"/>
      <c r="DC628" s="139"/>
      <c r="DD628" s="139"/>
      <c r="DE628" s="139"/>
      <c r="DF628" s="139"/>
      <c r="DG628" s="139"/>
      <c r="DH628" s="139"/>
      <c r="DI628" s="13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</row>
    <row r="629" spans="1:220" s="99" customFormat="1">
      <c r="A629" s="109"/>
      <c r="C629" s="4"/>
      <c r="D629" s="110"/>
      <c r="F629" s="219"/>
      <c r="H629" s="110"/>
      <c r="AJ629" s="111"/>
      <c r="AK629" s="111"/>
      <c r="AW629" s="4"/>
      <c r="AX629" s="4"/>
      <c r="AY629" s="112"/>
      <c r="BA629" s="114"/>
      <c r="CQ629" s="113"/>
      <c r="CS629" s="116"/>
      <c r="CV629" s="9"/>
      <c r="CW629" s="9"/>
      <c r="CX629" s="9"/>
      <c r="CY629" s="9"/>
      <c r="CZ629" s="139"/>
      <c r="DA629" s="139"/>
      <c r="DB629" s="139"/>
      <c r="DC629" s="139"/>
      <c r="DD629" s="139"/>
      <c r="DE629" s="139"/>
      <c r="DF629" s="139"/>
      <c r="DG629" s="139"/>
      <c r="DH629" s="139"/>
      <c r="DI629" s="13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  <c r="HJ629" s="9"/>
      <c r="HK629" s="9"/>
      <c r="HL629" s="9"/>
    </row>
    <row r="630" spans="1:220" s="99" customFormat="1">
      <c r="A630" s="109"/>
      <c r="C630" s="4"/>
      <c r="D630" s="110"/>
      <c r="F630" s="219"/>
      <c r="H630" s="110"/>
      <c r="AJ630" s="111"/>
      <c r="AK630" s="111"/>
      <c r="AW630" s="4"/>
      <c r="AX630" s="4"/>
      <c r="AY630" s="112"/>
      <c r="BA630" s="114"/>
      <c r="CQ630" s="113"/>
      <c r="CS630" s="116"/>
      <c r="CV630" s="9"/>
      <c r="CW630" s="9"/>
      <c r="CX630" s="9"/>
      <c r="CY630" s="9"/>
      <c r="CZ630" s="139"/>
      <c r="DA630" s="139"/>
      <c r="DB630" s="139"/>
      <c r="DC630" s="139"/>
      <c r="DD630" s="139"/>
      <c r="DE630" s="139"/>
      <c r="DF630" s="139"/>
      <c r="DG630" s="139"/>
      <c r="DH630" s="139"/>
      <c r="DI630" s="13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</row>
    <row r="631" spans="1:220" s="99" customFormat="1">
      <c r="A631" s="109"/>
      <c r="C631" s="4"/>
      <c r="D631" s="110"/>
      <c r="F631" s="219"/>
      <c r="H631" s="110"/>
      <c r="AJ631" s="111"/>
      <c r="AK631" s="111"/>
      <c r="AW631" s="4"/>
      <c r="AX631" s="4"/>
      <c r="AY631" s="112"/>
      <c r="BA631" s="114"/>
      <c r="CQ631" s="113"/>
      <c r="CS631" s="116"/>
      <c r="CV631" s="9"/>
      <c r="CW631" s="9"/>
      <c r="CX631" s="9"/>
      <c r="CY631" s="9"/>
      <c r="CZ631" s="139"/>
      <c r="DA631" s="139"/>
      <c r="DB631" s="139"/>
      <c r="DC631" s="139"/>
      <c r="DD631" s="139"/>
      <c r="DE631" s="139"/>
      <c r="DF631" s="139"/>
      <c r="DG631" s="139"/>
      <c r="DH631" s="139"/>
      <c r="DI631" s="13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  <c r="FI631" s="9"/>
      <c r="FJ631" s="9"/>
      <c r="FK631" s="9"/>
      <c r="FL631" s="9"/>
      <c r="FM631" s="9"/>
      <c r="FN631" s="9"/>
      <c r="FO631" s="9"/>
      <c r="FP631" s="9"/>
      <c r="FQ631" s="9"/>
      <c r="FR631" s="9"/>
      <c r="FS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  <c r="HE631" s="9"/>
      <c r="HF631" s="9"/>
      <c r="HG631" s="9"/>
      <c r="HH631" s="9"/>
      <c r="HI631" s="9"/>
      <c r="HJ631" s="9"/>
      <c r="HK631" s="9"/>
      <c r="HL631" s="9"/>
    </row>
    <row r="632" spans="1:220" s="99" customFormat="1">
      <c r="A632" s="109"/>
      <c r="C632" s="4"/>
      <c r="D632" s="110"/>
      <c r="F632" s="219"/>
      <c r="H632" s="110"/>
      <c r="AJ632" s="111"/>
      <c r="AK632" s="111"/>
      <c r="AW632" s="4"/>
      <c r="AX632" s="4"/>
      <c r="AY632" s="112"/>
      <c r="BA632" s="114"/>
      <c r="CQ632" s="113"/>
      <c r="CS632" s="116"/>
      <c r="CV632" s="9"/>
      <c r="CW632" s="9"/>
      <c r="CX632" s="9"/>
      <c r="CY632" s="9"/>
      <c r="CZ632" s="139"/>
      <c r="DA632" s="139"/>
      <c r="DB632" s="139"/>
      <c r="DC632" s="139"/>
      <c r="DD632" s="139"/>
      <c r="DE632" s="139"/>
      <c r="DF632" s="139"/>
      <c r="DG632" s="139"/>
      <c r="DH632" s="139"/>
      <c r="DI632" s="13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9"/>
      <c r="FS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  <c r="HJ632" s="9"/>
      <c r="HK632" s="9"/>
      <c r="HL632" s="9"/>
    </row>
    <row r="633" spans="1:220" s="99" customFormat="1">
      <c r="A633" s="109"/>
      <c r="C633" s="4"/>
      <c r="D633" s="110"/>
      <c r="F633" s="219"/>
      <c r="H633" s="110"/>
      <c r="AJ633" s="111"/>
      <c r="AK633" s="111"/>
      <c r="AW633" s="4"/>
      <c r="AX633" s="4"/>
      <c r="AY633" s="112"/>
      <c r="BA633" s="114"/>
      <c r="CQ633" s="113"/>
      <c r="CS633" s="116"/>
      <c r="CV633" s="9"/>
      <c r="CW633" s="9"/>
      <c r="CX633" s="9"/>
      <c r="CY633" s="9"/>
      <c r="CZ633" s="139"/>
      <c r="DA633" s="139"/>
      <c r="DB633" s="139"/>
      <c r="DC633" s="139"/>
      <c r="DD633" s="139"/>
      <c r="DE633" s="139"/>
      <c r="DF633" s="139"/>
      <c r="DG633" s="139"/>
      <c r="DH633" s="139"/>
      <c r="DI633" s="13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  <c r="FI633" s="9"/>
      <c r="FJ633" s="9"/>
      <c r="FK633" s="9"/>
      <c r="FL633" s="9"/>
      <c r="FM633" s="9"/>
      <c r="FN633" s="9"/>
      <c r="FO633" s="9"/>
      <c r="FP633" s="9"/>
      <c r="FQ633" s="9"/>
      <c r="FR633" s="9"/>
      <c r="FS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  <c r="HE633" s="9"/>
      <c r="HF633" s="9"/>
      <c r="HG633" s="9"/>
      <c r="HH633" s="9"/>
      <c r="HI633" s="9"/>
      <c r="HJ633" s="9"/>
      <c r="HK633" s="9"/>
      <c r="HL633" s="9"/>
    </row>
    <row r="634" spans="1:220" s="99" customFormat="1">
      <c r="A634" s="109"/>
      <c r="C634" s="4"/>
      <c r="D634" s="110"/>
      <c r="F634" s="219"/>
      <c r="H634" s="110"/>
      <c r="AJ634" s="111"/>
      <c r="AK634" s="111"/>
      <c r="AW634" s="4"/>
      <c r="AX634" s="4"/>
      <c r="AY634" s="112"/>
      <c r="BA634" s="114"/>
      <c r="CQ634" s="113"/>
      <c r="CS634" s="116"/>
      <c r="CV634" s="9"/>
      <c r="CW634" s="9"/>
      <c r="CX634" s="9"/>
      <c r="CY634" s="9"/>
      <c r="CZ634" s="139"/>
      <c r="DA634" s="139"/>
      <c r="DB634" s="139"/>
      <c r="DC634" s="139"/>
      <c r="DD634" s="139"/>
      <c r="DE634" s="139"/>
      <c r="DF634" s="139"/>
      <c r="DG634" s="139"/>
      <c r="DH634" s="139"/>
      <c r="DI634" s="13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  <c r="HJ634" s="9"/>
      <c r="HK634" s="9"/>
      <c r="HL634" s="9"/>
    </row>
    <row r="635" spans="1:220" s="99" customFormat="1">
      <c r="A635" s="109"/>
      <c r="C635" s="4"/>
      <c r="D635" s="110"/>
      <c r="F635" s="219"/>
      <c r="H635" s="110"/>
      <c r="AJ635" s="111"/>
      <c r="AK635" s="111"/>
      <c r="AW635" s="4"/>
      <c r="AX635" s="4"/>
      <c r="AY635" s="112"/>
      <c r="BA635" s="114"/>
      <c r="CQ635" s="113"/>
      <c r="CS635" s="116"/>
      <c r="CV635" s="9"/>
      <c r="CW635" s="9"/>
      <c r="CX635" s="9"/>
      <c r="CY635" s="9"/>
      <c r="CZ635" s="139"/>
      <c r="DA635" s="139"/>
      <c r="DB635" s="139"/>
      <c r="DC635" s="139"/>
      <c r="DD635" s="139"/>
      <c r="DE635" s="139"/>
      <c r="DF635" s="139"/>
      <c r="DG635" s="139"/>
      <c r="DH635" s="139"/>
      <c r="DI635" s="13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  <c r="FI635" s="9"/>
      <c r="FJ635" s="9"/>
      <c r="FK635" s="9"/>
      <c r="FL635" s="9"/>
      <c r="FM635" s="9"/>
      <c r="FN635" s="9"/>
      <c r="FO635" s="9"/>
      <c r="FP635" s="9"/>
      <c r="FQ635" s="9"/>
      <c r="FR635" s="9"/>
      <c r="FS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  <c r="HE635" s="9"/>
      <c r="HF635" s="9"/>
      <c r="HG635" s="9"/>
      <c r="HH635" s="9"/>
      <c r="HI635" s="9"/>
      <c r="HJ635" s="9"/>
      <c r="HK635" s="9"/>
      <c r="HL635" s="9"/>
    </row>
    <row r="636" spans="1:220" s="99" customFormat="1">
      <c r="A636" s="109"/>
      <c r="C636" s="4"/>
      <c r="D636" s="110"/>
      <c r="F636" s="219"/>
      <c r="H636" s="110"/>
      <c r="AJ636" s="111"/>
      <c r="AK636" s="111"/>
      <c r="AW636" s="4"/>
      <c r="AX636" s="4"/>
      <c r="AY636" s="112"/>
      <c r="BA636" s="114"/>
      <c r="CQ636" s="113"/>
      <c r="CS636" s="116"/>
      <c r="CV636" s="9"/>
      <c r="CW636" s="9"/>
      <c r="CX636" s="9"/>
      <c r="CY636" s="9"/>
      <c r="CZ636" s="139"/>
      <c r="DA636" s="139"/>
      <c r="DB636" s="139"/>
      <c r="DC636" s="139"/>
      <c r="DD636" s="139"/>
      <c r="DE636" s="139"/>
      <c r="DF636" s="139"/>
      <c r="DG636" s="139"/>
      <c r="DH636" s="139"/>
      <c r="DI636" s="13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9"/>
      <c r="FS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9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  <c r="HE636" s="9"/>
      <c r="HF636" s="9"/>
      <c r="HG636" s="9"/>
      <c r="HH636" s="9"/>
      <c r="HI636" s="9"/>
      <c r="HJ636" s="9"/>
      <c r="HK636" s="9"/>
      <c r="HL636" s="9"/>
    </row>
    <row r="637" spans="1:220" s="99" customFormat="1">
      <c r="A637" s="109"/>
      <c r="C637" s="4"/>
      <c r="D637" s="110"/>
      <c r="F637" s="219"/>
      <c r="H637" s="110"/>
      <c r="AJ637" s="111"/>
      <c r="AK637" s="111"/>
      <c r="AW637" s="4"/>
      <c r="AX637" s="4"/>
      <c r="AY637" s="112"/>
      <c r="BA637" s="114"/>
      <c r="CQ637" s="113"/>
      <c r="CS637" s="116"/>
      <c r="CV637" s="9"/>
      <c r="CW637" s="9"/>
      <c r="CX637" s="9"/>
      <c r="CY637" s="9"/>
      <c r="CZ637" s="139"/>
      <c r="DA637" s="139"/>
      <c r="DB637" s="139"/>
      <c r="DC637" s="139"/>
      <c r="DD637" s="139"/>
      <c r="DE637" s="139"/>
      <c r="DF637" s="139"/>
      <c r="DG637" s="139"/>
      <c r="DH637" s="139"/>
      <c r="DI637" s="13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  <c r="FI637" s="9"/>
      <c r="FJ637" s="9"/>
      <c r="FK637" s="9"/>
      <c r="FL637" s="9"/>
      <c r="FM637" s="9"/>
      <c r="FN637" s="9"/>
      <c r="FO637" s="9"/>
      <c r="FP637" s="9"/>
      <c r="FQ637" s="9"/>
      <c r="FR637" s="9"/>
      <c r="FS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9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  <c r="HE637" s="9"/>
      <c r="HF637" s="9"/>
      <c r="HG637" s="9"/>
      <c r="HH637" s="9"/>
      <c r="HI637" s="9"/>
      <c r="HJ637" s="9"/>
      <c r="HK637" s="9"/>
      <c r="HL637" s="9"/>
    </row>
    <row r="638" spans="1:220" s="99" customFormat="1">
      <c r="A638" s="109"/>
      <c r="C638" s="4"/>
      <c r="D638" s="110"/>
      <c r="F638" s="219"/>
      <c r="H638" s="110"/>
      <c r="AJ638" s="111"/>
      <c r="AK638" s="111"/>
      <c r="AW638" s="4"/>
      <c r="AX638" s="4"/>
      <c r="AY638" s="112"/>
      <c r="BA638" s="114"/>
      <c r="CQ638" s="113"/>
      <c r="CS638" s="116"/>
      <c r="CV638" s="9"/>
      <c r="CW638" s="9"/>
      <c r="CX638" s="9"/>
      <c r="CY638" s="9"/>
      <c r="CZ638" s="139"/>
      <c r="DA638" s="139"/>
      <c r="DB638" s="139"/>
      <c r="DC638" s="139"/>
      <c r="DD638" s="139"/>
      <c r="DE638" s="139"/>
      <c r="DF638" s="139"/>
      <c r="DG638" s="139"/>
      <c r="DH638" s="139"/>
      <c r="DI638" s="13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</row>
    <row r="639" spans="1:220" s="99" customFormat="1">
      <c r="A639" s="109"/>
      <c r="C639" s="4"/>
      <c r="D639" s="110"/>
      <c r="F639" s="219"/>
      <c r="H639" s="110"/>
      <c r="AJ639" s="111"/>
      <c r="AK639" s="111"/>
      <c r="AW639" s="4"/>
      <c r="AX639" s="4"/>
      <c r="AY639" s="112"/>
      <c r="BA639" s="114"/>
      <c r="CQ639" s="113"/>
      <c r="CS639" s="116"/>
      <c r="CV639" s="9"/>
      <c r="CW639" s="9"/>
      <c r="CX639" s="9"/>
      <c r="CY639" s="9"/>
      <c r="CZ639" s="139"/>
      <c r="DA639" s="139"/>
      <c r="DB639" s="139"/>
      <c r="DC639" s="139"/>
      <c r="DD639" s="139"/>
      <c r="DE639" s="139"/>
      <c r="DF639" s="139"/>
      <c r="DG639" s="139"/>
      <c r="DH639" s="139"/>
      <c r="DI639" s="13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  <c r="HJ639" s="9"/>
      <c r="HK639" s="9"/>
      <c r="HL639" s="9"/>
    </row>
    <row r="640" spans="1:220" s="99" customFormat="1">
      <c r="A640" s="109"/>
      <c r="C640" s="4"/>
      <c r="D640" s="110"/>
      <c r="F640" s="219"/>
      <c r="H640" s="110"/>
      <c r="AJ640" s="111"/>
      <c r="AK640" s="111"/>
      <c r="AW640" s="4"/>
      <c r="AX640" s="4"/>
      <c r="AY640" s="112"/>
      <c r="BA640" s="114"/>
      <c r="CQ640" s="113"/>
      <c r="CS640" s="116"/>
      <c r="CV640" s="9"/>
      <c r="CW640" s="9"/>
      <c r="CX640" s="9"/>
      <c r="CY640" s="9"/>
      <c r="CZ640" s="139"/>
      <c r="DA640" s="139"/>
      <c r="DB640" s="139"/>
      <c r="DC640" s="139"/>
      <c r="DD640" s="139"/>
      <c r="DE640" s="139"/>
      <c r="DF640" s="139"/>
      <c r="DG640" s="139"/>
      <c r="DH640" s="139"/>
      <c r="DI640" s="13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  <c r="HJ640" s="9"/>
      <c r="HK640" s="9"/>
      <c r="HL640" s="9"/>
    </row>
    <row r="641" spans="1:220" s="99" customFormat="1">
      <c r="A641" s="109"/>
      <c r="C641" s="4"/>
      <c r="D641" s="110"/>
      <c r="F641" s="219"/>
      <c r="H641" s="110"/>
      <c r="AJ641" s="111"/>
      <c r="AK641" s="111"/>
      <c r="AW641" s="4"/>
      <c r="AX641" s="4"/>
      <c r="AY641" s="112"/>
      <c r="BA641" s="114"/>
      <c r="CQ641" s="113"/>
      <c r="CS641" s="116"/>
      <c r="CV641" s="9"/>
      <c r="CW641" s="9"/>
      <c r="CX641" s="9"/>
      <c r="CY641" s="9"/>
      <c r="CZ641" s="139"/>
      <c r="DA641" s="139"/>
      <c r="DB641" s="139"/>
      <c r="DC641" s="139"/>
      <c r="DD641" s="139"/>
      <c r="DE641" s="139"/>
      <c r="DF641" s="139"/>
      <c r="DG641" s="139"/>
      <c r="DH641" s="139"/>
      <c r="DI641" s="13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  <c r="HE641" s="9"/>
      <c r="HF641" s="9"/>
      <c r="HG641" s="9"/>
      <c r="HH641" s="9"/>
      <c r="HI641" s="9"/>
      <c r="HJ641" s="9"/>
      <c r="HK641" s="9"/>
      <c r="HL641" s="9"/>
    </row>
    <row r="642" spans="1:220" s="99" customFormat="1">
      <c r="A642" s="109"/>
      <c r="C642" s="4"/>
      <c r="D642" s="110"/>
      <c r="F642" s="219"/>
      <c r="H642" s="110"/>
      <c r="AJ642" s="111"/>
      <c r="AK642" s="111"/>
      <c r="AW642" s="4"/>
      <c r="AX642" s="4"/>
      <c r="AY642" s="112"/>
      <c r="BA642" s="114"/>
      <c r="CQ642" s="113"/>
      <c r="CS642" s="116"/>
      <c r="CV642" s="9"/>
      <c r="CW642" s="9"/>
      <c r="CX642" s="9"/>
      <c r="CY642" s="9"/>
      <c r="CZ642" s="139"/>
      <c r="DA642" s="139"/>
      <c r="DB642" s="139"/>
      <c r="DC642" s="139"/>
      <c r="DD642" s="139"/>
      <c r="DE642" s="139"/>
      <c r="DF642" s="139"/>
      <c r="DG642" s="139"/>
      <c r="DH642" s="139"/>
      <c r="DI642" s="13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  <c r="HJ642" s="9"/>
      <c r="HK642" s="9"/>
      <c r="HL642" s="9"/>
    </row>
    <row r="643" spans="1:220" s="99" customFormat="1">
      <c r="A643" s="109"/>
      <c r="C643" s="4"/>
      <c r="D643" s="110"/>
      <c r="F643" s="219"/>
      <c r="H643" s="110"/>
      <c r="AJ643" s="111"/>
      <c r="AK643" s="111"/>
      <c r="AW643" s="4"/>
      <c r="AX643" s="4"/>
      <c r="AY643" s="112"/>
      <c r="BA643" s="114"/>
      <c r="CQ643" s="113"/>
      <c r="CS643" s="116"/>
      <c r="CV643" s="9"/>
      <c r="CW643" s="9"/>
      <c r="CX643" s="9"/>
      <c r="CY643" s="9"/>
      <c r="CZ643" s="139"/>
      <c r="DA643" s="139"/>
      <c r="DB643" s="139"/>
      <c r="DC643" s="139"/>
      <c r="DD643" s="139"/>
      <c r="DE643" s="139"/>
      <c r="DF643" s="139"/>
      <c r="DG643" s="139"/>
      <c r="DH643" s="139"/>
      <c r="DI643" s="13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  <c r="HE643" s="9"/>
      <c r="HF643" s="9"/>
      <c r="HG643" s="9"/>
      <c r="HH643" s="9"/>
      <c r="HI643" s="9"/>
      <c r="HJ643" s="9"/>
      <c r="HK643" s="9"/>
      <c r="HL643" s="9"/>
    </row>
    <row r="644" spans="1:220" s="99" customFormat="1">
      <c r="A644" s="109"/>
      <c r="C644" s="4"/>
      <c r="D644" s="110"/>
      <c r="F644" s="219"/>
      <c r="H644" s="110"/>
      <c r="AJ644" s="111"/>
      <c r="AK644" s="111"/>
      <c r="AW644" s="4"/>
      <c r="AX644" s="4"/>
      <c r="AY644" s="112"/>
      <c r="BA644" s="114"/>
      <c r="CQ644" s="113"/>
      <c r="CS644" s="116"/>
      <c r="CV644" s="9"/>
      <c r="CW644" s="9"/>
      <c r="CX644" s="9"/>
      <c r="CY644" s="9"/>
      <c r="CZ644" s="139"/>
      <c r="DA644" s="139"/>
      <c r="DB644" s="139"/>
      <c r="DC644" s="139"/>
      <c r="DD644" s="139"/>
      <c r="DE644" s="139"/>
      <c r="DF644" s="139"/>
      <c r="DG644" s="139"/>
      <c r="DH644" s="139"/>
      <c r="DI644" s="13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9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  <c r="HE644" s="9"/>
      <c r="HF644" s="9"/>
      <c r="HG644" s="9"/>
      <c r="HH644" s="9"/>
      <c r="HI644" s="9"/>
      <c r="HJ644" s="9"/>
      <c r="HK644" s="9"/>
      <c r="HL644" s="9"/>
    </row>
    <row r="645" spans="1:220" s="99" customFormat="1">
      <c r="A645" s="109"/>
      <c r="C645" s="4"/>
      <c r="D645" s="110"/>
      <c r="F645" s="219"/>
      <c r="H645" s="110"/>
      <c r="AJ645" s="111"/>
      <c r="AK645" s="111"/>
      <c r="AW645" s="4"/>
      <c r="AX645" s="4"/>
      <c r="AY645" s="112"/>
      <c r="BA645" s="114"/>
      <c r="CQ645" s="113"/>
      <c r="CS645" s="116"/>
      <c r="CV645" s="9"/>
      <c r="CW645" s="9"/>
      <c r="CX645" s="9"/>
      <c r="CY645" s="9"/>
      <c r="CZ645" s="139"/>
      <c r="DA645" s="139"/>
      <c r="DB645" s="139"/>
      <c r="DC645" s="139"/>
      <c r="DD645" s="139"/>
      <c r="DE645" s="139"/>
      <c r="DF645" s="139"/>
      <c r="DG645" s="139"/>
      <c r="DH645" s="139"/>
      <c r="DI645" s="13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  <c r="HJ645" s="9"/>
      <c r="HK645" s="9"/>
      <c r="HL645" s="9"/>
    </row>
    <row r="646" spans="1:220" s="99" customFormat="1">
      <c r="A646" s="109"/>
      <c r="C646" s="4"/>
      <c r="D646" s="110"/>
      <c r="F646" s="219"/>
      <c r="H646" s="110"/>
      <c r="AJ646" s="111"/>
      <c r="AK646" s="111"/>
      <c r="AW646" s="4"/>
      <c r="AX646" s="4"/>
      <c r="AY646" s="112"/>
      <c r="BA646" s="114"/>
      <c r="CQ646" s="113"/>
      <c r="CS646" s="116"/>
      <c r="CV646" s="9"/>
      <c r="CW646" s="9"/>
      <c r="CX646" s="9"/>
      <c r="CY646" s="9"/>
      <c r="CZ646" s="139"/>
      <c r="DA646" s="139"/>
      <c r="DB646" s="139"/>
      <c r="DC646" s="139"/>
      <c r="DD646" s="139"/>
      <c r="DE646" s="139"/>
      <c r="DF646" s="139"/>
      <c r="DG646" s="139"/>
      <c r="DH646" s="139"/>
      <c r="DI646" s="13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</row>
    <row r="647" spans="1:220" s="99" customFormat="1">
      <c r="A647" s="109"/>
      <c r="C647" s="4"/>
      <c r="D647" s="110"/>
      <c r="F647" s="219"/>
      <c r="H647" s="110"/>
      <c r="AJ647" s="111"/>
      <c r="AK647" s="111"/>
      <c r="AW647" s="4"/>
      <c r="AX647" s="4"/>
      <c r="AY647" s="112"/>
      <c r="BA647" s="114"/>
      <c r="CQ647" s="113"/>
      <c r="CS647" s="116"/>
      <c r="CV647" s="9"/>
      <c r="CW647" s="9"/>
      <c r="CX647" s="9"/>
      <c r="CY647" s="9"/>
      <c r="CZ647" s="139"/>
      <c r="DA647" s="139"/>
      <c r="DB647" s="139"/>
      <c r="DC647" s="139"/>
      <c r="DD647" s="139"/>
      <c r="DE647" s="139"/>
      <c r="DF647" s="139"/>
      <c r="DG647" s="139"/>
      <c r="DH647" s="139"/>
      <c r="DI647" s="13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  <c r="HJ647" s="9"/>
      <c r="HK647" s="9"/>
      <c r="HL647" s="9"/>
    </row>
    <row r="648" spans="1:220" s="99" customFormat="1">
      <c r="A648" s="109"/>
      <c r="C648" s="4"/>
      <c r="D648" s="110"/>
      <c r="F648" s="219"/>
      <c r="H648" s="110"/>
      <c r="AJ648" s="111"/>
      <c r="AK648" s="111"/>
      <c r="AW648" s="4"/>
      <c r="AX648" s="4"/>
      <c r="AY648" s="112"/>
      <c r="BA648" s="114"/>
      <c r="CQ648" s="113"/>
      <c r="CS648" s="116"/>
      <c r="CV648" s="9"/>
      <c r="CW648" s="9"/>
      <c r="CX648" s="9"/>
      <c r="CY648" s="9"/>
      <c r="CZ648" s="139"/>
      <c r="DA648" s="139"/>
      <c r="DB648" s="139"/>
      <c r="DC648" s="139"/>
      <c r="DD648" s="139"/>
      <c r="DE648" s="139"/>
      <c r="DF648" s="139"/>
      <c r="DG648" s="139"/>
      <c r="DH648" s="139"/>
      <c r="DI648" s="13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  <c r="HJ648" s="9"/>
      <c r="HK648" s="9"/>
      <c r="HL648" s="9"/>
    </row>
    <row r="649" spans="1:220" s="99" customFormat="1">
      <c r="A649" s="109"/>
      <c r="C649" s="4"/>
      <c r="D649" s="110"/>
      <c r="F649" s="219"/>
      <c r="H649" s="110"/>
      <c r="AJ649" s="111"/>
      <c r="AK649" s="111"/>
      <c r="AW649" s="4"/>
      <c r="AX649" s="4"/>
      <c r="AY649" s="112"/>
      <c r="BA649" s="114"/>
      <c r="CQ649" s="113"/>
      <c r="CS649" s="116"/>
      <c r="CV649" s="9"/>
      <c r="CW649" s="9"/>
      <c r="CX649" s="9"/>
      <c r="CY649" s="9"/>
      <c r="CZ649" s="139"/>
      <c r="DA649" s="139"/>
      <c r="DB649" s="139"/>
      <c r="DC649" s="139"/>
      <c r="DD649" s="139"/>
      <c r="DE649" s="139"/>
      <c r="DF649" s="139"/>
      <c r="DG649" s="139"/>
      <c r="DH649" s="139"/>
      <c r="DI649" s="13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  <c r="HE649" s="9"/>
      <c r="HF649" s="9"/>
      <c r="HG649" s="9"/>
      <c r="HH649" s="9"/>
      <c r="HI649" s="9"/>
      <c r="HJ649" s="9"/>
      <c r="HK649" s="9"/>
      <c r="HL649" s="9"/>
    </row>
    <row r="650" spans="1:220" s="99" customFormat="1">
      <c r="A650" s="109"/>
      <c r="C650" s="4"/>
      <c r="D650" s="110"/>
      <c r="F650" s="219"/>
      <c r="H650" s="110"/>
      <c r="AJ650" s="111"/>
      <c r="AK650" s="111"/>
      <c r="AW650" s="4"/>
      <c r="AX650" s="4"/>
      <c r="AY650" s="112"/>
      <c r="BA650" s="114"/>
      <c r="CQ650" s="113"/>
      <c r="CS650" s="116"/>
      <c r="CV650" s="9"/>
      <c r="CW650" s="9"/>
      <c r="CX650" s="9"/>
      <c r="CY650" s="9"/>
      <c r="CZ650" s="139"/>
      <c r="DA650" s="139"/>
      <c r="DB650" s="139"/>
      <c r="DC650" s="139"/>
      <c r="DD650" s="139"/>
      <c r="DE650" s="139"/>
      <c r="DF650" s="139"/>
      <c r="DG650" s="139"/>
      <c r="DH650" s="139"/>
      <c r="DI650" s="13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</row>
    <row r="651" spans="1:220" s="99" customFormat="1">
      <c r="A651" s="109"/>
      <c r="C651" s="4"/>
      <c r="D651" s="110"/>
      <c r="F651" s="219"/>
      <c r="H651" s="110"/>
      <c r="AJ651" s="111"/>
      <c r="AK651" s="111"/>
      <c r="AW651" s="4"/>
      <c r="AX651" s="4"/>
      <c r="AY651" s="112"/>
      <c r="BA651" s="114"/>
      <c r="CQ651" s="113"/>
      <c r="CS651" s="116"/>
      <c r="CV651" s="9"/>
      <c r="CW651" s="9"/>
      <c r="CX651" s="9"/>
      <c r="CY651" s="9"/>
      <c r="CZ651" s="139"/>
      <c r="DA651" s="139"/>
      <c r="DB651" s="139"/>
      <c r="DC651" s="139"/>
      <c r="DD651" s="139"/>
      <c r="DE651" s="139"/>
      <c r="DF651" s="139"/>
      <c r="DG651" s="139"/>
      <c r="DH651" s="139"/>
      <c r="DI651" s="13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  <c r="HE651" s="9"/>
      <c r="HF651" s="9"/>
      <c r="HG651" s="9"/>
      <c r="HH651" s="9"/>
      <c r="HI651" s="9"/>
      <c r="HJ651" s="9"/>
      <c r="HK651" s="9"/>
      <c r="HL651" s="9"/>
    </row>
    <row r="652" spans="1:220" s="99" customFormat="1">
      <c r="A652" s="109"/>
      <c r="C652" s="4"/>
      <c r="D652" s="110"/>
      <c r="F652" s="219"/>
      <c r="H652" s="110"/>
      <c r="AJ652" s="111"/>
      <c r="AK652" s="111"/>
      <c r="AW652" s="4"/>
      <c r="AX652" s="4"/>
      <c r="AY652" s="112"/>
      <c r="BA652" s="114"/>
      <c r="CQ652" s="113"/>
      <c r="CS652" s="116"/>
      <c r="CV652" s="9"/>
      <c r="CW652" s="9"/>
      <c r="CX652" s="9"/>
      <c r="CY652" s="9"/>
      <c r="CZ652" s="139"/>
      <c r="DA652" s="139"/>
      <c r="DB652" s="139"/>
      <c r="DC652" s="139"/>
      <c r="DD652" s="139"/>
      <c r="DE652" s="139"/>
      <c r="DF652" s="139"/>
      <c r="DG652" s="139"/>
      <c r="DH652" s="139"/>
      <c r="DI652" s="13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  <c r="HJ652" s="9"/>
      <c r="HK652" s="9"/>
      <c r="HL652" s="9"/>
    </row>
    <row r="653" spans="1:220" s="99" customFormat="1">
      <c r="A653" s="109"/>
      <c r="C653" s="4"/>
      <c r="D653" s="110"/>
      <c r="F653" s="219"/>
      <c r="H653" s="110"/>
      <c r="AJ653" s="111"/>
      <c r="AK653" s="111"/>
      <c r="AY653" s="114"/>
      <c r="BA653" s="114"/>
      <c r="CQ653" s="113"/>
      <c r="CS653" s="116"/>
      <c r="CV653" s="9"/>
      <c r="CW653" s="9"/>
      <c r="CX653" s="9"/>
      <c r="CY653" s="9"/>
      <c r="CZ653" s="139"/>
      <c r="DA653" s="139"/>
      <c r="DB653" s="139"/>
      <c r="DC653" s="139"/>
      <c r="DD653" s="139"/>
      <c r="DE653" s="139"/>
      <c r="DF653" s="139"/>
      <c r="DG653" s="139"/>
      <c r="DH653" s="139"/>
      <c r="DI653" s="13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  <c r="HE653" s="9"/>
      <c r="HF653" s="9"/>
      <c r="HG653" s="9"/>
      <c r="HH653" s="9"/>
      <c r="HI653" s="9"/>
      <c r="HJ653" s="9"/>
      <c r="HK653" s="9"/>
      <c r="HL653" s="9"/>
    </row>
    <row r="654" spans="1:220" s="99" customFormat="1">
      <c r="A654" s="109"/>
      <c r="C654" s="4"/>
      <c r="D654" s="110"/>
      <c r="F654" s="219"/>
      <c r="H654" s="110"/>
      <c r="AJ654" s="111"/>
      <c r="AK654" s="111"/>
      <c r="AY654" s="114"/>
      <c r="BA654" s="114"/>
      <c r="CQ654" s="113"/>
      <c r="CS654" s="116"/>
      <c r="CV654" s="9"/>
      <c r="CW654" s="9"/>
      <c r="CX654" s="9"/>
      <c r="CY654" s="9"/>
      <c r="CZ654" s="139"/>
      <c r="DA654" s="139"/>
      <c r="DB654" s="139"/>
      <c r="DC654" s="139"/>
      <c r="DD654" s="139"/>
      <c r="DE654" s="139"/>
      <c r="DF654" s="139"/>
      <c r="DG654" s="139"/>
      <c r="DH654" s="139"/>
      <c r="DI654" s="13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</row>
    <row r="655" spans="1:220" s="99" customFormat="1">
      <c r="A655" s="109"/>
      <c r="C655" s="4"/>
      <c r="D655" s="110"/>
      <c r="F655" s="219"/>
      <c r="H655" s="110"/>
      <c r="AJ655" s="111"/>
      <c r="AK655" s="111"/>
      <c r="AY655" s="114"/>
      <c r="BA655" s="114"/>
      <c r="CQ655" s="113"/>
      <c r="CS655" s="116"/>
      <c r="CV655" s="9"/>
      <c r="CW655" s="9"/>
      <c r="CX655" s="9"/>
      <c r="CY655" s="9"/>
      <c r="CZ655" s="139"/>
      <c r="DA655" s="139"/>
      <c r="DB655" s="139"/>
      <c r="DC655" s="139"/>
      <c r="DD655" s="139"/>
      <c r="DE655" s="139"/>
      <c r="DF655" s="139"/>
      <c r="DG655" s="139"/>
      <c r="DH655" s="139"/>
      <c r="DI655" s="13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  <c r="HJ655" s="9"/>
      <c r="HK655" s="9"/>
      <c r="HL655" s="9"/>
    </row>
    <row r="656" spans="1:220" s="99" customFormat="1">
      <c r="A656" s="109"/>
      <c r="C656" s="4"/>
      <c r="D656" s="110"/>
      <c r="F656" s="219"/>
      <c r="H656" s="110"/>
      <c r="AJ656" s="111"/>
      <c r="AK656" s="111"/>
      <c r="AY656" s="114"/>
      <c r="BA656" s="114"/>
      <c r="CQ656" s="113"/>
      <c r="CS656" s="116"/>
      <c r="CV656" s="9"/>
      <c r="CW656" s="9"/>
      <c r="CX656" s="9"/>
      <c r="CY656" s="9"/>
      <c r="CZ656" s="139"/>
      <c r="DA656" s="139"/>
      <c r="DB656" s="139"/>
      <c r="DC656" s="139"/>
      <c r="DD656" s="139"/>
      <c r="DE656" s="139"/>
      <c r="DF656" s="139"/>
      <c r="DG656" s="139"/>
      <c r="DH656" s="139"/>
      <c r="DI656" s="13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  <c r="HJ656" s="9"/>
      <c r="HK656" s="9"/>
      <c r="HL656" s="9"/>
    </row>
    <row r="657" spans="1:220" s="99" customFormat="1">
      <c r="A657" s="109"/>
      <c r="C657" s="4"/>
      <c r="D657" s="110"/>
      <c r="F657" s="219"/>
      <c r="H657" s="110"/>
      <c r="AJ657" s="111"/>
      <c r="AK657" s="111"/>
      <c r="AY657" s="114"/>
      <c r="BA657" s="114"/>
      <c r="CQ657" s="113"/>
      <c r="CS657" s="116"/>
      <c r="CV657" s="9"/>
      <c r="CW657" s="9"/>
      <c r="CX657" s="9"/>
      <c r="CY657" s="9"/>
      <c r="CZ657" s="139"/>
      <c r="DA657" s="139"/>
      <c r="DB657" s="139"/>
      <c r="DC657" s="139"/>
      <c r="DD657" s="139"/>
      <c r="DE657" s="139"/>
      <c r="DF657" s="139"/>
      <c r="DG657" s="139"/>
      <c r="DH657" s="139"/>
      <c r="DI657" s="13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  <c r="HE657" s="9"/>
      <c r="HF657" s="9"/>
      <c r="HG657" s="9"/>
      <c r="HH657" s="9"/>
      <c r="HI657" s="9"/>
      <c r="HJ657" s="9"/>
      <c r="HK657" s="9"/>
      <c r="HL657" s="9"/>
    </row>
    <row r="658" spans="1:220" s="99" customFormat="1">
      <c r="A658" s="109"/>
      <c r="C658" s="4"/>
      <c r="D658" s="110"/>
      <c r="F658" s="219"/>
      <c r="H658" s="110"/>
      <c r="AJ658" s="111"/>
      <c r="AK658" s="111"/>
      <c r="AY658" s="114"/>
      <c r="BA658" s="114"/>
      <c r="CQ658" s="113"/>
      <c r="CS658" s="116"/>
      <c r="CV658" s="9"/>
      <c r="CW658" s="9"/>
      <c r="CX658" s="9"/>
      <c r="CY658" s="9"/>
      <c r="CZ658" s="139"/>
      <c r="DA658" s="139"/>
      <c r="DB658" s="139"/>
      <c r="DC658" s="139"/>
      <c r="DD658" s="139"/>
      <c r="DE658" s="139"/>
      <c r="DF658" s="139"/>
      <c r="DG658" s="139"/>
      <c r="DH658" s="139"/>
      <c r="DI658" s="13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</row>
    <row r="659" spans="1:220" s="99" customFormat="1">
      <c r="A659" s="109"/>
      <c r="C659" s="4"/>
      <c r="D659" s="110"/>
      <c r="F659" s="219"/>
      <c r="H659" s="110"/>
      <c r="AJ659" s="111"/>
      <c r="AK659" s="111"/>
      <c r="AY659" s="114"/>
      <c r="BA659" s="114"/>
      <c r="CQ659" s="113"/>
      <c r="CS659" s="116"/>
      <c r="CV659" s="9"/>
      <c r="CW659" s="9"/>
      <c r="CX659" s="9"/>
      <c r="CY659" s="9"/>
      <c r="CZ659" s="139"/>
      <c r="DA659" s="139"/>
      <c r="DB659" s="139"/>
      <c r="DC659" s="139"/>
      <c r="DD659" s="139"/>
      <c r="DE659" s="139"/>
      <c r="DF659" s="139"/>
      <c r="DG659" s="139"/>
      <c r="DH659" s="139"/>
      <c r="DI659" s="13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  <c r="HE659" s="9"/>
      <c r="HF659" s="9"/>
      <c r="HG659" s="9"/>
      <c r="HH659" s="9"/>
      <c r="HI659" s="9"/>
      <c r="HJ659" s="9"/>
      <c r="HK659" s="9"/>
      <c r="HL659" s="9"/>
    </row>
    <row r="660" spans="1:220" s="99" customFormat="1">
      <c r="A660" s="109"/>
      <c r="C660" s="4"/>
      <c r="D660" s="110"/>
      <c r="F660" s="219"/>
      <c r="H660" s="110"/>
      <c r="AJ660" s="111"/>
      <c r="AK660" s="111"/>
      <c r="AY660" s="114"/>
      <c r="BA660" s="114"/>
      <c r="CQ660" s="113"/>
      <c r="CS660" s="116"/>
      <c r="CV660" s="9"/>
      <c r="CW660" s="9"/>
      <c r="CX660" s="9"/>
      <c r="CY660" s="9"/>
      <c r="CZ660" s="139"/>
      <c r="DA660" s="139"/>
      <c r="DB660" s="139"/>
      <c r="DC660" s="139"/>
      <c r="DD660" s="139"/>
      <c r="DE660" s="139"/>
      <c r="DF660" s="139"/>
      <c r="DG660" s="139"/>
      <c r="DH660" s="139"/>
      <c r="DI660" s="13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9"/>
      <c r="FS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  <c r="HJ660" s="9"/>
      <c r="HK660" s="9"/>
      <c r="HL660" s="9"/>
    </row>
    <row r="661" spans="1:220" s="99" customFormat="1">
      <c r="A661" s="109"/>
      <c r="C661" s="4"/>
      <c r="D661" s="110"/>
      <c r="F661" s="219"/>
      <c r="H661" s="110"/>
      <c r="AJ661" s="111"/>
      <c r="AK661" s="111"/>
      <c r="AY661" s="114"/>
      <c r="BA661" s="114"/>
      <c r="CQ661" s="113"/>
      <c r="CS661" s="116"/>
      <c r="CV661" s="9"/>
      <c r="CW661" s="9"/>
      <c r="CX661" s="9"/>
      <c r="CY661" s="9"/>
      <c r="CZ661" s="139"/>
      <c r="DA661" s="139"/>
      <c r="DB661" s="139"/>
      <c r="DC661" s="139"/>
      <c r="DD661" s="139"/>
      <c r="DE661" s="139"/>
      <c r="DF661" s="139"/>
      <c r="DG661" s="139"/>
      <c r="DH661" s="139"/>
      <c r="DI661" s="13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  <c r="FI661" s="9"/>
      <c r="FJ661" s="9"/>
      <c r="FK661" s="9"/>
      <c r="FL661" s="9"/>
      <c r="FM661" s="9"/>
      <c r="FN661" s="9"/>
      <c r="FO661" s="9"/>
      <c r="FP661" s="9"/>
      <c r="FQ661" s="9"/>
      <c r="FR661" s="9"/>
      <c r="FS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  <c r="HE661" s="9"/>
      <c r="HF661" s="9"/>
      <c r="HG661" s="9"/>
      <c r="HH661" s="9"/>
      <c r="HI661" s="9"/>
      <c r="HJ661" s="9"/>
      <c r="HK661" s="9"/>
      <c r="HL661" s="9"/>
    </row>
    <row r="662" spans="1:220" s="99" customFormat="1">
      <c r="A662" s="109"/>
      <c r="C662" s="4"/>
      <c r="D662" s="110"/>
      <c r="F662" s="219"/>
      <c r="H662" s="110"/>
      <c r="AJ662" s="111"/>
      <c r="AK662" s="111"/>
      <c r="AY662" s="114"/>
      <c r="BA662" s="114"/>
      <c r="CQ662" s="113"/>
      <c r="CS662" s="116"/>
      <c r="CV662" s="9"/>
      <c r="CW662" s="9"/>
      <c r="CX662" s="9"/>
      <c r="CY662" s="9"/>
      <c r="CZ662" s="139"/>
      <c r="DA662" s="139"/>
      <c r="DB662" s="139"/>
      <c r="DC662" s="139"/>
      <c r="DD662" s="139"/>
      <c r="DE662" s="139"/>
      <c r="DF662" s="139"/>
      <c r="DG662" s="139"/>
      <c r="DH662" s="139"/>
      <c r="DI662" s="13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  <c r="HE662" s="9"/>
      <c r="HF662" s="9"/>
      <c r="HG662" s="9"/>
      <c r="HH662" s="9"/>
      <c r="HI662" s="9"/>
      <c r="HJ662" s="9"/>
      <c r="HK662" s="9"/>
      <c r="HL662" s="9"/>
    </row>
    <row r="663" spans="1:220" s="99" customFormat="1">
      <c r="A663" s="109"/>
      <c r="C663" s="4"/>
      <c r="D663" s="110"/>
      <c r="F663" s="219"/>
      <c r="H663" s="110"/>
      <c r="AJ663" s="111"/>
      <c r="AK663" s="111"/>
      <c r="AY663" s="114"/>
      <c r="BA663" s="114"/>
      <c r="CQ663" s="113"/>
      <c r="CS663" s="116"/>
      <c r="CV663" s="9"/>
      <c r="CW663" s="9"/>
      <c r="CX663" s="9"/>
      <c r="CY663" s="9"/>
      <c r="CZ663" s="139"/>
      <c r="DA663" s="139"/>
      <c r="DB663" s="139"/>
      <c r="DC663" s="139"/>
      <c r="DD663" s="139"/>
      <c r="DE663" s="139"/>
      <c r="DF663" s="139"/>
      <c r="DG663" s="139"/>
      <c r="DH663" s="139"/>
      <c r="DI663" s="13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  <c r="FI663" s="9"/>
      <c r="FJ663" s="9"/>
      <c r="FK663" s="9"/>
      <c r="FL663" s="9"/>
      <c r="FM663" s="9"/>
      <c r="FN663" s="9"/>
      <c r="FO663" s="9"/>
      <c r="FP663" s="9"/>
      <c r="FQ663" s="9"/>
      <c r="FR663" s="9"/>
      <c r="FS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  <c r="HE663" s="9"/>
      <c r="HF663" s="9"/>
      <c r="HG663" s="9"/>
      <c r="HH663" s="9"/>
      <c r="HI663" s="9"/>
      <c r="HJ663" s="9"/>
      <c r="HK663" s="9"/>
      <c r="HL663" s="9"/>
    </row>
    <row r="664" spans="1:220" s="99" customFormat="1">
      <c r="A664" s="109"/>
      <c r="C664" s="4"/>
      <c r="D664" s="110"/>
      <c r="F664" s="219"/>
      <c r="H664" s="110"/>
      <c r="AJ664" s="111"/>
      <c r="AK664" s="111"/>
      <c r="AY664" s="114"/>
      <c r="BA664" s="114"/>
      <c r="CQ664" s="113"/>
      <c r="CS664" s="116"/>
      <c r="CV664" s="9"/>
      <c r="CW664" s="9"/>
      <c r="CX664" s="9"/>
      <c r="CY664" s="9"/>
      <c r="CZ664" s="139"/>
      <c r="DA664" s="139"/>
      <c r="DB664" s="139"/>
      <c r="DC664" s="139"/>
      <c r="DD664" s="139"/>
      <c r="DE664" s="139"/>
      <c r="DF664" s="139"/>
      <c r="DG664" s="139"/>
      <c r="DH664" s="139"/>
      <c r="DI664" s="13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  <c r="FI664" s="9"/>
      <c r="FJ664" s="9"/>
      <c r="FK664" s="9"/>
      <c r="FL664" s="9"/>
      <c r="FM664" s="9"/>
      <c r="FN664" s="9"/>
      <c r="FO664" s="9"/>
      <c r="FP664" s="9"/>
      <c r="FQ664" s="9"/>
      <c r="FR664" s="9"/>
      <c r="FS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  <c r="HE664" s="9"/>
      <c r="HF664" s="9"/>
      <c r="HG664" s="9"/>
      <c r="HH664" s="9"/>
      <c r="HI664" s="9"/>
      <c r="HJ664" s="9"/>
      <c r="HK664" s="9"/>
      <c r="HL664" s="9"/>
    </row>
    <row r="665" spans="1:220" s="99" customFormat="1">
      <c r="A665" s="109"/>
      <c r="C665" s="4"/>
      <c r="D665" s="110"/>
      <c r="F665" s="219"/>
      <c r="H665" s="110"/>
      <c r="AJ665" s="111"/>
      <c r="AK665" s="111"/>
      <c r="AY665" s="114"/>
      <c r="BA665" s="114"/>
      <c r="CQ665" s="113"/>
      <c r="CS665" s="116"/>
      <c r="CV665" s="9"/>
      <c r="CW665" s="9"/>
      <c r="CX665" s="9"/>
      <c r="CY665" s="9"/>
      <c r="CZ665" s="139"/>
      <c r="DA665" s="139"/>
      <c r="DB665" s="139"/>
      <c r="DC665" s="139"/>
      <c r="DD665" s="139"/>
      <c r="DE665" s="139"/>
      <c r="DF665" s="139"/>
      <c r="DG665" s="139"/>
      <c r="DH665" s="139"/>
      <c r="DI665" s="13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  <c r="FI665" s="9"/>
      <c r="FJ665" s="9"/>
      <c r="FK665" s="9"/>
      <c r="FL665" s="9"/>
      <c r="FM665" s="9"/>
      <c r="FN665" s="9"/>
      <c r="FO665" s="9"/>
      <c r="FP665" s="9"/>
      <c r="FQ665" s="9"/>
      <c r="FR665" s="9"/>
      <c r="FS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  <c r="HE665" s="9"/>
      <c r="HF665" s="9"/>
      <c r="HG665" s="9"/>
      <c r="HH665" s="9"/>
      <c r="HI665" s="9"/>
      <c r="HJ665" s="9"/>
      <c r="HK665" s="9"/>
      <c r="HL665" s="9"/>
    </row>
    <row r="666" spans="1:220" s="99" customFormat="1">
      <c r="A666" s="109"/>
      <c r="C666" s="4"/>
      <c r="D666" s="110"/>
      <c r="F666" s="219"/>
      <c r="H666" s="110"/>
      <c r="AJ666" s="111"/>
      <c r="AK666" s="111"/>
      <c r="AY666" s="114"/>
      <c r="BA666" s="114"/>
      <c r="CQ666" s="113"/>
      <c r="CS666" s="116"/>
      <c r="CV666" s="9"/>
      <c r="CW666" s="9"/>
      <c r="CX666" s="9"/>
      <c r="CY666" s="9"/>
      <c r="CZ666" s="139"/>
      <c r="DA666" s="139"/>
      <c r="DB666" s="139"/>
      <c r="DC666" s="139"/>
      <c r="DD666" s="139"/>
      <c r="DE666" s="139"/>
      <c r="DF666" s="139"/>
      <c r="DG666" s="139"/>
      <c r="DH666" s="139"/>
      <c r="DI666" s="13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  <c r="HJ666" s="9"/>
      <c r="HK666" s="9"/>
      <c r="HL666" s="9"/>
    </row>
    <row r="667" spans="1:220" s="99" customFormat="1">
      <c r="A667" s="109"/>
      <c r="C667" s="4"/>
      <c r="D667" s="110"/>
      <c r="F667" s="219"/>
      <c r="H667" s="110"/>
      <c r="AJ667" s="111"/>
      <c r="AK667" s="111"/>
      <c r="AY667" s="114"/>
      <c r="BA667" s="114"/>
      <c r="CQ667" s="113"/>
      <c r="CS667" s="116"/>
      <c r="CV667" s="9"/>
      <c r="CW667" s="9"/>
      <c r="CX667" s="9"/>
      <c r="CY667" s="9"/>
      <c r="CZ667" s="139"/>
      <c r="DA667" s="139"/>
      <c r="DB667" s="139"/>
      <c r="DC667" s="139"/>
      <c r="DD667" s="139"/>
      <c r="DE667" s="139"/>
      <c r="DF667" s="139"/>
      <c r="DG667" s="139"/>
      <c r="DH667" s="139"/>
      <c r="DI667" s="13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  <c r="FI667" s="9"/>
      <c r="FJ667" s="9"/>
      <c r="FK667" s="9"/>
      <c r="FL667" s="9"/>
      <c r="FM667" s="9"/>
      <c r="FN667" s="9"/>
      <c r="FO667" s="9"/>
      <c r="FP667" s="9"/>
      <c r="FQ667" s="9"/>
      <c r="FR667" s="9"/>
      <c r="FS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  <c r="HE667" s="9"/>
      <c r="HF667" s="9"/>
      <c r="HG667" s="9"/>
      <c r="HH667" s="9"/>
      <c r="HI667" s="9"/>
      <c r="HJ667" s="9"/>
      <c r="HK667" s="9"/>
      <c r="HL667" s="9"/>
    </row>
    <row r="668" spans="1:220" s="99" customFormat="1">
      <c r="A668" s="109"/>
      <c r="C668" s="4"/>
      <c r="D668" s="110"/>
      <c r="F668" s="219"/>
      <c r="H668" s="110"/>
      <c r="AJ668" s="111"/>
      <c r="AK668" s="111"/>
      <c r="AY668" s="114"/>
      <c r="BA668" s="114"/>
      <c r="CQ668" s="113"/>
      <c r="CS668" s="116"/>
      <c r="CV668" s="9"/>
      <c r="CW668" s="9"/>
      <c r="CX668" s="9"/>
      <c r="CY668" s="9"/>
      <c r="CZ668" s="139"/>
      <c r="DA668" s="139"/>
      <c r="DB668" s="139"/>
      <c r="DC668" s="139"/>
      <c r="DD668" s="139"/>
      <c r="DE668" s="139"/>
      <c r="DF668" s="139"/>
      <c r="DG668" s="139"/>
      <c r="DH668" s="139"/>
      <c r="DI668" s="13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  <c r="FI668" s="9"/>
      <c r="FJ668" s="9"/>
      <c r="FK668" s="9"/>
      <c r="FL668" s="9"/>
      <c r="FM668" s="9"/>
      <c r="FN668" s="9"/>
      <c r="FO668" s="9"/>
      <c r="FP668" s="9"/>
      <c r="FQ668" s="9"/>
      <c r="FR668" s="9"/>
      <c r="FS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  <c r="HE668" s="9"/>
      <c r="HF668" s="9"/>
      <c r="HG668" s="9"/>
      <c r="HH668" s="9"/>
      <c r="HI668" s="9"/>
      <c r="HJ668" s="9"/>
      <c r="HK668" s="9"/>
      <c r="HL668" s="9"/>
    </row>
    <row r="669" spans="1:220" s="99" customFormat="1">
      <c r="A669" s="109"/>
      <c r="C669" s="4"/>
      <c r="D669" s="110"/>
      <c r="F669" s="219"/>
      <c r="H669" s="110"/>
      <c r="AJ669" s="111"/>
      <c r="AK669" s="111"/>
      <c r="AY669" s="114"/>
      <c r="BA669" s="114"/>
      <c r="CQ669" s="113"/>
      <c r="CS669" s="116"/>
      <c r="CV669" s="9"/>
      <c r="CW669" s="9"/>
      <c r="CX669" s="9"/>
      <c r="CY669" s="9"/>
      <c r="CZ669" s="139"/>
      <c r="DA669" s="139"/>
      <c r="DB669" s="139"/>
      <c r="DC669" s="139"/>
      <c r="DD669" s="139"/>
      <c r="DE669" s="139"/>
      <c r="DF669" s="139"/>
      <c r="DG669" s="139"/>
      <c r="DH669" s="139"/>
      <c r="DI669" s="13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  <c r="FI669" s="9"/>
      <c r="FJ669" s="9"/>
      <c r="FK669" s="9"/>
      <c r="FL669" s="9"/>
      <c r="FM669" s="9"/>
      <c r="FN669" s="9"/>
      <c r="FO669" s="9"/>
      <c r="FP669" s="9"/>
      <c r="FQ669" s="9"/>
      <c r="FR669" s="9"/>
      <c r="FS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  <c r="HE669" s="9"/>
      <c r="HF669" s="9"/>
      <c r="HG669" s="9"/>
      <c r="HH669" s="9"/>
      <c r="HI669" s="9"/>
      <c r="HJ669" s="9"/>
      <c r="HK669" s="9"/>
      <c r="HL669" s="9"/>
    </row>
    <row r="670" spans="1:220" s="99" customFormat="1">
      <c r="A670" s="109"/>
      <c r="C670" s="4"/>
      <c r="D670" s="110"/>
      <c r="F670" s="219"/>
      <c r="H670" s="110"/>
      <c r="AJ670" s="111"/>
      <c r="AK670" s="111"/>
      <c r="AY670" s="114"/>
      <c r="BA670" s="114"/>
      <c r="CQ670" s="113"/>
      <c r="CS670" s="116"/>
      <c r="CV670" s="9"/>
      <c r="CW670" s="9"/>
      <c r="CX670" s="9"/>
      <c r="CY670" s="9"/>
      <c r="CZ670" s="139"/>
      <c r="DA670" s="139"/>
      <c r="DB670" s="139"/>
      <c r="DC670" s="139"/>
      <c r="DD670" s="139"/>
      <c r="DE670" s="139"/>
      <c r="DF670" s="139"/>
      <c r="DG670" s="139"/>
      <c r="DH670" s="139"/>
      <c r="DI670" s="13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  <c r="HE670" s="9"/>
      <c r="HF670" s="9"/>
      <c r="HG670" s="9"/>
      <c r="HH670" s="9"/>
      <c r="HI670" s="9"/>
      <c r="HJ670" s="9"/>
      <c r="HK670" s="9"/>
      <c r="HL670" s="9"/>
    </row>
    <row r="671" spans="1:220" s="99" customFormat="1">
      <c r="A671" s="109"/>
      <c r="C671" s="4"/>
      <c r="D671" s="110"/>
      <c r="F671" s="219"/>
      <c r="H671" s="110"/>
      <c r="AJ671" s="111"/>
      <c r="AK671" s="111"/>
      <c r="AY671" s="114"/>
      <c r="BA671" s="114"/>
      <c r="CQ671" s="113"/>
      <c r="CS671" s="116"/>
      <c r="CV671" s="9"/>
      <c r="CW671" s="9"/>
      <c r="CX671" s="9"/>
      <c r="CY671" s="9"/>
      <c r="CZ671" s="139"/>
      <c r="DA671" s="139"/>
      <c r="DB671" s="139"/>
      <c r="DC671" s="139"/>
      <c r="DD671" s="139"/>
      <c r="DE671" s="139"/>
      <c r="DF671" s="139"/>
      <c r="DG671" s="139"/>
      <c r="DH671" s="139"/>
      <c r="DI671" s="13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  <c r="HE671" s="9"/>
      <c r="HF671" s="9"/>
      <c r="HG671" s="9"/>
      <c r="HH671" s="9"/>
      <c r="HI671" s="9"/>
      <c r="HJ671" s="9"/>
      <c r="HK671" s="9"/>
      <c r="HL671" s="9"/>
    </row>
    <row r="672" spans="1:220" s="99" customFormat="1">
      <c r="A672" s="109"/>
      <c r="C672" s="4"/>
      <c r="D672" s="110"/>
      <c r="F672" s="219"/>
      <c r="H672" s="110"/>
      <c r="AJ672" s="111"/>
      <c r="AK672" s="111"/>
      <c r="AY672" s="114"/>
      <c r="BA672" s="114"/>
      <c r="CQ672" s="113"/>
      <c r="CS672" s="116"/>
      <c r="CV672" s="9"/>
      <c r="CW672" s="9"/>
      <c r="CX672" s="9"/>
      <c r="CY672" s="9"/>
      <c r="CZ672" s="139"/>
      <c r="DA672" s="139"/>
      <c r="DB672" s="139"/>
      <c r="DC672" s="139"/>
      <c r="DD672" s="139"/>
      <c r="DE672" s="139"/>
      <c r="DF672" s="139"/>
      <c r="DG672" s="139"/>
      <c r="DH672" s="139"/>
      <c r="DI672" s="13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  <c r="HE672" s="9"/>
      <c r="HF672" s="9"/>
      <c r="HG672" s="9"/>
      <c r="HH672" s="9"/>
      <c r="HI672" s="9"/>
      <c r="HJ672" s="9"/>
      <c r="HK672" s="9"/>
      <c r="HL672" s="9"/>
    </row>
    <row r="673" spans="1:220" s="99" customFormat="1">
      <c r="A673" s="109"/>
      <c r="C673" s="4"/>
      <c r="D673" s="110"/>
      <c r="F673" s="219"/>
      <c r="H673" s="110"/>
      <c r="AJ673" s="111"/>
      <c r="AK673" s="111"/>
      <c r="AY673" s="114"/>
      <c r="BA673" s="114"/>
      <c r="CQ673" s="113"/>
      <c r="CS673" s="116"/>
      <c r="CV673" s="9"/>
      <c r="CW673" s="9"/>
      <c r="CX673" s="9"/>
      <c r="CY673" s="9"/>
      <c r="CZ673" s="139"/>
      <c r="DA673" s="139"/>
      <c r="DB673" s="139"/>
      <c r="DC673" s="139"/>
      <c r="DD673" s="139"/>
      <c r="DE673" s="139"/>
      <c r="DF673" s="139"/>
      <c r="DG673" s="139"/>
      <c r="DH673" s="139"/>
      <c r="DI673" s="13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  <c r="HE673" s="9"/>
      <c r="HF673" s="9"/>
      <c r="HG673" s="9"/>
      <c r="HH673" s="9"/>
      <c r="HI673" s="9"/>
      <c r="HJ673" s="9"/>
      <c r="HK673" s="9"/>
      <c r="HL673" s="9"/>
    </row>
    <row r="674" spans="1:220" s="99" customFormat="1">
      <c r="A674" s="109"/>
      <c r="C674" s="4"/>
      <c r="D674" s="110"/>
      <c r="F674" s="219"/>
      <c r="H674" s="110"/>
      <c r="AJ674" s="111"/>
      <c r="AK674" s="111"/>
      <c r="AY674" s="114"/>
      <c r="BA674" s="114"/>
      <c r="CQ674" s="113"/>
      <c r="CS674" s="116"/>
      <c r="CV674" s="9"/>
      <c r="CW674" s="9"/>
      <c r="CX674" s="9"/>
      <c r="CY674" s="9"/>
      <c r="CZ674" s="139"/>
      <c r="DA674" s="139"/>
      <c r="DB674" s="139"/>
      <c r="DC674" s="139"/>
      <c r="DD674" s="139"/>
      <c r="DE674" s="139"/>
      <c r="DF674" s="139"/>
      <c r="DG674" s="139"/>
      <c r="DH674" s="139"/>
      <c r="DI674" s="13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  <c r="HE674" s="9"/>
      <c r="HF674" s="9"/>
      <c r="HG674" s="9"/>
      <c r="HH674" s="9"/>
      <c r="HI674" s="9"/>
      <c r="HJ674" s="9"/>
      <c r="HK674" s="9"/>
      <c r="HL674" s="9"/>
    </row>
    <row r="675" spans="1:220" s="99" customFormat="1">
      <c r="A675" s="109"/>
      <c r="C675" s="4"/>
      <c r="D675" s="110"/>
      <c r="F675" s="219"/>
      <c r="H675" s="110"/>
      <c r="AJ675" s="111"/>
      <c r="AK675" s="111"/>
      <c r="AY675" s="114"/>
      <c r="BA675" s="114"/>
      <c r="CQ675" s="113"/>
      <c r="CS675" s="116"/>
      <c r="CV675" s="9"/>
      <c r="CW675" s="9"/>
      <c r="CX675" s="9"/>
      <c r="CY675" s="9"/>
      <c r="CZ675" s="139"/>
      <c r="DA675" s="139"/>
      <c r="DB675" s="139"/>
      <c r="DC675" s="139"/>
      <c r="DD675" s="139"/>
      <c r="DE675" s="139"/>
      <c r="DF675" s="139"/>
      <c r="DG675" s="139"/>
      <c r="DH675" s="139"/>
      <c r="DI675" s="13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  <c r="HE675" s="9"/>
      <c r="HF675" s="9"/>
      <c r="HG675" s="9"/>
      <c r="HH675" s="9"/>
      <c r="HI675" s="9"/>
      <c r="HJ675" s="9"/>
      <c r="HK675" s="9"/>
      <c r="HL675" s="9"/>
    </row>
    <row r="676" spans="1:220" s="99" customFormat="1">
      <c r="A676" s="109"/>
      <c r="C676" s="4"/>
      <c r="D676" s="110"/>
      <c r="F676" s="219"/>
      <c r="H676" s="110"/>
      <c r="AJ676" s="111"/>
      <c r="AK676" s="111"/>
      <c r="AY676" s="114"/>
      <c r="BA676" s="114"/>
      <c r="CQ676" s="113"/>
      <c r="CS676" s="116"/>
      <c r="CV676" s="9"/>
      <c r="CW676" s="9"/>
      <c r="CX676" s="9"/>
      <c r="CY676" s="9"/>
      <c r="CZ676" s="139"/>
      <c r="DA676" s="139"/>
      <c r="DB676" s="139"/>
      <c r="DC676" s="139"/>
      <c r="DD676" s="139"/>
      <c r="DE676" s="139"/>
      <c r="DF676" s="139"/>
      <c r="DG676" s="139"/>
      <c r="DH676" s="139"/>
      <c r="DI676" s="13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  <c r="HE676" s="9"/>
      <c r="HF676" s="9"/>
      <c r="HG676" s="9"/>
      <c r="HH676" s="9"/>
      <c r="HI676" s="9"/>
      <c r="HJ676" s="9"/>
      <c r="HK676" s="9"/>
      <c r="HL676" s="9"/>
    </row>
    <row r="677" spans="1:220" s="99" customFormat="1">
      <c r="A677" s="109"/>
      <c r="C677" s="4"/>
      <c r="D677" s="110"/>
      <c r="F677" s="219"/>
      <c r="H677" s="110"/>
      <c r="AJ677" s="111"/>
      <c r="AK677" s="111"/>
      <c r="AY677" s="114"/>
      <c r="BA677" s="114"/>
      <c r="CQ677" s="113"/>
      <c r="CS677" s="116"/>
      <c r="CV677" s="9"/>
      <c r="CW677" s="9"/>
      <c r="CX677" s="9"/>
      <c r="CY677" s="9"/>
      <c r="CZ677" s="139"/>
      <c r="DA677" s="139"/>
      <c r="DB677" s="139"/>
      <c r="DC677" s="139"/>
      <c r="DD677" s="139"/>
      <c r="DE677" s="139"/>
      <c r="DF677" s="139"/>
      <c r="DG677" s="139"/>
      <c r="DH677" s="139"/>
      <c r="DI677" s="13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  <c r="HE677" s="9"/>
      <c r="HF677" s="9"/>
      <c r="HG677" s="9"/>
      <c r="HH677" s="9"/>
      <c r="HI677" s="9"/>
      <c r="HJ677" s="9"/>
      <c r="HK677" s="9"/>
      <c r="HL677" s="9"/>
    </row>
    <row r="678" spans="1:220" s="99" customFormat="1">
      <c r="A678" s="109"/>
      <c r="C678" s="4"/>
      <c r="D678" s="110"/>
      <c r="F678" s="219"/>
      <c r="H678" s="110"/>
      <c r="AJ678" s="111"/>
      <c r="AK678" s="111"/>
      <c r="AY678" s="114"/>
      <c r="BA678" s="114"/>
      <c r="CQ678" s="113"/>
      <c r="CS678" s="116"/>
      <c r="CV678" s="9"/>
      <c r="CW678" s="9"/>
      <c r="CX678" s="9"/>
      <c r="CY678" s="9"/>
      <c r="CZ678" s="139"/>
      <c r="DA678" s="139"/>
      <c r="DB678" s="139"/>
      <c r="DC678" s="139"/>
      <c r="DD678" s="139"/>
      <c r="DE678" s="139"/>
      <c r="DF678" s="139"/>
      <c r="DG678" s="139"/>
      <c r="DH678" s="139"/>
      <c r="DI678" s="13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  <c r="FI678" s="9"/>
      <c r="FJ678" s="9"/>
      <c r="FK678" s="9"/>
      <c r="FL678" s="9"/>
      <c r="FM678" s="9"/>
      <c r="FN678" s="9"/>
      <c r="FO678" s="9"/>
      <c r="FP678" s="9"/>
      <c r="FQ678" s="9"/>
      <c r="FR678" s="9"/>
      <c r="FS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  <c r="HE678" s="9"/>
      <c r="HF678" s="9"/>
      <c r="HG678" s="9"/>
      <c r="HH678" s="9"/>
      <c r="HI678" s="9"/>
      <c r="HJ678" s="9"/>
      <c r="HK678" s="9"/>
      <c r="HL678" s="9"/>
    </row>
    <row r="679" spans="1:220" s="99" customFormat="1">
      <c r="A679" s="109"/>
      <c r="C679" s="4"/>
      <c r="D679" s="110"/>
      <c r="F679" s="219"/>
      <c r="H679" s="110"/>
      <c r="AJ679" s="111"/>
      <c r="AK679" s="111"/>
      <c r="AY679" s="114"/>
      <c r="BA679" s="114"/>
      <c r="CQ679" s="113"/>
      <c r="CS679" s="116"/>
      <c r="CV679" s="9"/>
      <c r="CW679" s="9"/>
      <c r="CX679" s="9"/>
      <c r="CY679" s="9"/>
      <c r="CZ679" s="139"/>
      <c r="DA679" s="139"/>
      <c r="DB679" s="139"/>
      <c r="DC679" s="139"/>
      <c r="DD679" s="139"/>
      <c r="DE679" s="139"/>
      <c r="DF679" s="139"/>
      <c r="DG679" s="139"/>
      <c r="DH679" s="139"/>
      <c r="DI679" s="13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  <c r="FI679" s="9"/>
      <c r="FJ679" s="9"/>
      <c r="FK679" s="9"/>
      <c r="FL679" s="9"/>
      <c r="FM679" s="9"/>
      <c r="FN679" s="9"/>
      <c r="FO679" s="9"/>
      <c r="FP679" s="9"/>
      <c r="FQ679" s="9"/>
      <c r="FR679" s="9"/>
      <c r="FS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  <c r="HE679" s="9"/>
      <c r="HF679" s="9"/>
      <c r="HG679" s="9"/>
      <c r="HH679" s="9"/>
      <c r="HI679" s="9"/>
      <c r="HJ679" s="9"/>
      <c r="HK679" s="9"/>
      <c r="HL679" s="9"/>
    </row>
    <row r="680" spans="1:220" s="99" customFormat="1">
      <c r="A680" s="109"/>
      <c r="C680" s="4"/>
      <c r="D680" s="110"/>
      <c r="F680" s="219"/>
      <c r="H680" s="110"/>
      <c r="AJ680" s="111"/>
      <c r="AK680" s="111"/>
      <c r="AY680" s="114"/>
      <c r="BA680" s="114"/>
      <c r="CQ680" s="113"/>
      <c r="CS680" s="116"/>
      <c r="CV680" s="9"/>
      <c r="CW680" s="9"/>
      <c r="CX680" s="9"/>
      <c r="CY680" s="9"/>
      <c r="CZ680" s="139"/>
      <c r="DA680" s="139"/>
      <c r="DB680" s="139"/>
      <c r="DC680" s="139"/>
      <c r="DD680" s="139"/>
      <c r="DE680" s="139"/>
      <c r="DF680" s="139"/>
      <c r="DG680" s="139"/>
      <c r="DH680" s="139"/>
      <c r="DI680" s="13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/>
      <c r="FK680" s="9"/>
      <c r="FL680" s="9"/>
      <c r="FM680" s="9"/>
      <c r="FN680" s="9"/>
      <c r="FO680" s="9"/>
      <c r="FP680" s="9"/>
      <c r="FQ680" s="9"/>
      <c r="FR680" s="9"/>
      <c r="FS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  <c r="HE680" s="9"/>
      <c r="HF680" s="9"/>
      <c r="HG680" s="9"/>
      <c r="HH680" s="9"/>
      <c r="HI680" s="9"/>
      <c r="HJ680" s="9"/>
      <c r="HK680" s="9"/>
      <c r="HL680" s="9"/>
    </row>
    <row r="681" spans="1:220" s="99" customFormat="1">
      <c r="A681" s="109"/>
      <c r="C681" s="4"/>
      <c r="D681" s="110"/>
      <c r="F681" s="219"/>
      <c r="H681" s="110"/>
      <c r="AJ681" s="111"/>
      <c r="AK681" s="111"/>
      <c r="AY681" s="114"/>
      <c r="BA681" s="114"/>
      <c r="CQ681" s="113"/>
      <c r="CS681" s="116"/>
      <c r="CV681" s="9"/>
      <c r="CW681" s="9"/>
      <c r="CX681" s="9"/>
      <c r="CY681" s="9"/>
      <c r="CZ681" s="139"/>
      <c r="DA681" s="139"/>
      <c r="DB681" s="139"/>
      <c r="DC681" s="139"/>
      <c r="DD681" s="139"/>
      <c r="DE681" s="139"/>
      <c r="DF681" s="139"/>
      <c r="DG681" s="139"/>
      <c r="DH681" s="139"/>
      <c r="DI681" s="13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  <c r="FI681" s="9"/>
      <c r="FJ681" s="9"/>
      <c r="FK681" s="9"/>
      <c r="FL681" s="9"/>
      <c r="FM681" s="9"/>
      <c r="FN681" s="9"/>
      <c r="FO681" s="9"/>
      <c r="FP681" s="9"/>
      <c r="FQ681" s="9"/>
      <c r="FR681" s="9"/>
      <c r="FS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  <c r="HE681" s="9"/>
      <c r="HF681" s="9"/>
      <c r="HG681" s="9"/>
      <c r="HH681" s="9"/>
      <c r="HI681" s="9"/>
      <c r="HJ681" s="9"/>
      <c r="HK681" s="9"/>
      <c r="HL681" s="9"/>
    </row>
    <row r="682" spans="1:220" s="99" customFormat="1">
      <c r="A682" s="109"/>
      <c r="C682" s="4"/>
      <c r="D682" s="110"/>
      <c r="F682" s="219"/>
      <c r="H682" s="110"/>
      <c r="AJ682" s="111"/>
      <c r="AK682" s="111"/>
      <c r="AY682" s="114"/>
      <c r="BA682" s="114"/>
      <c r="CQ682" s="113"/>
      <c r="CS682" s="116"/>
      <c r="CV682" s="9"/>
      <c r="CW682" s="9"/>
      <c r="CX682" s="9"/>
      <c r="CY682" s="9"/>
      <c r="CZ682" s="139"/>
      <c r="DA682" s="139"/>
      <c r="DB682" s="139"/>
      <c r="DC682" s="139"/>
      <c r="DD682" s="139"/>
      <c r="DE682" s="139"/>
      <c r="DF682" s="139"/>
      <c r="DG682" s="139"/>
      <c r="DH682" s="139"/>
      <c r="DI682" s="13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  <c r="FI682" s="9"/>
      <c r="FJ682" s="9"/>
      <c r="FK682" s="9"/>
      <c r="FL682" s="9"/>
      <c r="FM682" s="9"/>
      <c r="FN682" s="9"/>
      <c r="FO682" s="9"/>
      <c r="FP682" s="9"/>
      <c r="FQ682" s="9"/>
      <c r="FR682" s="9"/>
      <c r="FS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  <c r="HE682" s="9"/>
      <c r="HF682" s="9"/>
      <c r="HG682" s="9"/>
      <c r="HH682" s="9"/>
      <c r="HI682" s="9"/>
      <c r="HJ682" s="9"/>
      <c r="HK682" s="9"/>
      <c r="HL682" s="9"/>
    </row>
    <row r="683" spans="1:220" s="99" customFormat="1">
      <c r="A683" s="109"/>
      <c r="C683" s="4"/>
      <c r="D683" s="110"/>
      <c r="F683" s="219"/>
      <c r="H683" s="110"/>
      <c r="AJ683" s="111"/>
      <c r="AK683" s="111"/>
      <c r="AY683" s="114"/>
      <c r="BA683" s="114"/>
      <c r="CQ683" s="113"/>
      <c r="CS683" s="116"/>
      <c r="CV683" s="9"/>
      <c r="CW683" s="9"/>
      <c r="CX683" s="9"/>
      <c r="CY683" s="9"/>
      <c r="CZ683" s="139"/>
      <c r="DA683" s="139"/>
      <c r="DB683" s="139"/>
      <c r="DC683" s="139"/>
      <c r="DD683" s="139"/>
      <c r="DE683" s="139"/>
      <c r="DF683" s="139"/>
      <c r="DG683" s="139"/>
      <c r="DH683" s="139"/>
      <c r="DI683" s="13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E683" s="9"/>
      <c r="FF683" s="9"/>
      <c r="FG683" s="9"/>
      <c r="FH683" s="9"/>
      <c r="FI683" s="9"/>
      <c r="FJ683" s="9"/>
      <c r="FK683" s="9"/>
      <c r="FL683" s="9"/>
      <c r="FM683" s="9"/>
      <c r="FN683" s="9"/>
      <c r="FO683" s="9"/>
      <c r="FP683" s="9"/>
      <c r="FQ683" s="9"/>
      <c r="FR683" s="9"/>
      <c r="FS683" s="9"/>
      <c r="FT683" s="9"/>
      <c r="FU683" s="9"/>
      <c r="FV683" s="9"/>
      <c r="FW683" s="9"/>
      <c r="FX683" s="9"/>
      <c r="FY683" s="9"/>
      <c r="FZ683" s="9"/>
      <c r="GA683" s="9"/>
      <c r="GB683" s="9"/>
      <c r="GC683" s="9"/>
      <c r="GD683" s="9"/>
      <c r="GE683" s="9"/>
      <c r="GF683" s="9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  <c r="HE683" s="9"/>
      <c r="HF683" s="9"/>
      <c r="HG683" s="9"/>
      <c r="HH683" s="9"/>
      <c r="HI683" s="9"/>
      <c r="HJ683" s="9"/>
      <c r="HK683" s="9"/>
      <c r="HL683" s="9"/>
    </row>
    <row r="684" spans="1:220" s="99" customFormat="1">
      <c r="A684" s="109"/>
      <c r="C684" s="4"/>
      <c r="D684" s="110"/>
      <c r="F684" s="219"/>
      <c r="H684" s="110"/>
      <c r="AJ684" s="111"/>
      <c r="AK684" s="111"/>
      <c r="AY684" s="114"/>
      <c r="BA684" s="114"/>
      <c r="CQ684" s="113"/>
      <c r="CS684" s="116"/>
      <c r="CV684" s="9"/>
      <c r="CW684" s="9"/>
      <c r="CX684" s="9"/>
      <c r="CY684" s="9"/>
      <c r="CZ684" s="139"/>
      <c r="DA684" s="139"/>
      <c r="DB684" s="139"/>
      <c r="DC684" s="139"/>
      <c r="DD684" s="139"/>
      <c r="DE684" s="139"/>
      <c r="DF684" s="139"/>
      <c r="DG684" s="139"/>
      <c r="DH684" s="139"/>
      <c r="DI684" s="13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  <c r="FI684" s="9"/>
      <c r="FJ684" s="9"/>
      <c r="FK684" s="9"/>
      <c r="FL684" s="9"/>
      <c r="FM684" s="9"/>
      <c r="FN684" s="9"/>
      <c r="FO684" s="9"/>
      <c r="FP684" s="9"/>
      <c r="FQ684" s="9"/>
      <c r="FR684" s="9"/>
      <c r="FS684" s="9"/>
      <c r="FT684" s="9"/>
      <c r="FU684" s="9"/>
      <c r="FV684" s="9"/>
      <c r="FW684" s="9"/>
      <c r="FX684" s="9"/>
      <c r="FY684" s="9"/>
      <c r="FZ684" s="9"/>
      <c r="GA684" s="9"/>
      <c r="GB684" s="9"/>
      <c r="GC684" s="9"/>
      <c r="GD684" s="9"/>
      <c r="GE684" s="9"/>
      <c r="GF684" s="9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  <c r="HE684" s="9"/>
      <c r="HF684" s="9"/>
      <c r="HG684" s="9"/>
      <c r="HH684" s="9"/>
      <c r="HI684" s="9"/>
      <c r="HJ684" s="9"/>
      <c r="HK684" s="9"/>
      <c r="HL684" s="9"/>
    </row>
    <row r="685" spans="1:220" s="99" customFormat="1">
      <c r="A685" s="109"/>
      <c r="C685" s="4"/>
      <c r="D685" s="110"/>
      <c r="F685" s="219"/>
      <c r="H685" s="110"/>
      <c r="AJ685" s="111"/>
      <c r="AK685" s="111"/>
      <c r="AY685" s="114"/>
      <c r="BA685" s="114"/>
      <c r="CQ685" s="113"/>
      <c r="CS685" s="116"/>
      <c r="CV685" s="9"/>
      <c r="CW685" s="9"/>
      <c r="CX685" s="9"/>
      <c r="CY685" s="9"/>
      <c r="CZ685" s="139"/>
      <c r="DA685" s="139"/>
      <c r="DB685" s="139"/>
      <c r="DC685" s="139"/>
      <c r="DD685" s="139"/>
      <c r="DE685" s="139"/>
      <c r="DF685" s="139"/>
      <c r="DG685" s="139"/>
      <c r="DH685" s="139"/>
      <c r="DI685" s="13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E685" s="9"/>
      <c r="FF685" s="9"/>
      <c r="FG685" s="9"/>
      <c r="FH685" s="9"/>
      <c r="FI685" s="9"/>
      <c r="FJ685" s="9"/>
      <c r="FK685" s="9"/>
      <c r="FL685" s="9"/>
      <c r="FM685" s="9"/>
      <c r="FN685" s="9"/>
      <c r="FO685" s="9"/>
      <c r="FP685" s="9"/>
      <c r="FQ685" s="9"/>
      <c r="FR685" s="9"/>
      <c r="FS685" s="9"/>
      <c r="FT685" s="9"/>
      <c r="FU685" s="9"/>
      <c r="FV685" s="9"/>
      <c r="FW685" s="9"/>
      <c r="FX685" s="9"/>
      <c r="FY685" s="9"/>
      <c r="FZ685" s="9"/>
      <c r="GA685" s="9"/>
      <c r="GB685" s="9"/>
      <c r="GC685" s="9"/>
      <c r="GD685" s="9"/>
      <c r="GE685" s="9"/>
      <c r="GF685" s="9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  <c r="HE685" s="9"/>
      <c r="HF685" s="9"/>
      <c r="HG685" s="9"/>
      <c r="HH685" s="9"/>
      <c r="HI685" s="9"/>
      <c r="HJ685" s="9"/>
      <c r="HK685" s="9"/>
      <c r="HL685" s="9"/>
    </row>
    <row r="686" spans="1:220" s="99" customFormat="1">
      <c r="A686" s="109"/>
      <c r="C686" s="4"/>
      <c r="D686" s="110"/>
      <c r="F686" s="219"/>
      <c r="H686" s="110"/>
      <c r="AJ686" s="111"/>
      <c r="AK686" s="111"/>
      <c r="AY686" s="114"/>
      <c r="BA686" s="114"/>
      <c r="CQ686" s="113"/>
      <c r="CS686" s="116"/>
      <c r="CV686" s="9"/>
      <c r="CW686" s="9"/>
      <c r="CX686" s="9"/>
      <c r="CY686" s="9"/>
      <c r="CZ686" s="139"/>
      <c r="DA686" s="139"/>
      <c r="DB686" s="139"/>
      <c r="DC686" s="139"/>
      <c r="DD686" s="139"/>
      <c r="DE686" s="139"/>
      <c r="DF686" s="139"/>
      <c r="DG686" s="139"/>
      <c r="DH686" s="139"/>
      <c r="DI686" s="13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9"/>
      <c r="FS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  <c r="HE686" s="9"/>
      <c r="HF686" s="9"/>
      <c r="HG686" s="9"/>
      <c r="HH686" s="9"/>
      <c r="HI686" s="9"/>
      <c r="HJ686" s="9"/>
      <c r="HK686" s="9"/>
      <c r="HL686" s="9"/>
    </row>
    <row r="687" spans="1:220" s="99" customFormat="1">
      <c r="A687" s="109"/>
      <c r="C687" s="4"/>
      <c r="D687" s="110"/>
      <c r="F687" s="219"/>
      <c r="H687" s="110"/>
      <c r="AJ687" s="111"/>
      <c r="AK687" s="111"/>
      <c r="AY687" s="114"/>
      <c r="BA687" s="114"/>
      <c r="CQ687" s="113"/>
      <c r="CS687" s="116"/>
      <c r="CV687" s="9"/>
      <c r="CW687" s="9"/>
      <c r="CX687" s="9"/>
      <c r="CY687" s="9"/>
      <c r="CZ687" s="139"/>
      <c r="DA687" s="139"/>
      <c r="DB687" s="139"/>
      <c r="DC687" s="139"/>
      <c r="DD687" s="139"/>
      <c r="DE687" s="139"/>
      <c r="DF687" s="139"/>
      <c r="DG687" s="139"/>
      <c r="DH687" s="139"/>
      <c r="DI687" s="13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E687" s="9"/>
      <c r="FF687" s="9"/>
      <c r="FG687" s="9"/>
      <c r="FH687" s="9"/>
      <c r="FI687" s="9"/>
      <c r="FJ687" s="9"/>
      <c r="FK687" s="9"/>
      <c r="FL687" s="9"/>
      <c r="FM687" s="9"/>
      <c r="FN687" s="9"/>
      <c r="FO687" s="9"/>
      <c r="FP687" s="9"/>
      <c r="FQ687" s="9"/>
      <c r="FR687" s="9"/>
      <c r="FS687" s="9"/>
      <c r="FT687" s="9"/>
      <c r="FU687" s="9"/>
      <c r="FV687" s="9"/>
      <c r="FW687" s="9"/>
      <c r="FX687" s="9"/>
      <c r="FY687" s="9"/>
      <c r="FZ687" s="9"/>
      <c r="GA687" s="9"/>
      <c r="GB687" s="9"/>
      <c r="GC687" s="9"/>
      <c r="GD687" s="9"/>
      <c r="GE687" s="9"/>
      <c r="GF687" s="9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  <c r="HE687" s="9"/>
      <c r="HF687" s="9"/>
      <c r="HG687" s="9"/>
      <c r="HH687" s="9"/>
      <c r="HI687" s="9"/>
      <c r="HJ687" s="9"/>
      <c r="HK687" s="9"/>
      <c r="HL687" s="9"/>
    </row>
    <row r="688" spans="1:220" s="99" customFormat="1">
      <c r="A688" s="109"/>
      <c r="C688" s="4"/>
      <c r="D688" s="110"/>
      <c r="F688" s="219"/>
      <c r="H688" s="110"/>
      <c r="AJ688" s="111"/>
      <c r="AK688" s="111"/>
      <c r="AY688" s="114"/>
      <c r="BA688" s="114"/>
      <c r="CQ688" s="113"/>
      <c r="CS688" s="116"/>
      <c r="CV688" s="9"/>
      <c r="CW688" s="9"/>
      <c r="CX688" s="9"/>
      <c r="CY688" s="9"/>
      <c r="CZ688" s="139"/>
      <c r="DA688" s="139"/>
      <c r="DB688" s="139"/>
      <c r="DC688" s="139"/>
      <c r="DD688" s="139"/>
      <c r="DE688" s="139"/>
      <c r="DF688" s="139"/>
      <c r="DG688" s="139"/>
      <c r="DH688" s="139"/>
      <c r="DI688" s="13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  <c r="FI688" s="9"/>
      <c r="FJ688" s="9"/>
      <c r="FK688" s="9"/>
      <c r="FL688" s="9"/>
      <c r="FM688" s="9"/>
      <c r="FN688" s="9"/>
      <c r="FO688" s="9"/>
      <c r="FP688" s="9"/>
      <c r="FQ688" s="9"/>
      <c r="FR688" s="9"/>
      <c r="FS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  <c r="HE688" s="9"/>
      <c r="HF688" s="9"/>
      <c r="HG688" s="9"/>
      <c r="HH688" s="9"/>
      <c r="HI688" s="9"/>
      <c r="HJ688" s="9"/>
      <c r="HK688" s="9"/>
      <c r="HL688" s="9"/>
    </row>
    <row r="689" spans="1:220" s="99" customFormat="1">
      <c r="A689" s="109"/>
      <c r="C689" s="4"/>
      <c r="D689" s="110"/>
      <c r="F689" s="219"/>
      <c r="H689" s="110"/>
      <c r="AJ689" s="111"/>
      <c r="AK689" s="111"/>
      <c r="AY689" s="114"/>
      <c r="BA689" s="114"/>
      <c r="CQ689" s="113"/>
      <c r="CS689" s="116"/>
      <c r="CV689" s="9"/>
      <c r="CW689" s="9"/>
      <c r="CX689" s="9"/>
      <c r="CY689" s="9"/>
      <c r="CZ689" s="139"/>
      <c r="DA689" s="139"/>
      <c r="DB689" s="139"/>
      <c r="DC689" s="139"/>
      <c r="DD689" s="139"/>
      <c r="DE689" s="139"/>
      <c r="DF689" s="139"/>
      <c r="DG689" s="139"/>
      <c r="DH689" s="139"/>
      <c r="DI689" s="13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E689" s="9"/>
      <c r="FF689" s="9"/>
      <c r="FG689" s="9"/>
      <c r="FH689" s="9"/>
      <c r="FI689" s="9"/>
      <c r="FJ689" s="9"/>
      <c r="FK689" s="9"/>
      <c r="FL689" s="9"/>
      <c r="FM689" s="9"/>
      <c r="FN689" s="9"/>
      <c r="FO689" s="9"/>
      <c r="FP689" s="9"/>
      <c r="FQ689" s="9"/>
      <c r="FR689" s="9"/>
      <c r="FS689" s="9"/>
      <c r="FT689" s="9"/>
      <c r="FU689" s="9"/>
      <c r="FV689" s="9"/>
      <c r="FW689" s="9"/>
      <c r="FX689" s="9"/>
      <c r="FY689" s="9"/>
      <c r="FZ689" s="9"/>
      <c r="GA689" s="9"/>
      <c r="GB689" s="9"/>
      <c r="GC689" s="9"/>
      <c r="GD689" s="9"/>
      <c r="GE689" s="9"/>
      <c r="GF689" s="9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  <c r="HE689" s="9"/>
      <c r="HF689" s="9"/>
      <c r="HG689" s="9"/>
      <c r="HH689" s="9"/>
      <c r="HI689" s="9"/>
      <c r="HJ689" s="9"/>
      <c r="HK689" s="9"/>
      <c r="HL689" s="9"/>
    </row>
    <row r="690" spans="1:220" s="99" customFormat="1">
      <c r="A690" s="109"/>
      <c r="C690" s="4"/>
      <c r="D690" s="110"/>
      <c r="F690" s="219"/>
      <c r="H690" s="110"/>
      <c r="AJ690" s="111"/>
      <c r="AK690" s="111"/>
      <c r="AY690" s="114"/>
      <c r="BA690" s="114"/>
      <c r="CQ690" s="113"/>
      <c r="CS690" s="116"/>
      <c r="CV690" s="9"/>
      <c r="CW690" s="9"/>
      <c r="CX690" s="9"/>
      <c r="CY690" s="9"/>
      <c r="CZ690" s="139"/>
      <c r="DA690" s="139"/>
      <c r="DB690" s="139"/>
      <c r="DC690" s="139"/>
      <c r="DD690" s="139"/>
      <c r="DE690" s="139"/>
      <c r="DF690" s="139"/>
      <c r="DG690" s="139"/>
      <c r="DH690" s="139"/>
      <c r="DI690" s="13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  <c r="FI690" s="9"/>
      <c r="FJ690" s="9"/>
      <c r="FK690" s="9"/>
      <c r="FL690" s="9"/>
      <c r="FM690" s="9"/>
      <c r="FN690" s="9"/>
      <c r="FO690" s="9"/>
      <c r="FP690" s="9"/>
      <c r="FQ690" s="9"/>
      <c r="FR690" s="9"/>
      <c r="FS690" s="9"/>
      <c r="FT690" s="9"/>
      <c r="FU690" s="9"/>
      <c r="FV690" s="9"/>
      <c r="FW690" s="9"/>
      <c r="FX690" s="9"/>
      <c r="FY690" s="9"/>
      <c r="FZ690" s="9"/>
      <c r="GA690" s="9"/>
      <c r="GB690" s="9"/>
      <c r="GC690" s="9"/>
      <c r="GD690" s="9"/>
      <c r="GE690" s="9"/>
      <c r="GF690" s="9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  <c r="HE690" s="9"/>
      <c r="HF690" s="9"/>
      <c r="HG690" s="9"/>
      <c r="HH690" s="9"/>
      <c r="HI690" s="9"/>
      <c r="HJ690" s="9"/>
      <c r="HK690" s="9"/>
      <c r="HL690" s="9"/>
    </row>
    <row r="691" spans="1:220" s="99" customFormat="1">
      <c r="A691" s="109"/>
      <c r="C691" s="4"/>
      <c r="D691" s="110"/>
      <c r="F691" s="219"/>
      <c r="H691" s="110"/>
      <c r="AJ691" s="111"/>
      <c r="AK691" s="111"/>
      <c r="AY691" s="114"/>
      <c r="BA691" s="114"/>
      <c r="CQ691" s="113"/>
      <c r="CS691" s="116"/>
      <c r="CV691" s="9"/>
      <c r="CW691" s="9"/>
      <c r="CX691" s="9"/>
      <c r="CY691" s="9"/>
      <c r="CZ691" s="139"/>
      <c r="DA691" s="139"/>
      <c r="DB691" s="139"/>
      <c r="DC691" s="139"/>
      <c r="DD691" s="139"/>
      <c r="DE691" s="139"/>
      <c r="DF691" s="139"/>
      <c r="DG691" s="139"/>
      <c r="DH691" s="139"/>
      <c r="DI691" s="13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  <c r="FI691" s="9"/>
      <c r="FJ691" s="9"/>
      <c r="FK691" s="9"/>
      <c r="FL691" s="9"/>
      <c r="FM691" s="9"/>
      <c r="FN691" s="9"/>
      <c r="FO691" s="9"/>
      <c r="FP691" s="9"/>
      <c r="FQ691" s="9"/>
      <c r="FR691" s="9"/>
      <c r="FS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  <c r="HE691" s="9"/>
      <c r="HF691" s="9"/>
      <c r="HG691" s="9"/>
      <c r="HH691" s="9"/>
      <c r="HI691" s="9"/>
      <c r="HJ691" s="9"/>
      <c r="HK691" s="9"/>
      <c r="HL691" s="9"/>
    </row>
    <row r="692" spans="1:220" s="99" customFormat="1">
      <c r="A692" s="109"/>
      <c r="C692" s="4"/>
      <c r="D692" s="110"/>
      <c r="F692" s="219"/>
      <c r="H692" s="110"/>
      <c r="AJ692" s="111"/>
      <c r="AK692" s="111"/>
      <c r="AY692" s="114"/>
      <c r="BA692" s="114"/>
      <c r="CQ692" s="113"/>
      <c r="CS692" s="116"/>
      <c r="CV692" s="9"/>
      <c r="CW692" s="9"/>
      <c r="CX692" s="9"/>
      <c r="CY692" s="9"/>
      <c r="CZ692" s="139"/>
      <c r="DA692" s="139"/>
      <c r="DB692" s="139"/>
      <c r="DC692" s="139"/>
      <c r="DD692" s="139"/>
      <c r="DE692" s="139"/>
      <c r="DF692" s="139"/>
      <c r="DG692" s="139"/>
      <c r="DH692" s="139"/>
      <c r="DI692" s="13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  <c r="FI692" s="9"/>
      <c r="FJ692" s="9"/>
      <c r="FK692" s="9"/>
      <c r="FL692" s="9"/>
      <c r="FM692" s="9"/>
      <c r="FN692" s="9"/>
      <c r="FO692" s="9"/>
      <c r="FP692" s="9"/>
      <c r="FQ692" s="9"/>
      <c r="FR692" s="9"/>
      <c r="FS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  <c r="HE692" s="9"/>
      <c r="HF692" s="9"/>
      <c r="HG692" s="9"/>
      <c r="HH692" s="9"/>
      <c r="HI692" s="9"/>
      <c r="HJ692" s="9"/>
      <c r="HK692" s="9"/>
      <c r="HL692" s="9"/>
    </row>
    <row r="693" spans="1:220" s="99" customFormat="1">
      <c r="A693" s="109"/>
      <c r="C693" s="4"/>
      <c r="D693" s="110"/>
      <c r="F693" s="219"/>
      <c r="H693" s="110"/>
      <c r="AJ693" s="111"/>
      <c r="AK693" s="111"/>
      <c r="AY693" s="114"/>
      <c r="BA693" s="114"/>
      <c r="CQ693" s="113"/>
      <c r="CS693" s="116"/>
      <c r="CV693" s="9"/>
      <c r="CW693" s="9"/>
      <c r="CX693" s="9"/>
      <c r="CY693" s="9"/>
      <c r="CZ693" s="139"/>
      <c r="DA693" s="139"/>
      <c r="DB693" s="139"/>
      <c r="DC693" s="139"/>
      <c r="DD693" s="139"/>
      <c r="DE693" s="139"/>
      <c r="DF693" s="139"/>
      <c r="DG693" s="139"/>
      <c r="DH693" s="139"/>
      <c r="DI693" s="13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  <c r="FI693" s="9"/>
      <c r="FJ693" s="9"/>
      <c r="FK693" s="9"/>
      <c r="FL693" s="9"/>
      <c r="FM693" s="9"/>
      <c r="FN693" s="9"/>
      <c r="FO693" s="9"/>
      <c r="FP693" s="9"/>
      <c r="FQ693" s="9"/>
      <c r="FR693" s="9"/>
      <c r="FS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  <c r="HE693" s="9"/>
      <c r="HF693" s="9"/>
      <c r="HG693" s="9"/>
      <c r="HH693" s="9"/>
      <c r="HI693" s="9"/>
      <c r="HJ693" s="9"/>
      <c r="HK693" s="9"/>
      <c r="HL693" s="9"/>
    </row>
    <row r="694" spans="1:220" s="99" customFormat="1">
      <c r="A694" s="109"/>
      <c r="C694" s="4"/>
      <c r="D694" s="110"/>
      <c r="F694" s="219"/>
      <c r="H694" s="110"/>
      <c r="AJ694" s="111"/>
      <c r="AK694" s="111"/>
      <c r="AY694" s="114"/>
      <c r="BA694" s="114"/>
      <c r="CQ694" s="113"/>
      <c r="CS694" s="116"/>
      <c r="CV694" s="9"/>
      <c r="CW694" s="9"/>
      <c r="CX694" s="9"/>
      <c r="CY694" s="9"/>
      <c r="CZ694" s="139"/>
      <c r="DA694" s="139"/>
      <c r="DB694" s="139"/>
      <c r="DC694" s="139"/>
      <c r="DD694" s="139"/>
      <c r="DE694" s="139"/>
      <c r="DF694" s="139"/>
      <c r="DG694" s="139"/>
      <c r="DH694" s="139"/>
      <c r="DI694" s="13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  <c r="FI694" s="9"/>
      <c r="FJ694" s="9"/>
      <c r="FK694" s="9"/>
      <c r="FL694" s="9"/>
      <c r="FM694" s="9"/>
      <c r="FN694" s="9"/>
      <c r="FO694" s="9"/>
      <c r="FP694" s="9"/>
      <c r="FQ694" s="9"/>
      <c r="FR694" s="9"/>
      <c r="FS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  <c r="HE694" s="9"/>
      <c r="HF694" s="9"/>
      <c r="HG694" s="9"/>
      <c r="HH694" s="9"/>
      <c r="HI694" s="9"/>
      <c r="HJ694" s="9"/>
      <c r="HK694" s="9"/>
      <c r="HL694" s="9"/>
    </row>
    <row r="695" spans="1:220" s="99" customFormat="1">
      <c r="A695" s="109"/>
      <c r="C695" s="4"/>
      <c r="D695" s="110"/>
      <c r="F695" s="219"/>
      <c r="H695" s="110"/>
      <c r="AJ695" s="111"/>
      <c r="AK695" s="111"/>
      <c r="AY695" s="114"/>
      <c r="BA695" s="114"/>
      <c r="CQ695" s="113"/>
      <c r="CS695" s="116"/>
      <c r="CV695" s="9"/>
      <c r="CW695" s="9"/>
      <c r="CX695" s="9"/>
      <c r="CY695" s="9"/>
      <c r="CZ695" s="139"/>
      <c r="DA695" s="139"/>
      <c r="DB695" s="139"/>
      <c r="DC695" s="139"/>
      <c r="DD695" s="139"/>
      <c r="DE695" s="139"/>
      <c r="DF695" s="139"/>
      <c r="DG695" s="139"/>
      <c r="DH695" s="139"/>
      <c r="DI695" s="13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  <c r="HJ695" s="9"/>
      <c r="HK695" s="9"/>
      <c r="HL695" s="9"/>
    </row>
    <row r="696" spans="1:220" s="99" customFormat="1">
      <c r="A696" s="109"/>
      <c r="C696" s="4"/>
      <c r="D696" s="110"/>
      <c r="F696" s="219"/>
      <c r="H696" s="110"/>
      <c r="AJ696" s="111"/>
      <c r="AK696" s="111"/>
      <c r="AY696" s="114"/>
      <c r="BA696" s="114"/>
      <c r="CQ696" s="113"/>
      <c r="CS696" s="116"/>
      <c r="CV696" s="9"/>
      <c r="CW696" s="9"/>
      <c r="CX696" s="9"/>
      <c r="CY696" s="9"/>
      <c r="CZ696" s="139"/>
      <c r="DA696" s="139"/>
      <c r="DB696" s="139"/>
      <c r="DC696" s="139"/>
      <c r="DD696" s="139"/>
      <c r="DE696" s="139"/>
      <c r="DF696" s="139"/>
      <c r="DG696" s="139"/>
      <c r="DH696" s="139"/>
      <c r="DI696" s="13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  <c r="FI696" s="9"/>
      <c r="FJ696" s="9"/>
      <c r="FK696" s="9"/>
      <c r="FL696" s="9"/>
      <c r="FM696" s="9"/>
      <c r="FN696" s="9"/>
      <c r="FO696" s="9"/>
      <c r="FP696" s="9"/>
      <c r="FQ696" s="9"/>
      <c r="FR696" s="9"/>
      <c r="FS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  <c r="HE696" s="9"/>
      <c r="HF696" s="9"/>
      <c r="HG696" s="9"/>
      <c r="HH696" s="9"/>
      <c r="HI696" s="9"/>
      <c r="HJ696" s="9"/>
      <c r="HK696" s="9"/>
      <c r="HL696" s="9"/>
    </row>
    <row r="697" spans="1:220" s="99" customFormat="1">
      <c r="A697" s="109"/>
      <c r="C697" s="4"/>
      <c r="D697" s="110"/>
      <c r="F697" s="219"/>
      <c r="H697" s="110"/>
      <c r="AJ697" s="111"/>
      <c r="AK697" s="111"/>
      <c r="AY697" s="114"/>
      <c r="BA697" s="114"/>
      <c r="CQ697" s="113"/>
      <c r="CS697" s="116"/>
      <c r="CV697" s="9"/>
      <c r="CW697" s="9"/>
      <c r="CX697" s="9"/>
      <c r="CY697" s="9"/>
      <c r="CZ697" s="139"/>
      <c r="DA697" s="139"/>
      <c r="DB697" s="139"/>
      <c r="DC697" s="139"/>
      <c r="DD697" s="139"/>
      <c r="DE697" s="139"/>
      <c r="DF697" s="139"/>
      <c r="DG697" s="139"/>
      <c r="DH697" s="139"/>
      <c r="DI697" s="13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  <c r="FI697" s="9"/>
      <c r="FJ697" s="9"/>
      <c r="FK697" s="9"/>
      <c r="FL697" s="9"/>
      <c r="FM697" s="9"/>
      <c r="FN697" s="9"/>
      <c r="FO697" s="9"/>
      <c r="FP697" s="9"/>
      <c r="FQ697" s="9"/>
      <c r="FR697" s="9"/>
      <c r="FS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  <c r="HE697" s="9"/>
      <c r="HF697" s="9"/>
      <c r="HG697" s="9"/>
      <c r="HH697" s="9"/>
      <c r="HI697" s="9"/>
      <c r="HJ697" s="9"/>
      <c r="HK697" s="9"/>
      <c r="HL697" s="9"/>
    </row>
    <row r="698" spans="1:220" s="99" customFormat="1">
      <c r="A698" s="109"/>
      <c r="C698" s="4"/>
      <c r="D698" s="110"/>
      <c r="F698" s="219"/>
      <c r="H698" s="110"/>
      <c r="AJ698" s="111"/>
      <c r="AK698" s="111"/>
      <c r="AY698" s="114"/>
      <c r="BA698" s="114"/>
      <c r="CQ698" s="113"/>
      <c r="CS698" s="116"/>
      <c r="CV698" s="9"/>
      <c r="CW698" s="9"/>
      <c r="CX698" s="9"/>
      <c r="CY698" s="9"/>
      <c r="CZ698" s="139"/>
      <c r="DA698" s="139"/>
      <c r="DB698" s="139"/>
      <c r="DC698" s="139"/>
      <c r="DD698" s="139"/>
      <c r="DE698" s="139"/>
      <c r="DF698" s="139"/>
      <c r="DG698" s="139"/>
      <c r="DH698" s="139"/>
      <c r="DI698" s="13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</row>
    <row r="699" spans="1:220" s="99" customFormat="1">
      <c r="A699" s="109"/>
      <c r="C699" s="4"/>
      <c r="D699" s="110"/>
      <c r="F699" s="219"/>
      <c r="H699" s="110"/>
      <c r="AJ699" s="111"/>
      <c r="AK699" s="111"/>
      <c r="AY699" s="114"/>
      <c r="BA699" s="114"/>
      <c r="CQ699" s="113"/>
      <c r="CS699" s="116"/>
      <c r="CV699" s="9"/>
      <c r="CW699" s="9"/>
      <c r="CX699" s="9"/>
      <c r="CY699" s="9"/>
      <c r="CZ699" s="139"/>
      <c r="DA699" s="139"/>
      <c r="DB699" s="139"/>
      <c r="DC699" s="139"/>
      <c r="DD699" s="139"/>
      <c r="DE699" s="139"/>
      <c r="DF699" s="139"/>
      <c r="DG699" s="139"/>
      <c r="DH699" s="139"/>
      <c r="DI699" s="13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  <c r="FI699" s="9"/>
      <c r="FJ699" s="9"/>
      <c r="FK699" s="9"/>
      <c r="FL699" s="9"/>
      <c r="FM699" s="9"/>
      <c r="FN699" s="9"/>
      <c r="FO699" s="9"/>
      <c r="FP699" s="9"/>
      <c r="FQ699" s="9"/>
      <c r="FR699" s="9"/>
      <c r="FS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  <c r="HE699" s="9"/>
      <c r="HF699" s="9"/>
      <c r="HG699" s="9"/>
      <c r="HH699" s="9"/>
      <c r="HI699" s="9"/>
      <c r="HJ699" s="9"/>
      <c r="HK699" s="9"/>
      <c r="HL699" s="9"/>
    </row>
    <row r="700" spans="1:220" s="99" customFormat="1">
      <c r="A700" s="109"/>
      <c r="C700" s="4"/>
      <c r="D700" s="110"/>
      <c r="F700" s="219"/>
      <c r="H700" s="110"/>
      <c r="AJ700" s="111"/>
      <c r="AK700" s="111"/>
      <c r="AY700" s="114"/>
      <c r="BA700" s="114"/>
      <c r="CQ700" s="113"/>
      <c r="CS700" s="116"/>
      <c r="CV700" s="9"/>
      <c r="CW700" s="9"/>
      <c r="CX700" s="9"/>
      <c r="CY700" s="9"/>
      <c r="CZ700" s="139"/>
      <c r="DA700" s="139"/>
      <c r="DB700" s="139"/>
      <c r="DC700" s="139"/>
      <c r="DD700" s="139"/>
      <c r="DE700" s="139"/>
      <c r="DF700" s="139"/>
      <c r="DG700" s="139"/>
      <c r="DH700" s="139"/>
      <c r="DI700" s="13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9"/>
      <c r="FS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  <c r="HE700" s="9"/>
      <c r="HF700" s="9"/>
      <c r="HG700" s="9"/>
      <c r="HH700" s="9"/>
      <c r="HI700" s="9"/>
      <c r="HJ700" s="9"/>
      <c r="HK700" s="9"/>
      <c r="HL700" s="9"/>
    </row>
    <row r="701" spans="1:220" s="99" customFormat="1">
      <c r="A701" s="109"/>
      <c r="C701" s="4"/>
      <c r="D701" s="110"/>
      <c r="F701" s="219"/>
      <c r="H701" s="110"/>
      <c r="AJ701" s="111"/>
      <c r="AK701" s="111"/>
      <c r="AY701" s="114"/>
      <c r="BA701" s="114"/>
      <c r="CQ701" s="113"/>
      <c r="CS701" s="116"/>
      <c r="CV701" s="9"/>
      <c r="CW701" s="9"/>
      <c r="CX701" s="9"/>
      <c r="CY701" s="9"/>
      <c r="CZ701" s="139"/>
      <c r="DA701" s="139"/>
      <c r="DB701" s="139"/>
      <c r="DC701" s="139"/>
      <c r="DD701" s="139"/>
      <c r="DE701" s="139"/>
      <c r="DF701" s="139"/>
      <c r="DG701" s="139"/>
      <c r="DH701" s="139"/>
      <c r="DI701" s="13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E701" s="9"/>
      <c r="FF701" s="9"/>
      <c r="FG701" s="9"/>
      <c r="FH701" s="9"/>
      <c r="FI701" s="9"/>
      <c r="FJ701" s="9"/>
      <c r="FK701" s="9"/>
      <c r="FL701" s="9"/>
      <c r="FM701" s="9"/>
      <c r="FN701" s="9"/>
      <c r="FO701" s="9"/>
      <c r="FP701" s="9"/>
      <c r="FQ701" s="9"/>
      <c r="FR701" s="9"/>
      <c r="FS701" s="9"/>
      <c r="FT701" s="9"/>
      <c r="FU701" s="9"/>
      <c r="FV701" s="9"/>
      <c r="FW701" s="9"/>
      <c r="FX701" s="9"/>
      <c r="FY701" s="9"/>
      <c r="FZ701" s="9"/>
      <c r="GA701" s="9"/>
      <c r="GB701" s="9"/>
      <c r="GC701" s="9"/>
      <c r="GD701" s="9"/>
      <c r="GE701" s="9"/>
      <c r="GF701" s="9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  <c r="HE701" s="9"/>
      <c r="HF701" s="9"/>
      <c r="HG701" s="9"/>
      <c r="HH701" s="9"/>
      <c r="HI701" s="9"/>
      <c r="HJ701" s="9"/>
      <c r="HK701" s="9"/>
      <c r="HL701" s="9"/>
    </row>
    <row r="702" spans="1:220" s="99" customFormat="1">
      <c r="A702" s="109"/>
      <c r="C702" s="4"/>
      <c r="D702" s="110"/>
      <c r="F702" s="219"/>
      <c r="H702" s="110"/>
      <c r="AJ702" s="111"/>
      <c r="AK702" s="111"/>
      <c r="AY702" s="114"/>
      <c r="BA702" s="114"/>
      <c r="CQ702" s="113"/>
      <c r="CS702" s="116"/>
      <c r="CV702" s="9"/>
      <c r="CW702" s="9"/>
      <c r="CX702" s="9"/>
      <c r="CY702" s="9"/>
      <c r="CZ702" s="139"/>
      <c r="DA702" s="139"/>
      <c r="DB702" s="139"/>
      <c r="DC702" s="139"/>
      <c r="DD702" s="139"/>
      <c r="DE702" s="139"/>
      <c r="DF702" s="139"/>
      <c r="DG702" s="139"/>
      <c r="DH702" s="139"/>
      <c r="DI702" s="13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  <c r="FI702" s="9"/>
      <c r="FJ702" s="9"/>
      <c r="FK702" s="9"/>
      <c r="FL702" s="9"/>
      <c r="FM702" s="9"/>
      <c r="FN702" s="9"/>
      <c r="FO702" s="9"/>
      <c r="FP702" s="9"/>
      <c r="FQ702" s="9"/>
      <c r="FR702" s="9"/>
      <c r="FS702" s="9"/>
      <c r="FT702" s="9"/>
      <c r="FU702" s="9"/>
      <c r="FV702" s="9"/>
      <c r="FW702" s="9"/>
      <c r="FX702" s="9"/>
      <c r="FY702" s="9"/>
      <c r="FZ702" s="9"/>
      <c r="GA702" s="9"/>
      <c r="GB702" s="9"/>
      <c r="GC702" s="9"/>
      <c r="GD702" s="9"/>
      <c r="GE702" s="9"/>
      <c r="GF702" s="9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  <c r="HE702" s="9"/>
      <c r="HF702" s="9"/>
      <c r="HG702" s="9"/>
      <c r="HH702" s="9"/>
      <c r="HI702" s="9"/>
      <c r="HJ702" s="9"/>
      <c r="HK702" s="9"/>
      <c r="HL702" s="9"/>
    </row>
    <row r="703" spans="1:220" s="99" customFormat="1">
      <c r="A703" s="109"/>
      <c r="C703" s="4"/>
      <c r="D703" s="110"/>
      <c r="F703" s="219"/>
      <c r="H703" s="110"/>
      <c r="AJ703" s="111"/>
      <c r="AK703" s="111"/>
      <c r="AY703" s="114"/>
      <c r="BA703" s="114"/>
      <c r="CQ703" s="113"/>
      <c r="CS703" s="116"/>
      <c r="CV703" s="9"/>
      <c r="CW703" s="9"/>
      <c r="CX703" s="9"/>
      <c r="CY703" s="9"/>
      <c r="CZ703" s="139"/>
      <c r="DA703" s="139"/>
      <c r="DB703" s="139"/>
      <c r="DC703" s="139"/>
      <c r="DD703" s="139"/>
      <c r="DE703" s="139"/>
      <c r="DF703" s="139"/>
      <c r="DG703" s="139"/>
      <c r="DH703" s="139"/>
      <c r="DI703" s="13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  <c r="FI703" s="9"/>
      <c r="FJ703" s="9"/>
      <c r="FK703" s="9"/>
      <c r="FL703" s="9"/>
      <c r="FM703" s="9"/>
      <c r="FN703" s="9"/>
      <c r="FO703" s="9"/>
      <c r="FP703" s="9"/>
      <c r="FQ703" s="9"/>
      <c r="FR703" s="9"/>
      <c r="FS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  <c r="HE703" s="9"/>
      <c r="HF703" s="9"/>
      <c r="HG703" s="9"/>
      <c r="HH703" s="9"/>
      <c r="HI703" s="9"/>
      <c r="HJ703" s="9"/>
      <c r="HK703" s="9"/>
      <c r="HL703" s="9"/>
    </row>
    <row r="704" spans="1:220" s="99" customFormat="1">
      <c r="A704" s="109"/>
      <c r="C704" s="4"/>
      <c r="D704" s="110"/>
      <c r="F704" s="219"/>
      <c r="H704" s="110"/>
      <c r="AJ704" s="111"/>
      <c r="AK704" s="111"/>
      <c r="AY704" s="114"/>
      <c r="BA704" s="114"/>
      <c r="CQ704" s="113"/>
      <c r="CS704" s="116"/>
      <c r="CV704" s="9"/>
      <c r="CW704" s="9"/>
      <c r="CX704" s="9"/>
      <c r="CY704" s="9"/>
      <c r="CZ704" s="139"/>
      <c r="DA704" s="139"/>
      <c r="DB704" s="139"/>
      <c r="DC704" s="139"/>
      <c r="DD704" s="139"/>
      <c r="DE704" s="139"/>
      <c r="DF704" s="139"/>
      <c r="DG704" s="139"/>
      <c r="DH704" s="139"/>
      <c r="DI704" s="13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  <c r="HJ704" s="9"/>
      <c r="HK704" s="9"/>
      <c r="HL704" s="9"/>
    </row>
    <row r="705" spans="1:220" s="99" customFormat="1">
      <c r="A705" s="109"/>
      <c r="C705" s="4"/>
      <c r="D705" s="110"/>
      <c r="F705" s="219"/>
      <c r="H705" s="110"/>
      <c r="AJ705" s="111"/>
      <c r="AK705" s="111"/>
      <c r="AY705" s="114"/>
      <c r="BA705" s="114"/>
      <c r="CQ705" s="113"/>
      <c r="CS705" s="116"/>
      <c r="CV705" s="9"/>
      <c r="CW705" s="9"/>
      <c r="CX705" s="9"/>
      <c r="CY705" s="9"/>
      <c r="CZ705" s="139"/>
      <c r="DA705" s="139"/>
      <c r="DB705" s="139"/>
      <c r="DC705" s="139"/>
      <c r="DD705" s="139"/>
      <c r="DE705" s="139"/>
      <c r="DF705" s="139"/>
      <c r="DG705" s="139"/>
      <c r="DH705" s="139"/>
      <c r="DI705" s="13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E705" s="9"/>
      <c r="FF705" s="9"/>
      <c r="FG705" s="9"/>
      <c r="FH705" s="9"/>
      <c r="FI705" s="9"/>
      <c r="FJ705" s="9"/>
      <c r="FK705" s="9"/>
      <c r="FL705" s="9"/>
      <c r="FM705" s="9"/>
      <c r="FN705" s="9"/>
      <c r="FO705" s="9"/>
      <c r="FP705" s="9"/>
      <c r="FQ705" s="9"/>
      <c r="FR705" s="9"/>
      <c r="FS705" s="9"/>
      <c r="FT705" s="9"/>
      <c r="FU705" s="9"/>
      <c r="FV705" s="9"/>
      <c r="FW705" s="9"/>
      <c r="FX705" s="9"/>
      <c r="FY705" s="9"/>
      <c r="FZ705" s="9"/>
      <c r="GA705" s="9"/>
      <c r="GB705" s="9"/>
      <c r="GC705" s="9"/>
      <c r="GD705" s="9"/>
      <c r="GE705" s="9"/>
      <c r="GF705" s="9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  <c r="HE705" s="9"/>
      <c r="HF705" s="9"/>
      <c r="HG705" s="9"/>
      <c r="HH705" s="9"/>
      <c r="HI705" s="9"/>
      <c r="HJ705" s="9"/>
      <c r="HK705" s="9"/>
      <c r="HL705" s="9"/>
    </row>
    <row r="706" spans="1:220" s="99" customFormat="1">
      <c r="A706" s="109"/>
      <c r="C706" s="4"/>
      <c r="D706" s="110"/>
      <c r="F706" s="219"/>
      <c r="H706" s="110"/>
      <c r="AJ706" s="111"/>
      <c r="AK706" s="111"/>
      <c r="AY706" s="114"/>
      <c r="BA706" s="114"/>
      <c r="CQ706" s="113"/>
      <c r="CS706" s="116"/>
      <c r="CV706" s="9"/>
      <c r="CW706" s="9"/>
      <c r="CX706" s="9"/>
      <c r="CY706" s="9"/>
      <c r="CZ706" s="139"/>
      <c r="DA706" s="139"/>
      <c r="DB706" s="139"/>
      <c r="DC706" s="139"/>
      <c r="DD706" s="139"/>
      <c r="DE706" s="139"/>
      <c r="DF706" s="139"/>
      <c r="DG706" s="139"/>
      <c r="DH706" s="139"/>
      <c r="DI706" s="13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  <c r="FI706" s="9"/>
      <c r="FJ706" s="9"/>
      <c r="FK706" s="9"/>
      <c r="FL706" s="9"/>
      <c r="FM706" s="9"/>
      <c r="FN706" s="9"/>
      <c r="FO706" s="9"/>
      <c r="FP706" s="9"/>
      <c r="FQ706" s="9"/>
      <c r="FR706" s="9"/>
      <c r="FS706" s="9"/>
      <c r="FT706" s="9"/>
      <c r="FU706" s="9"/>
      <c r="FV706" s="9"/>
      <c r="FW706" s="9"/>
      <c r="FX706" s="9"/>
      <c r="FY706" s="9"/>
      <c r="FZ706" s="9"/>
      <c r="GA706" s="9"/>
      <c r="GB706" s="9"/>
      <c r="GC706" s="9"/>
      <c r="GD706" s="9"/>
      <c r="GE706" s="9"/>
      <c r="GF706" s="9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  <c r="HE706" s="9"/>
      <c r="HF706" s="9"/>
      <c r="HG706" s="9"/>
      <c r="HH706" s="9"/>
      <c r="HI706" s="9"/>
      <c r="HJ706" s="9"/>
      <c r="HK706" s="9"/>
      <c r="HL706" s="9"/>
    </row>
    <row r="707" spans="1:220" s="99" customFormat="1">
      <c r="A707" s="109"/>
      <c r="C707" s="4"/>
      <c r="D707" s="110"/>
      <c r="F707" s="219"/>
      <c r="H707" s="110"/>
      <c r="AJ707" s="111"/>
      <c r="AK707" s="111"/>
      <c r="AY707" s="114"/>
      <c r="BA707" s="114"/>
      <c r="CQ707" s="113"/>
      <c r="CS707" s="116"/>
      <c r="CV707" s="9"/>
      <c r="CW707" s="9"/>
      <c r="CX707" s="9"/>
      <c r="CY707" s="9"/>
      <c r="CZ707" s="139"/>
      <c r="DA707" s="139"/>
      <c r="DB707" s="139"/>
      <c r="DC707" s="139"/>
      <c r="DD707" s="139"/>
      <c r="DE707" s="139"/>
      <c r="DF707" s="139"/>
      <c r="DG707" s="139"/>
      <c r="DH707" s="139"/>
      <c r="DI707" s="13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  <c r="FI707" s="9"/>
      <c r="FJ707" s="9"/>
      <c r="FK707" s="9"/>
      <c r="FL707" s="9"/>
      <c r="FM707" s="9"/>
      <c r="FN707" s="9"/>
      <c r="FO707" s="9"/>
      <c r="FP707" s="9"/>
      <c r="FQ707" s="9"/>
      <c r="FR707" s="9"/>
      <c r="FS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  <c r="HE707" s="9"/>
      <c r="HF707" s="9"/>
      <c r="HG707" s="9"/>
      <c r="HH707" s="9"/>
      <c r="HI707" s="9"/>
      <c r="HJ707" s="9"/>
      <c r="HK707" s="9"/>
      <c r="HL707" s="9"/>
    </row>
    <row r="708" spans="1:220" s="99" customFormat="1">
      <c r="A708" s="109"/>
      <c r="D708" s="110"/>
      <c r="F708" s="219"/>
      <c r="H708" s="110"/>
      <c r="AJ708" s="111"/>
      <c r="AK708" s="111"/>
      <c r="AY708" s="114"/>
      <c r="BA708" s="114"/>
      <c r="CQ708" s="113"/>
      <c r="CS708" s="116"/>
      <c r="CV708" s="9"/>
      <c r="CW708" s="9"/>
      <c r="CX708" s="9"/>
      <c r="CY708" s="9"/>
      <c r="CZ708" s="139"/>
      <c r="DA708" s="139"/>
      <c r="DB708" s="139"/>
      <c r="DC708" s="139"/>
      <c r="DD708" s="139"/>
      <c r="DE708" s="139"/>
      <c r="DF708" s="139"/>
      <c r="DG708" s="139"/>
      <c r="DH708" s="139"/>
      <c r="DI708" s="13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  <c r="FI708" s="9"/>
      <c r="FJ708" s="9"/>
      <c r="FK708" s="9"/>
      <c r="FL708" s="9"/>
      <c r="FM708" s="9"/>
      <c r="FN708" s="9"/>
      <c r="FO708" s="9"/>
      <c r="FP708" s="9"/>
      <c r="FQ708" s="9"/>
      <c r="FR708" s="9"/>
      <c r="FS708" s="9"/>
      <c r="FT708" s="9"/>
      <c r="FU708" s="9"/>
      <c r="FV708" s="9"/>
      <c r="FW708" s="9"/>
      <c r="FX708" s="9"/>
      <c r="FY708" s="9"/>
      <c r="FZ708" s="9"/>
      <c r="GA708" s="9"/>
      <c r="GB708" s="9"/>
      <c r="GC708" s="9"/>
      <c r="GD708" s="9"/>
      <c r="GE708" s="9"/>
      <c r="GF708" s="9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  <c r="HE708" s="9"/>
      <c r="HF708" s="9"/>
      <c r="HG708" s="9"/>
      <c r="HH708" s="9"/>
      <c r="HI708" s="9"/>
      <c r="HJ708" s="9"/>
      <c r="HK708" s="9"/>
      <c r="HL708" s="9"/>
    </row>
    <row r="709" spans="1:220" s="99" customFormat="1">
      <c r="A709" s="109"/>
      <c r="D709" s="110"/>
      <c r="F709" s="219"/>
      <c r="H709" s="110"/>
      <c r="AJ709" s="111"/>
      <c r="AK709" s="111"/>
      <c r="AY709" s="114"/>
      <c r="BA709" s="114"/>
      <c r="CQ709" s="113"/>
      <c r="CS709" s="116"/>
      <c r="CV709" s="9"/>
      <c r="CW709" s="9"/>
      <c r="CX709" s="9"/>
      <c r="CY709" s="9"/>
      <c r="CZ709" s="139"/>
      <c r="DA709" s="139"/>
      <c r="DB709" s="139"/>
      <c r="DC709" s="139"/>
      <c r="DD709" s="139"/>
      <c r="DE709" s="139"/>
      <c r="DF709" s="139"/>
      <c r="DG709" s="139"/>
      <c r="DH709" s="139"/>
      <c r="DI709" s="13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E709" s="9"/>
      <c r="FF709" s="9"/>
      <c r="FG709" s="9"/>
      <c r="FH709" s="9"/>
      <c r="FI709" s="9"/>
      <c r="FJ709" s="9"/>
      <c r="FK709" s="9"/>
      <c r="FL709" s="9"/>
      <c r="FM709" s="9"/>
      <c r="FN709" s="9"/>
      <c r="FO709" s="9"/>
      <c r="FP709" s="9"/>
      <c r="FQ709" s="9"/>
      <c r="FR709" s="9"/>
      <c r="FS709" s="9"/>
      <c r="FT709" s="9"/>
      <c r="FU709" s="9"/>
      <c r="FV709" s="9"/>
      <c r="FW709" s="9"/>
      <c r="FX709" s="9"/>
      <c r="FY709" s="9"/>
      <c r="FZ709" s="9"/>
      <c r="GA709" s="9"/>
      <c r="GB709" s="9"/>
      <c r="GC709" s="9"/>
      <c r="GD709" s="9"/>
      <c r="GE709" s="9"/>
      <c r="GF709" s="9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  <c r="HE709" s="9"/>
      <c r="HF709" s="9"/>
      <c r="HG709" s="9"/>
      <c r="HH709" s="9"/>
      <c r="HI709" s="9"/>
      <c r="HJ709" s="9"/>
      <c r="HK709" s="9"/>
      <c r="HL709" s="9"/>
    </row>
    <row r="710" spans="1:220" s="99" customFormat="1">
      <c r="A710" s="109"/>
      <c r="D710" s="110"/>
      <c r="F710" s="219"/>
      <c r="H710" s="110"/>
      <c r="AJ710" s="111"/>
      <c r="AK710" s="111"/>
      <c r="AY710" s="114"/>
      <c r="BA710" s="114"/>
      <c r="CQ710" s="113"/>
      <c r="CS710" s="116"/>
      <c r="CV710" s="9"/>
      <c r="CW710" s="9"/>
      <c r="CX710" s="9"/>
      <c r="CY710" s="9"/>
      <c r="CZ710" s="139"/>
      <c r="DA710" s="139"/>
      <c r="DB710" s="139"/>
      <c r="DC710" s="139"/>
      <c r="DD710" s="139"/>
      <c r="DE710" s="139"/>
      <c r="DF710" s="139"/>
      <c r="DG710" s="139"/>
      <c r="DH710" s="139"/>
      <c r="DI710" s="13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  <c r="FI710" s="9"/>
      <c r="FJ710" s="9"/>
      <c r="FK710" s="9"/>
      <c r="FL710" s="9"/>
      <c r="FM710" s="9"/>
      <c r="FN710" s="9"/>
      <c r="FO710" s="9"/>
      <c r="FP710" s="9"/>
      <c r="FQ710" s="9"/>
      <c r="FR710" s="9"/>
      <c r="FS710" s="9"/>
      <c r="FT710" s="9"/>
      <c r="FU710" s="9"/>
      <c r="FV710" s="9"/>
      <c r="FW710" s="9"/>
      <c r="FX710" s="9"/>
      <c r="FY710" s="9"/>
      <c r="FZ710" s="9"/>
      <c r="GA710" s="9"/>
      <c r="GB710" s="9"/>
      <c r="GC710" s="9"/>
      <c r="GD710" s="9"/>
      <c r="GE710" s="9"/>
      <c r="GF710" s="9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  <c r="HE710" s="9"/>
      <c r="HF710" s="9"/>
      <c r="HG710" s="9"/>
      <c r="HH710" s="9"/>
      <c r="HI710" s="9"/>
      <c r="HJ710" s="9"/>
      <c r="HK710" s="9"/>
      <c r="HL710" s="9"/>
    </row>
    <row r="711" spans="1:220" s="99" customFormat="1">
      <c r="A711" s="109"/>
      <c r="D711" s="110"/>
      <c r="F711" s="219"/>
      <c r="H711" s="110"/>
      <c r="AJ711" s="111"/>
      <c r="AK711" s="111"/>
      <c r="AY711" s="114"/>
      <c r="BA711" s="114"/>
      <c r="CQ711" s="113"/>
      <c r="CS711" s="116"/>
      <c r="CV711" s="9"/>
      <c r="CW711" s="9"/>
      <c r="CX711" s="9"/>
      <c r="CY711" s="9"/>
      <c r="CZ711" s="139"/>
      <c r="DA711" s="139"/>
      <c r="DB711" s="139"/>
      <c r="DC711" s="139"/>
      <c r="DD711" s="139"/>
      <c r="DE711" s="139"/>
      <c r="DF711" s="139"/>
      <c r="DG711" s="139"/>
      <c r="DH711" s="139"/>
      <c r="DI711" s="13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  <c r="FI711" s="9"/>
      <c r="FJ711" s="9"/>
      <c r="FK711" s="9"/>
      <c r="FL711" s="9"/>
      <c r="FM711" s="9"/>
      <c r="FN711" s="9"/>
      <c r="FO711" s="9"/>
      <c r="FP711" s="9"/>
      <c r="FQ711" s="9"/>
      <c r="FR711" s="9"/>
      <c r="FS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  <c r="HE711" s="9"/>
      <c r="HF711" s="9"/>
      <c r="HG711" s="9"/>
      <c r="HH711" s="9"/>
      <c r="HI711" s="9"/>
      <c r="HJ711" s="9"/>
      <c r="HK711" s="9"/>
      <c r="HL711" s="9"/>
    </row>
    <row r="712" spans="1:220" s="99" customFormat="1">
      <c r="A712" s="109"/>
      <c r="D712" s="110"/>
      <c r="F712" s="219"/>
      <c r="H712" s="110"/>
      <c r="AJ712" s="111"/>
      <c r="AK712" s="111"/>
      <c r="AY712" s="114"/>
      <c r="BA712" s="114"/>
      <c r="CQ712" s="113"/>
      <c r="CS712" s="116"/>
      <c r="CV712" s="9"/>
      <c r="CW712" s="9"/>
      <c r="CX712" s="9"/>
      <c r="CY712" s="9"/>
      <c r="CZ712" s="139"/>
      <c r="DA712" s="139"/>
      <c r="DB712" s="139"/>
      <c r="DC712" s="139"/>
      <c r="DD712" s="139"/>
      <c r="DE712" s="139"/>
      <c r="DF712" s="139"/>
      <c r="DG712" s="139"/>
      <c r="DH712" s="139"/>
      <c r="DI712" s="13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  <c r="FI712" s="9"/>
      <c r="FJ712" s="9"/>
      <c r="FK712" s="9"/>
      <c r="FL712" s="9"/>
      <c r="FM712" s="9"/>
      <c r="FN712" s="9"/>
      <c r="FO712" s="9"/>
      <c r="FP712" s="9"/>
      <c r="FQ712" s="9"/>
      <c r="FR712" s="9"/>
      <c r="FS712" s="9"/>
      <c r="FT712" s="9"/>
      <c r="FU712" s="9"/>
      <c r="FV712" s="9"/>
      <c r="FW712" s="9"/>
      <c r="FX712" s="9"/>
      <c r="FY712" s="9"/>
      <c r="FZ712" s="9"/>
      <c r="GA712" s="9"/>
      <c r="GB712" s="9"/>
      <c r="GC712" s="9"/>
      <c r="GD712" s="9"/>
      <c r="GE712" s="9"/>
      <c r="GF712" s="9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  <c r="HE712" s="9"/>
      <c r="HF712" s="9"/>
      <c r="HG712" s="9"/>
      <c r="HH712" s="9"/>
      <c r="HI712" s="9"/>
      <c r="HJ712" s="9"/>
      <c r="HK712" s="9"/>
      <c r="HL712" s="9"/>
    </row>
    <row r="713" spans="1:220" s="99" customFormat="1">
      <c r="A713" s="109"/>
      <c r="D713" s="110"/>
      <c r="F713" s="219"/>
      <c r="H713" s="110"/>
      <c r="AJ713" s="111"/>
      <c r="AK713" s="111"/>
      <c r="AY713" s="114"/>
      <c r="BA713" s="114"/>
      <c r="CQ713" s="113"/>
      <c r="CS713" s="116"/>
      <c r="CV713" s="9"/>
      <c r="CW713" s="9"/>
      <c r="CX713" s="9"/>
      <c r="CY713" s="9"/>
      <c r="CZ713" s="139"/>
      <c r="DA713" s="139"/>
      <c r="DB713" s="139"/>
      <c r="DC713" s="139"/>
      <c r="DD713" s="139"/>
      <c r="DE713" s="139"/>
      <c r="DF713" s="139"/>
      <c r="DG713" s="139"/>
      <c r="DH713" s="139"/>
      <c r="DI713" s="13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E713" s="9"/>
      <c r="FF713" s="9"/>
      <c r="FG713" s="9"/>
      <c r="FH713" s="9"/>
      <c r="FI713" s="9"/>
      <c r="FJ713" s="9"/>
      <c r="FK713" s="9"/>
      <c r="FL713" s="9"/>
      <c r="FM713" s="9"/>
      <c r="FN713" s="9"/>
      <c r="FO713" s="9"/>
      <c r="FP713" s="9"/>
      <c r="FQ713" s="9"/>
      <c r="FR713" s="9"/>
      <c r="FS713" s="9"/>
      <c r="FT713" s="9"/>
      <c r="FU713" s="9"/>
      <c r="FV713" s="9"/>
      <c r="FW713" s="9"/>
      <c r="FX713" s="9"/>
      <c r="FY713" s="9"/>
      <c r="FZ713" s="9"/>
      <c r="GA713" s="9"/>
      <c r="GB713" s="9"/>
      <c r="GC713" s="9"/>
      <c r="GD713" s="9"/>
      <c r="GE713" s="9"/>
      <c r="GF713" s="9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  <c r="HE713" s="9"/>
      <c r="HF713" s="9"/>
      <c r="HG713" s="9"/>
      <c r="HH713" s="9"/>
      <c r="HI713" s="9"/>
      <c r="HJ713" s="9"/>
      <c r="HK713" s="9"/>
      <c r="HL713" s="9"/>
    </row>
    <row r="714" spans="1:220" s="99" customFormat="1">
      <c r="A714" s="109"/>
      <c r="D714" s="110"/>
      <c r="F714" s="219"/>
      <c r="H714" s="110"/>
      <c r="AJ714" s="111"/>
      <c r="AK714" s="111"/>
      <c r="AY714" s="114"/>
      <c r="BA714" s="114"/>
      <c r="CQ714" s="113"/>
      <c r="CS714" s="116"/>
      <c r="CV714" s="9"/>
      <c r="CW714" s="9"/>
      <c r="CX714" s="9"/>
      <c r="CY714" s="9"/>
      <c r="CZ714" s="139"/>
      <c r="DA714" s="139"/>
      <c r="DB714" s="139"/>
      <c r="DC714" s="139"/>
      <c r="DD714" s="139"/>
      <c r="DE714" s="139"/>
      <c r="DF714" s="139"/>
      <c r="DG714" s="139"/>
      <c r="DH714" s="139"/>
      <c r="DI714" s="13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  <c r="FI714" s="9"/>
      <c r="FJ714" s="9"/>
      <c r="FK714" s="9"/>
      <c r="FL714" s="9"/>
      <c r="FM714" s="9"/>
      <c r="FN714" s="9"/>
      <c r="FO714" s="9"/>
      <c r="FP714" s="9"/>
      <c r="FQ714" s="9"/>
      <c r="FR714" s="9"/>
      <c r="FS714" s="9"/>
      <c r="FT714" s="9"/>
      <c r="FU714" s="9"/>
      <c r="FV714" s="9"/>
      <c r="FW714" s="9"/>
      <c r="FX714" s="9"/>
      <c r="FY714" s="9"/>
      <c r="FZ714" s="9"/>
      <c r="GA714" s="9"/>
      <c r="GB714" s="9"/>
      <c r="GC714" s="9"/>
      <c r="GD714" s="9"/>
      <c r="GE714" s="9"/>
      <c r="GF714" s="9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  <c r="HE714" s="9"/>
      <c r="HF714" s="9"/>
      <c r="HG714" s="9"/>
      <c r="HH714" s="9"/>
      <c r="HI714" s="9"/>
      <c r="HJ714" s="9"/>
      <c r="HK714" s="9"/>
      <c r="HL714" s="9"/>
    </row>
    <row r="715" spans="1:220" s="99" customFormat="1">
      <c r="A715" s="109"/>
      <c r="D715" s="110"/>
      <c r="F715" s="219"/>
      <c r="H715" s="110"/>
      <c r="AJ715" s="111"/>
      <c r="AK715" s="111"/>
      <c r="AY715" s="114"/>
      <c r="BA715" s="114"/>
      <c r="CQ715" s="113"/>
      <c r="CS715" s="116"/>
      <c r="CV715" s="9"/>
      <c r="CW715" s="9"/>
      <c r="CX715" s="9"/>
      <c r="CY715" s="9"/>
      <c r="CZ715" s="139"/>
      <c r="DA715" s="139"/>
      <c r="DB715" s="139"/>
      <c r="DC715" s="139"/>
      <c r="DD715" s="139"/>
      <c r="DE715" s="139"/>
      <c r="DF715" s="139"/>
      <c r="DG715" s="139"/>
      <c r="DH715" s="139"/>
      <c r="DI715" s="13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E715" s="9"/>
      <c r="FF715" s="9"/>
      <c r="FG715" s="9"/>
      <c r="FH715" s="9"/>
      <c r="FI715" s="9"/>
      <c r="FJ715" s="9"/>
      <c r="FK715" s="9"/>
      <c r="FL715" s="9"/>
      <c r="FM715" s="9"/>
      <c r="FN715" s="9"/>
      <c r="FO715" s="9"/>
      <c r="FP715" s="9"/>
      <c r="FQ715" s="9"/>
      <c r="FR715" s="9"/>
      <c r="FS715" s="9"/>
      <c r="FT715" s="9"/>
      <c r="FU715" s="9"/>
      <c r="FV715" s="9"/>
      <c r="FW715" s="9"/>
      <c r="FX715" s="9"/>
      <c r="FY715" s="9"/>
      <c r="FZ715" s="9"/>
      <c r="GA715" s="9"/>
      <c r="GB715" s="9"/>
      <c r="GC715" s="9"/>
      <c r="GD715" s="9"/>
      <c r="GE715" s="9"/>
      <c r="GF715" s="9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  <c r="HE715" s="9"/>
      <c r="HF715" s="9"/>
      <c r="HG715" s="9"/>
      <c r="HH715" s="9"/>
      <c r="HI715" s="9"/>
      <c r="HJ715" s="9"/>
      <c r="HK715" s="9"/>
      <c r="HL715" s="9"/>
    </row>
    <row r="716" spans="1:220" s="99" customFormat="1">
      <c r="A716" s="109"/>
      <c r="D716" s="110"/>
      <c r="F716" s="219"/>
      <c r="H716" s="110"/>
      <c r="AJ716" s="111"/>
      <c r="AK716" s="111"/>
      <c r="AY716" s="114"/>
      <c r="BA716" s="114"/>
      <c r="CQ716" s="113"/>
      <c r="CS716" s="116"/>
      <c r="CV716" s="9"/>
      <c r="CW716" s="9"/>
      <c r="CX716" s="9"/>
      <c r="CY716" s="9"/>
      <c r="CZ716" s="139"/>
      <c r="DA716" s="139"/>
      <c r="DB716" s="139"/>
      <c r="DC716" s="139"/>
      <c r="DD716" s="139"/>
      <c r="DE716" s="139"/>
      <c r="DF716" s="139"/>
      <c r="DG716" s="139"/>
      <c r="DH716" s="139"/>
      <c r="DI716" s="13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  <c r="FI716" s="9"/>
      <c r="FJ716" s="9"/>
      <c r="FK716" s="9"/>
      <c r="FL716" s="9"/>
      <c r="FM716" s="9"/>
      <c r="FN716" s="9"/>
      <c r="FO716" s="9"/>
      <c r="FP716" s="9"/>
      <c r="FQ716" s="9"/>
      <c r="FR716" s="9"/>
      <c r="FS716" s="9"/>
      <c r="FT716" s="9"/>
      <c r="FU716" s="9"/>
      <c r="FV716" s="9"/>
      <c r="FW716" s="9"/>
      <c r="FX716" s="9"/>
      <c r="FY716" s="9"/>
      <c r="FZ716" s="9"/>
      <c r="GA716" s="9"/>
      <c r="GB716" s="9"/>
      <c r="GC716" s="9"/>
      <c r="GD716" s="9"/>
      <c r="GE716" s="9"/>
      <c r="GF716" s="9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  <c r="HE716" s="9"/>
      <c r="HF716" s="9"/>
      <c r="HG716" s="9"/>
      <c r="HH716" s="9"/>
      <c r="HI716" s="9"/>
      <c r="HJ716" s="9"/>
      <c r="HK716" s="9"/>
      <c r="HL716" s="9"/>
    </row>
    <row r="717" spans="1:220" s="99" customFormat="1">
      <c r="A717" s="109"/>
      <c r="D717" s="110"/>
      <c r="F717" s="219"/>
      <c r="H717" s="110"/>
      <c r="AJ717" s="111"/>
      <c r="AK717" s="111"/>
      <c r="AY717" s="114"/>
      <c r="BA717" s="114"/>
      <c r="CQ717" s="113"/>
      <c r="CS717" s="116"/>
      <c r="CV717" s="9"/>
      <c r="CW717" s="9"/>
      <c r="CX717" s="9"/>
      <c r="CY717" s="9"/>
      <c r="CZ717" s="139"/>
      <c r="DA717" s="139"/>
      <c r="DB717" s="139"/>
      <c r="DC717" s="139"/>
      <c r="DD717" s="139"/>
      <c r="DE717" s="139"/>
      <c r="DF717" s="139"/>
      <c r="DG717" s="139"/>
      <c r="DH717" s="139"/>
      <c r="DI717" s="13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  <c r="FI717" s="9"/>
      <c r="FJ717" s="9"/>
      <c r="FK717" s="9"/>
      <c r="FL717" s="9"/>
      <c r="FM717" s="9"/>
      <c r="FN717" s="9"/>
      <c r="FO717" s="9"/>
      <c r="FP717" s="9"/>
      <c r="FQ717" s="9"/>
      <c r="FR717" s="9"/>
      <c r="FS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  <c r="HE717" s="9"/>
      <c r="HF717" s="9"/>
      <c r="HG717" s="9"/>
      <c r="HH717" s="9"/>
      <c r="HI717" s="9"/>
      <c r="HJ717" s="9"/>
      <c r="HK717" s="9"/>
      <c r="HL717" s="9"/>
    </row>
    <row r="718" spans="1:220" s="99" customFormat="1">
      <c r="A718" s="109"/>
      <c r="D718" s="110"/>
      <c r="F718" s="219"/>
      <c r="H718" s="110"/>
      <c r="AJ718" s="111"/>
      <c r="AK718" s="111"/>
      <c r="AY718" s="114"/>
      <c r="BA718" s="114"/>
      <c r="CQ718" s="113"/>
      <c r="CS718" s="116"/>
      <c r="CV718" s="9"/>
      <c r="CW718" s="9"/>
      <c r="CX718" s="9"/>
      <c r="CY718" s="9"/>
      <c r="CZ718" s="139"/>
      <c r="DA718" s="139"/>
      <c r="DB718" s="139"/>
      <c r="DC718" s="139"/>
      <c r="DD718" s="139"/>
      <c r="DE718" s="139"/>
      <c r="DF718" s="139"/>
      <c r="DG718" s="139"/>
      <c r="DH718" s="139"/>
      <c r="DI718" s="13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  <c r="FI718" s="9"/>
      <c r="FJ718" s="9"/>
      <c r="FK718" s="9"/>
      <c r="FL718" s="9"/>
      <c r="FM718" s="9"/>
      <c r="FN718" s="9"/>
      <c r="FO718" s="9"/>
      <c r="FP718" s="9"/>
      <c r="FQ718" s="9"/>
      <c r="FR718" s="9"/>
      <c r="FS718" s="9"/>
      <c r="FT718" s="9"/>
      <c r="FU718" s="9"/>
      <c r="FV718" s="9"/>
      <c r="FW718" s="9"/>
      <c r="FX718" s="9"/>
      <c r="FY718" s="9"/>
      <c r="FZ718" s="9"/>
      <c r="GA718" s="9"/>
      <c r="GB718" s="9"/>
      <c r="GC718" s="9"/>
      <c r="GD718" s="9"/>
      <c r="GE718" s="9"/>
      <c r="GF718" s="9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  <c r="HE718" s="9"/>
      <c r="HF718" s="9"/>
      <c r="HG718" s="9"/>
      <c r="HH718" s="9"/>
      <c r="HI718" s="9"/>
      <c r="HJ718" s="9"/>
      <c r="HK718" s="9"/>
      <c r="HL718" s="9"/>
    </row>
    <row r="719" spans="1:220" s="99" customFormat="1">
      <c r="A719" s="109"/>
      <c r="D719" s="110"/>
      <c r="F719" s="219"/>
      <c r="H719" s="110"/>
      <c r="AJ719" s="111"/>
      <c r="AK719" s="111"/>
      <c r="AY719" s="114"/>
      <c r="BA719" s="114"/>
      <c r="CQ719" s="113"/>
      <c r="CS719" s="116"/>
      <c r="CV719" s="9"/>
      <c r="CW719" s="9"/>
      <c r="CX719" s="9"/>
      <c r="CY719" s="9"/>
      <c r="CZ719" s="139"/>
      <c r="DA719" s="139"/>
      <c r="DB719" s="139"/>
      <c r="DC719" s="139"/>
      <c r="DD719" s="139"/>
      <c r="DE719" s="139"/>
      <c r="DF719" s="139"/>
      <c r="DG719" s="139"/>
      <c r="DH719" s="139"/>
      <c r="DI719" s="13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E719" s="9"/>
      <c r="FF719" s="9"/>
      <c r="FG719" s="9"/>
      <c r="FH719" s="9"/>
      <c r="FI719" s="9"/>
      <c r="FJ719" s="9"/>
      <c r="FK719" s="9"/>
      <c r="FL719" s="9"/>
      <c r="FM719" s="9"/>
      <c r="FN719" s="9"/>
      <c r="FO719" s="9"/>
      <c r="FP719" s="9"/>
      <c r="FQ719" s="9"/>
      <c r="FR719" s="9"/>
      <c r="FS719" s="9"/>
      <c r="FT719" s="9"/>
      <c r="FU719" s="9"/>
      <c r="FV719" s="9"/>
      <c r="FW719" s="9"/>
      <c r="FX719" s="9"/>
      <c r="FY719" s="9"/>
      <c r="FZ719" s="9"/>
      <c r="GA719" s="9"/>
      <c r="GB719" s="9"/>
      <c r="GC719" s="9"/>
      <c r="GD719" s="9"/>
      <c r="GE719" s="9"/>
      <c r="GF719" s="9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  <c r="HE719" s="9"/>
      <c r="HF719" s="9"/>
      <c r="HG719" s="9"/>
      <c r="HH719" s="9"/>
      <c r="HI719" s="9"/>
      <c r="HJ719" s="9"/>
      <c r="HK719" s="9"/>
      <c r="HL719" s="9"/>
    </row>
    <row r="720" spans="1:220" s="99" customFormat="1">
      <c r="A720" s="109"/>
      <c r="D720" s="110"/>
      <c r="F720" s="219"/>
      <c r="H720" s="110"/>
      <c r="AJ720" s="111"/>
      <c r="AK720" s="111"/>
      <c r="AY720" s="114"/>
      <c r="BA720" s="114"/>
      <c r="CQ720" s="113"/>
      <c r="CS720" s="116"/>
      <c r="CV720" s="9"/>
      <c r="CW720" s="9"/>
      <c r="CX720" s="9"/>
      <c r="CY720" s="9"/>
      <c r="CZ720" s="139"/>
      <c r="DA720" s="139"/>
      <c r="DB720" s="139"/>
      <c r="DC720" s="139"/>
      <c r="DD720" s="139"/>
      <c r="DE720" s="139"/>
      <c r="DF720" s="139"/>
      <c r="DG720" s="139"/>
      <c r="DH720" s="139"/>
      <c r="DI720" s="13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E720" s="9"/>
      <c r="FF720" s="9"/>
      <c r="FG720" s="9"/>
      <c r="FH720" s="9"/>
      <c r="FI720" s="9"/>
      <c r="FJ720" s="9"/>
      <c r="FK720" s="9"/>
      <c r="FL720" s="9"/>
      <c r="FM720" s="9"/>
      <c r="FN720" s="9"/>
      <c r="FO720" s="9"/>
      <c r="FP720" s="9"/>
      <c r="FQ720" s="9"/>
      <c r="FR720" s="9"/>
      <c r="FS720" s="9"/>
      <c r="FT720" s="9"/>
      <c r="FU720" s="9"/>
      <c r="FV720" s="9"/>
      <c r="FW720" s="9"/>
      <c r="FX720" s="9"/>
      <c r="FY720" s="9"/>
      <c r="FZ720" s="9"/>
      <c r="GA720" s="9"/>
      <c r="GB720" s="9"/>
      <c r="GC720" s="9"/>
      <c r="GD720" s="9"/>
      <c r="GE720" s="9"/>
      <c r="GF720" s="9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  <c r="HE720" s="9"/>
      <c r="HF720" s="9"/>
      <c r="HG720" s="9"/>
      <c r="HH720" s="9"/>
      <c r="HI720" s="9"/>
      <c r="HJ720" s="9"/>
      <c r="HK720" s="9"/>
      <c r="HL720" s="9"/>
    </row>
    <row r="721" spans="1:220" s="99" customFormat="1">
      <c r="A721" s="109"/>
      <c r="D721" s="110"/>
      <c r="F721" s="219"/>
      <c r="H721" s="110"/>
      <c r="AJ721" s="111"/>
      <c r="AK721" s="111"/>
      <c r="AY721" s="114"/>
      <c r="BA721" s="114"/>
      <c r="CQ721" s="113"/>
      <c r="CS721" s="116"/>
      <c r="CV721" s="9"/>
      <c r="CW721" s="9"/>
      <c r="CX721" s="9"/>
      <c r="CY721" s="9"/>
      <c r="CZ721" s="139"/>
      <c r="DA721" s="139"/>
      <c r="DB721" s="139"/>
      <c r="DC721" s="139"/>
      <c r="DD721" s="139"/>
      <c r="DE721" s="139"/>
      <c r="DF721" s="139"/>
      <c r="DG721" s="139"/>
      <c r="DH721" s="139"/>
      <c r="DI721" s="13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E721" s="9"/>
      <c r="FF721" s="9"/>
      <c r="FG721" s="9"/>
      <c r="FH721" s="9"/>
      <c r="FI721" s="9"/>
      <c r="FJ721" s="9"/>
      <c r="FK721" s="9"/>
      <c r="FL721" s="9"/>
      <c r="FM721" s="9"/>
      <c r="FN721" s="9"/>
      <c r="FO721" s="9"/>
      <c r="FP721" s="9"/>
      <c r="FQ721" s="9"/>
      <c r="FR721" s="9"/>
      <c r="FS721" s="9"/>
      <c r="FT721" s="9"/>
      <c r="FU721" s="9"/>
      <c r="FV721" s="9"/>
      <c r="FW721" s="9"/>
      <c r="FX721" s="9"/>
      <c r="FY721" s="9"/>
      <c r="FZ721" s="9"/>
      <c r="GA721" s="9"/>
      <c r="GB721" s="9"/>
      <c r="GC721" s="9"/>
      <c r="GD721" s="9"/>
      <c r="GE721" s="9"/>
      <c r="GF721" s="9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  <c r="HE721" s="9"/>
      <c r="HF721" s="9"/>
      <c r="HG721" s="9"/>
      <c r="HH721" s="9"/>
      <c r="HI721" s="9"/>
      <c r="HJ721" s="9"/>
      <c r="HK721" s="9"/>
      <c r="HL721" s="9"/>
    </row>
    <row r="722" spans="1:220" s="99" customFormat="1">
      <c r="A722" s="109"/>
      <c r="D722" s="110"/>
      <c r="F722" s="219"/>
      <c r="H722" s="110"/>
      <c r="AJ722" s="111"/>
      <c r="AK722" s="111"/>
      <c r="AY722" s="114"/>
      <c r="BA722" s="114"/>
      <c r="CQ722" s="113"/>
      <c r="CS722" s="116"/>
      <c r="CV722" s="9"/>
      <c r="CW722" s="9"/>
      <c r="CX722" s="9"/>
      <c r="CY722" s="9"/>
      <c r="CZ722" s="139"/>
      <c r="DA722" s="139"/>
      <c r="DB722" s="139"/>
      <c r="DC722" s="139"/>
      <c r="DD722" s="139"/>
      <c r="DE722" s="139"/>
      <c r="DF722" s="139"/>
      <c r="DG722" s="139"/>
      <c r="DH722" s="139"/>
      <c r="DI722" s="13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  <c r="FI722" s="9"/>
      <c r="FJ722" s="9"/>
      <c r="FK722" s="9"/>
      <c r="FL722" s="9"/>
      <c r="FM722" s="9"/>
      <c r="FN722" s="9"/>
      <c r="FO722" s="9"/>
      <c r="FP722" s="9"/>
      <c r="FQ722" s="9"/>
      <c r="FR722" s="9"/>
      <c r="FS722" s="9"/>
      <c r="FT722" s="9"/>
      <c r="FU722" s="9"/>
      <c r="FV722" s="9"/>
      <c r="FW722" s="9"/>
      <c r="FX722" s="9"/>
      <c r="FY722" s="9"/>
      <c r="FZ722" s="9"/>
      <c r="GA722" s="9"/>
      <c r="GB722" s="9"/>
      <c r="GC722" s="9"/>
      <c r="GD722" s="9"/>
      <c r="GE722" s="9"/>
      <c r="GF722" s="9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  <c r="HE722" s="9"/>
      <c r="HF722" s="9"/>
      <c r="HG722" s="9"/>
      <c r="HH722" s="9"/>
      <c r="HI722" s="9"/>
      <c r="HJ722" s="9"/>
      <c r="HK722" s="9"/>
      <c r="HL722" s="9"/>
    </row>
    <row r="723" spans="1:220" s="99" customFormat="1">
      <c r="A723" s="109"/>
      <c r="D723" s="110"/>
      <c r="F723" s="219"/>
      <c r="H723" s="110"/>
      <c r="AJ723" s="111"/>
      <c r="AK723" s="111"/>
      <c r="AY723" s="114"/>
      <c r="BA723" s="114"/>
      <c r="CQ723" s="113"/>
      <c r="CS723" s="116"/>
      <c r="CV723" s="9"/>
      <c r="CW723" s="9"/>
      <c r="CX723" s="9"/>
      <c r="CY723" s="9"/>
      <c r="CZ723" s="139"/>
      <c r="DA723" s="139"/>
      <c r="DB723" s="139"/>
      <c r="DC723" s="139"/>
      <c r="DD723" s="139"/>
      <c r="DE723" s="139"/>
      <c r="DF723" s="139"/>
      <c r="DG723" s="139"/>
      <c r="DH723" s="139"/>
      <c r="DI723" s="13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E723" s="9"/>
      <c r="FF723" s="9"/>
      <c r="FG723" s="9"/>
      <c r="FH723" s="9"/>
      <c r="FI723" s="9"/>
      <c r="FJ723" s="9"/>
      <c r="FK723" s="9"/>
      <c r="FL723" s="9"/>
      <c r="FM723" s="9"/>
      <c r="FN723" s="9"/>
      <c r="FO723" s="9"/>
      <c r="FP723" s="9"/>
      <c r="FQ723" s="9"/>
      <c r="FR723" s="9"/>
      <c r="FS723" s="9"/>
      <c r="FT723" s="9"/>
      <c r="FU723" s="9"/>
      <c r="FV723" s="9"/>
      <c r="FW723" s="9"/>
      <c r="FX723" s="9"/>
      <c r="FY723" s="9"/>
      <c r="FZ723" s="9"/>
      <c r="GA723" s="9"/>
      <c r="GB723" s="9"/>
      <c r="GC723" s="9"/>
      <c r="GD723" s="9"/>
      <c r="GE723" s="9"/>
      <c r="GF723" s="9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  <c r="HE723" s="9"/>
      <c r="HF723" s="9"/>
      <c r="HG723" s="9"/>
      <c r="HH723" s="9"/>
      <c r="HI723" s="9"/>
      <c r="HJ723" s="9"/>
      <c r="HK723" s="9"/>
      <c r="HL723" s="9"/>
    </row>
    <row r="724" spans="1:220" s="99" customFormat="1">
      <c r="A724" s="109"/>
      <c r="D724" s="110"/>
      <c r="F724" s="219"/>
      <c r="H724" s="110"/>
      <c r="AJ724" s="111"/>
      <c r="AK724" s="111"/>
      <c r="AY724" s="114"/>
      <c r="BA724" s="114"/>
      <c r="CQ724" s="113"/>
      <c r="CS724" s="116"/>
      <c r="CV724" s="9"/>
      <c r="CW724" s="9"/>
      <c r="CX724" s="9"/>
      <c r="CY724" s="9"/>
      <c r="CZ724" s="139"/>
      <c r="DA724" s="139"/>
      <c r="DB724" s="139"/>
      <c r="DC724" s="139"/>
      <c r="DD724" s="139"/>
      <c r="DE724" s="139"/>
      <c r="DF724" s="139"/>
      <c r="DG724" s="139"/>
      <c r="DH724" s="139"/>
      <c r="DI724" s="13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E724" s="9"/>
      <c r="FF724" s="9"/>
      <c r="FG724" s="9"/>
      <c r="FH724" s="9"/>
      <c r="FI724" s="9"/>
      <c r="FJ724" s="9"/>
      <c r="FK724" s="9"/>
      <c r="FL724" s="9"/>
      <c r="FM724" s="9"/>
      <c r="FN724" s="9"/>
      <c r="FO724" s="9"/>
      <c r="FP724" s="9"/>
      <c r="FQ724" s="9"/>
      <c r="FR724" s="9"/>
      <c r="FS724" s="9"/>
      <c r="FT724" s="9"/>
      <c r="FU724" s="9"/>
      <c r="FV724" s="9"/>
      <c r="FW724" s="9"/>
      <c r="FX724" s="9"/>
      <c r="FY724" s="9"/>
      <c r="FZ724" s="9"/>
      <c r="GA724" s="9"/>
      <c r="GB724" s="9"/>
      <c r="GC724" s="9"/>
      <c r="GD724" s="9"/>
      <c r="GE724" s="9"/>
      <c r="GF724" s="9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  <c r="HE724" s="9"/>
      <c r="HF724" s="9"/>
      <c r="HG724" s="9"/>
      <c r="HH724" s="9"/>
      <c r="HI724" s="9"/>
      <c r="HJ724" s="9"/>
      <c r="HK724" s="9"/>
      <c r="HL724" s="9"/>
    </row>
    <row r="725" spans="1:220" s="99" customFormat="1">
      <c r="A725" s="109"/>
      <c r="D725" s="110"/>
      <c r="F725" s="219"/>
      <c r="H725" s="110"/>
      <c r="AJ725" s="111"/>
      <c r="AK725" s="111"/>
      <c r="AY725" s="114"/>
      <c r="BA725" s="114"/>
      <c r="CQ725" s="113"/>
      <c r="CS725" s="116"/>
      <c r="CV725" s="9"/>
      <c r="CW725" s="9"/>
      <c r="CX725" s="9"/>
      <c r="CY725" s="9"/>
      <c r="CZ725" s="139"/>
      <c r="DA725" s="139"/>
      <c r="DB725" s="139"/>
      <c r="DC725" s="139"/>
      <c r="DD725" s="139"/>
      <c r="DE725" s="139"/>
      <c r="DF725" s="139"/>
      <c r="DG725" s="139"/>
      <c r="DH725" s="139"/>
      <c r="DI725" s="13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E725" s="9"/>
      <c r="FF725" s="9"/>
      <c r="FG725" s="9"/>
      <c r="FH725" s="9"/>
      <c r="FI725" s="9"/>
      <c r="FJ725" s="9"/>
      <c r="FK725" s="9"/>
      <c r="FL725" s="9"/>
      <c r="FM725" s="9"/>
      <c r="FN725" s="9"/>
      <c r="FO725" s="9"/>
      <c r="FP725" s="9"/>
      <c r="FQ725" s="9"/>
      <c r="FR725" s="9"/>
      <c r="FS725" s="9"/>
      <c r="FT725" s="9"/>
      <c r="FU725" s="9"/>
      <c r="FV725" s="9"/>
      <c r="FW725" s="9"/>
      <c r="FX725" s="9"/>
      <c r="FY725" s="9"/>
      <c r="FZ725" s="9"/>
      <c r="GA725" s="9"/>
      <c r="GB725" s="9"/>
      <c r="GC725" s="9"/>
      <c r="GD725" s="9"/>
      <c r="GE725" s="9"/>
      <c r="GF725" s="9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  <c r="HE725" s="9"/>
      <c r="HF725" s="9"/>
      <c r="HG725" s="9"/>
      <c r="HH725" s="9"/>
      <c r="HI725" s="9"/>
      <c r="HJ725" s="9"/>
      <c r="HK725" s="9"/>
      <c r="HL725" s="9"/>
    </row>
    <row r="726" spans="1:220" s="99" customFormat="1">
      <c r="A726" s="109"/>
      <c r="D726" s="110"/>
      <c r="F726" s="219"/>
      <c r="H726" s="110"/>
      <c r="AJ726" s="111"/>
      <c r="AK726" s="111"/>
      <c r="AY726" s="114"/>
      <c r="BA726" s="114"/>
      <c r="CQ726" s="113"/>
      <c r="CS726" s="116"/>
      <c r="CV726" s="9"/>
      <c r="CW726" s="9"/>
      <c r="CX726" s="9"/>
      <c r="CY726" s="9"/>
      <c r="CZ726" s="139"/>
      <c r="DA726" s="139"/>
      <c r="DB726" s="139"/>
      <c r="DC726" s="139"/>
      <c r="DD726" s="139"/>
      <c r="DE726" s="139"/>
      <c r="DF726" s="139"/>
      <c r="DG726" s="139"/>
      <c r="DH726" s="139"/>
      <c r="DI726" s="13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E726" s="9"/>
      <c r="FF726" s="9"/>
      <c r="FG726" s="9"/>
      <c r="FH726" s="9"/>
      <c r="FI726" s="9"/>
      <c r="FJ726" s="9"/>
      <c r="FK726" s="9"/>
      <c r="FL726" s="9"/>
      <c r="FM726" s="9"/>
      <c r="FN726" s="9"/>
      <c r="FO726" s="9"/>
      <c r="FP726" s="9"/>
      <c r="FQ726" s="9"/>
      <c r="FR726" s="9"/>
      <c r="FS726" s="9"/>
      <c r="FT726" s="9"/>
      <c r="FU726" s="9"/>
      <c r="FV726" s="9"/>
      <c r="FW726" s="9"/>
      <c r="FX726" s="9"/>
      <c r="FY726" s="9"/>
      <c r="FZ726" s="9"/>
      <c r="GA726" s="9"/>
      <c r="GB726" s="9"/>
      <c r="GC726" s="9"/>
      <c r="GD726" s="9"/>
      <c r="GE726" s="9"/>
      <c r="GF726" s="9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  <c r="HE726" s="9"/>
      <c r="HF726" s="9"/>
      <c r="HG726" s="9"/>
      <c r="HH726" s="9"/>
      <c r="HI726" s="9"/>
      <c r="HJ726" s="9"/>
      <c r="HK726" s="9"/>
      <c r="HL726" s="9"/>
    </row>
    <row r="727" spans="1:220" s="99" customFormat="1">
      <c r="A727" s="109"/>
      <c r="D727" s="110"/>
      <c r="F727" s="219"/>
      <c r="H727" s="110"/>
      <c r="AJ727" s="111"/>
      <c r="AK727" s="111"/>
      <c r="AY727" s="114"/>
      <c r="BA727" s="114"/>
      <c r="CQ727" s="113"/>
      <c r="CS727" s="116"/>
      <c r="CV727" s="9"/>
      <c r="CW727" s="9"/>
      <c r="CX727" s="9"/>
      <c r="CY727" s="9"/>
      <c r="CZ727" s="139"/>
      <c r="DA727" s="139"/>
      <c r="DB727" s="139"/>
      <c r="DC727" s="139"/>
      <c r="DD727" s="139"/>
      <c r="DE727" s="139"/>
      <c r="DF727" s="139"/>
      <c r="DG727" s="139"/>
      <c r="DH727" s="139"/>
      <c r="DI727" s="13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E727" s="9"/>
      <c r="FF727" s="9"/>
      <c r="FG727" s="9"/>
      <c r="FH727" s="9"/>
      <c r="FI727" s="9"/>
      <c r="FJ727" s="9"/>
      <c r="FK727" s="9"/>
      <c r="FL727" s="9"/>
      <c r="FM727" s="9"/>
      <c r="FN727" s="9"/>
      <c r="FO727" s="9"/>
      <c r="FP727" s="9"/>
      <c r="FQ727" s="9"/>
      <c r="FR727" s="9"/>
      <c r="FS727" s="9"/>
      <c r="FT727" s="9"/>
      <c r="FU727" s="9"/>
      <c r="FV727" s="9"/>
      <c r="FW727" s="9"/>
      <c r="FX727" s="9"/>
      <c r="FY727" s="9"/>
      <c r="FZ727" s="9"/>
      <c r="GA727" s="9"/>
      <c r="GB727" s="9"/>
      <c r="GC727" s="9"/>
      <c r="GD727" s="9"/>
      <c r="GE727" s="9"/>
      <c r="GF727" s="9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  <c r="HE727" s="9"/>
      <c r="HF727" s="9"/>
      <c r="HG727" s="9"/>
      <c r="HH727" s="9"/>
      <c r="HI727" s="9"/>
      <c r="HJ727" s="9"/>
      <c r="HK727" s="9"/>
      <c r="HL727" s="9"/>
    </row>
    <row r="728" spans="1:220" s="99" customFormat="1">
      <c r="A728" s="109"/>
      <c r="D728" s="110"/>
      <c r="F728" s="219"/>
      <c r="H728" s="110"/>
      <c r="AJ728" s="111"/>
      <c r="AK728" s="111"/>
      <c r="AY728" s="114"/>
      <c r="BA728" s="114"/>
      <c r="CQ728" s="113"/>
      <c r="CS728" s="116"/>
      <c r="CV728" s="9"/>
      <c r="CW728" s="9"/>
      <c r="CX728" s="9"/>
      <c r="CY728" s="9"/>
      <c r="CZ728" s="139"/>
      <c r="DA728" s="139"/>
      <c r="DB728" s="139"/>
      <c r="DC728" s="139"/>
      <c r="DD728" s="139"/>
      <c r="DE728" s="139"/>
      <c r="DF728" s="139"/>
      <c r="DG728" s="139"/>
      <c r="DH728" s="139"/>
      <c r="DI728" s="13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E728" s="9"/>
      <c r="FF728" s="9"/>
      <c r="FG728" s="9"/>
      <c r="FH728" s="9"/>
      <c r="FI728" s="9"/>
      <c r="FJ728" s="9"/>
      <c r="FK728" s="9"/>
      <c r="FL728" s="9"/>
      <c r="FM728" s="9"/>
      <c r="FN728" s="9"/>
      <c r="FO728" s="9"/>
      <c r="FP728" s="9"/>
      <c r="FQ728" s="9"/>
      <c r="FR728" s="9"/>
      <c r="FS728" s="9"/>
      <c r="FT728" s="9"/>
      <c r="FU728" s="9"/>
      <c r="FV728" s="9"/>
      <c r="FW728" s="9"/>
      <c r="FX728" s="9"/>
      <c r="FY728" s="9"/>
      <c r="FZ728" s="9"/>
      <c r="GA728" s="9"/>
      <c r="GB728" s="9"/>
      <c r="GC728" s="9"/>
      <c r="GD728" s="9"/>
      <c r="GE728" s="9"/>
      <c r="GF728" s="9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  <c r="HE728" s="9"/>
      <c r="HF728" s="9"/>
      <c r="HG728" s="9"/>
      <c r="HH728" s="9"/>
      <c r="HI728" s="9"/>
      <c r="HJ728" s="9"/>
      <c r="HK728" s="9"/>
      <c r="HL728" s="9"/>
    </row>
    <row r="729" spans="1:220" s="99" customFormat="1">
      <c r="A729" s="109"/>
      <c r="D729" s="110"/>
      <c r="F729" s="219"/>
      <c r="H729" s="110"/>
      <c r="AJ729" s="111"/>
      <c r="AK729" s="111"/>
      <c r="AY729" s="114"/>
      <c r="BA729" s="114"/>
      <c r="CQ729" s="113"/>
      <c r="CS729" s="116"/>
      <c r="CV729" s="9"/>
      <c r="CW729" s="9"/>
      <c r="CX729" s="9"/>
      <c r="CY729" s="9"/>
      <c r="CZ729" s="139"/>
      <c r="DA729" s="139"/>
      <c r="DB729" s="139"/>
      <c r="DC729" s="139"/>
      <c r="DD729" s="139"/>
      <c r="DE729" s="139"/>
      <c r="DF729" s="139"/>
      <c r="DG729" s="139"/>
      <c r="DH729" s="139"/>
      <c r="DI729" s="13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E729" s="9"/>
      <c r="FF729" s="9"/>
      <c r="FG729" s="9"/>
      <c r="FH729" s="9"/>
      <c r="FI729" s="9"/>
      <c r="FJ729" s="9"/>
      <c r="FK729" s="9"/>
      <c r="FL729" s="9"/>
      <c r="FM729" s="9"/>
      <c r="FN729" s="9"/>
      <c r="FO729" s="9"/>
      <c r="FP729" s="9"/>
      <c r="FQ729" s="9"/>
      <c r="FR729" s="9"/>
      <c r="FS729" s="9"/>
      <c r="FT729" s="9"/>
      <c r="FU729" s="9"/>
      <c r="FV729" s="9"/>
      <c r="FW729" s="9"/>
      <c r="FX729" s="9"/>
      <c r="FY729" s="9"/>
      <c r="FZ729" s="9"/>
      <c r="GA729" s="9"/>
      <c r="GB729" s="9"/>
      <c r="GC729" s="9"/>
      <c r="GD729" s="9"/>
      <c r="GE729" s="9"/>
      <c r="GF729" s="9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  <c r="HE729" s="9"/>
      <c r="HF729" s="9"/>
      <c r="HG729" s="9"/>
      <c r="HH729" s="9"/>
      <c r="HI729" s="9"/>
      <c r="HJ729" s="9"/>
      <c r="HK729" s="9"/>
      <c r="HL729" s="9"/>
    </row>
    <row r="730" spans="1:220" s="99" customFormat="1">
      <c r="A730" s="109"/>
      <c r="D730" s="110"/>
      <c r="F730" s="219"/>
      <c r="H730" s="110"/>
      <c r="AJ730" s="111"/>
      <c r="AK730" s="111"/>
      <c r="AY730" s="114"/>
      <c r="BA730" s="114"/>
      <c r="CQ730" s="113"/>
      <c r="CS730" s="116"/>
      <c r="CV730" s="9"/>
      <c r="CW730" s="9"/>
      <c r="CX730" s="9"/>
      <c r="CY730" s="9"/>
      <c r="CZ730" s="139"/>
      <c r="DA730" s="139"/>
      <c r="DB730" s="139"/>
      <c r="DC730" s="139"/>
      <c r="DD730" s="139"/>
      <c r="DE730" s="139"/>
      <c r="DF730" s="139"/>
      <c r="DG730" s="139"/>
      <c r="DH730" s="139"/>
      <c r="DI730" s="13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E730" s="9"/>
      <c r="FF730" s="9"/>
      <c r="FG730" s="9"/>
      <c r="FH730" s="9"/>
      <c r="FI730" s="9"/>
      <c r="FJ730" s="9"/>
      <c r="FK730" s="9"/>
      <c r="FL730" s="9"/>
      <c r="FM730" s="9"/>
      <c r="FN730" s="9"/>
      <c r="FO730" s="9"/>
      <c r="FP730" s="9"/>
      <c r="FQ730" s="9"/>
      <c r="FR730" s="9"/>
      <c r="FS730" s="9"/>
      <c r="FT730" s="9"/>
      <c r="FU730" s="9"/>
      <c r="FV730" s="9"/>
      <c r="FW730" s="9"/>
      <c r="FX730" s="9"/>
      <c r="FY730" s="9"/>
      <c r="FZ730" s="9"/>
      <c r="GA730" s="9"/>
      <c r="GB730" s="9"/>
      <c r="GC730" s="9"/>
      <c r="GD730" s="9"/>
      <c r="GE730" s="9"/>
      <c r="GF730" s="9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  <c r="HE730" s="9"/>
      <c r="HF730" s="9"/>
      <c r="HG730" s="9"/>
      <c r="HH730" s="9"/>
      <c r="HI730" s="9"/>
      <c r="HJ730" s="9"/>
      <c r="HK730" s="9"/>
      <c r="HL730" s="9"/>
    </row>
    <row r="731" spans="1:220" s="99" customFormat="1">
      <c r="A731" s="109"/>
      <c r="D731" s="110"/>
      <c r="F731" s="219"/>
      <c r="H731" s="110"/>
      <c r="AJ731" s="111"/>
      <c r="AK731" s="111"/>
      <c r="AY731" s="114"/>
      <c r="BA731" s="114"/>
      <c r="CQ731" s="113"/>
      <c r="CS731" s="116"/>
      <c r="CV731" s="9"/>
      <c r="CW731" s="9"/>
      <c r="CX731" s="9"/>
      <c r="CY731" s="9"/>
      <c r="CZ731" s="139"/>
      <c r="DA731" s="139"/>
      <c r="DB731" s="139"/>
      <c r="DC731" s="139"/>
      <c r="DD731" s="139"/>
      <c r="DE731" s="139"/>
      <c r="DF731" s="139"/>
      <c r="DG731" s="139"/>
      <c r="DH731" s="139"/>
      <c r="DI731" s="13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E731" s="9"/>
      <c r="FF731" s="9"/>
      <c r="FG731" s="9"/>
      <c r="FH731" s="9"/>
      <c r="FI731" s="9"/>
      <c r="FJ731" s="9"/>
      <c r="FK731" s="9"/>
      <c r="FL731" s="9"/>
      <c r="FM731" s="9"/>
      <c r="FN731" s="9"/>
      <c r="FO731" s="9"/>
      <c r="FP731" s="9"/>
      <c r="FQ731" s="9"/>
      <c r="FR731" s="9"/>
      <c r="FS731" s="9"/>
      <c r="FT731" s="9"/>
      <c r="FU731" s="9"/>
      <c r="FV731" s="9"/>
      <c r="FW731" s="9"/>
      <c r="FX731" s="9"/>
      <c r="FY731" s="9"/>
      <c r="FZ731" s="9"/>
      <c r="GA731" s="9"/>
      <c r="GB731" s="9"/>
      <c r="GC731" s="9"/>
      <c r="GD731" s="9"/>
      <c r="GE731" s="9"/>
      <c r="GF731" s="9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  <c r="HE731" s="9"/>
      <c r="HF731" s="9"/>
      <c r="HG731" s="9"/>
      <c r="HH731" s="9"/>
      <c r="HI731" s="9"/>
      <c r="HJ731" s="9"/>
      <c r="HK731" s="9"/>
      <c r="HL731" s="9"/>
    </row>
    <row r="732" spans="1:220" s="99" customFormat="1">
      <c r="A732" s="109"/>
      <c r="D732" s="110"/>
      <c r="F732" s="219"/>
      <c r="H732" s="110"/>
      <c r="AJ732" s="111"/>
      <c r="AK732" s="111"/>
      <c r="AY732" s="114"/>
      <c r="BA732" s="114"/>
      <c r="CQ732" s="113"/>
      <c r="CS732" s="116"/>
      <c r="CV732" s="9"/>
      <c r="CW732" s="9"/>
      <c r="CX732" s="9"/>
      <c r="CY732" s="9"/>
      <c r="CZ732" s="139"/>
      <c r="DA732" s="139"/>
      <c r="DB732" s="139"/>
      <c r="DC732" s="139"/>
      <c r="DD732" s="139"/>
      <c r="DE732" s="139"/>
      <c r="DF732" s="139"/>
      <c r="DG732" s="139"/>
      <c r="DH732" s="139"/>
      <c r="DI732" s="13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E732" s="9"/>
      <c r="FF732" s="9"/>
      <c r="FG732" s="9"/>
      <c r="FH732" s="9"/>
      <c r="FI732" s="9"/>
      <c r="FJ732" s="9"/>
      <c r="FK732" s="9"/>
      <c r="FL732" s="9"/>
      <c r="FM732" s="9"/>
      <c r="FN732" s="9"/>
      <c r="FO732" s="9"/>
      <c r="FP732" s="9"/>
      <c r="FQ732" s="9"/>
      <c r="FR732" s="9"/>
      <c r="FS732" s="9"/>
      <c r="FT732" s="9"/>
      <c r="FU732" s="9"/>
      <c r="FV732" s="9"/>
      <c r="FW732" s="9"/>
      <c r="FX732" s="9"/>
      <c r="FY732" s="9"/>
      <c r="FZ732" s="9"/>
      <c r="GA732" s="9"/>
      <c r="GB732" s="9"/>
      <c r="GC732" s="9"/>
      <c r="GD732" s="9"/>
      <c r="GE732" s="9"/>
      <c r="GF732" s="9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  <c r="HE732" s="9"/>
      <c r="HF732" s="9"/>
      <c r="HG732" s="9"/>
      <c r="HH732" s="9"/>
      <c r="HI732" s="9"/>
      <c r="HJ732" s="9"/>
      <c r="HK732" s="9"/>
      <c r="HL732" s="9"/>
    </row>
    <row r="733" spans="1:220" s="99" customFormat="1">
      <c r="A733" s="109"/>
      <c r="D733" s="110"/>
      <c r="F733" s="219"/>
      <c r="H733" s="110"/>
      <c r="AJ733" s="111"/>
      <c r="AK733" s="111"/>
      <c r="AY733" s="114"/>
      <c r="BA733" s="114"/>
      <c r="CQ733" s="113"/>
      <c r="CS733" s="116"/>
      <c r="CV733" s="9"/>
      <c r="CW733" s="9"/>
      <c r="CX733" s="9"/>
      <c r="CY733" s="9"/>
      <c r="CZ733" s="139"/>
      <c r="DA733" s="139"/>
      <c r="DB733" s="139"/>
      <c r="DC733" s="139"/>
      <c r="DD733" s="139"/>
      <c r="DE733" s="139"/>
      <c r="DF733" s="139"/>
      <c r="DG733" s="139"/>
      <c r="DH733" s="139"/>
      <c r="DI733" s="13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  <c r="FI733" s="9"/>
      <c r="FJ733" s="9"/>
      <c r="FK733" s="9"/>
      <c r="FL733" s="9"/>
      <c r="FM733" s="9"/>
      <c r="FN733" s="9"/>
      <c r="FO733" s="9"/>
      <c r="FP733" s="9"/>
      <c r="FQ733" s="9"/>
      <c r="FR733" s="9"/>
      <c r="FS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  <c r="HE733" s="9"/>
      <c r="HF733" s="9"/>
      <c r="HG733" s="9"/>
      <c r="HH733" s="9"/>
      <c r="HI733" s="9"/>
      <c r="HJ733" s="9"/>
      <c r="HK733" s="9"/>
      <c r="HL733" s="9"/>
    </row>
    <row r="734" spans="1:220" s="99" customFormat="1">
      <c r="A734" s="109"/>
      <c r="D734" s="110"/>
      <c r="F734" s="219"/>
      <c r="H734" s="110"/>
      <c r="AJ734" s="111"/>
      <c r="AK734" s="111"/>
      <c r="AY734" s="114"/>
      <c r="BA734" s="114"/>
      <c r="CQ734" s="113"/>
      <c r="CS734" s="116"/>
      <c r="CV734" s="9"/>
      <c r="CW734" s="9"/>
      <c r="CX734" s="9"/>
      <c r="CY734" s="9"/>
      <c r="CZ734" s="139"/>
      <c r="DA734" s="139"/>
      <c r="DB734" s="139"/>
      <c r="DC734" s="139"/>
      <c r="DD734" s="139"/>
      <c r="DE734" s="139"/>
      <c r="DF734" s="139"/>
      <c r="DG734" s="139"/>
      <c r="DH734" s="139"/>
      <c r="DI734" s="13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  <c r="FI734" s="9"/>
      <c r="FJ734" s="9"/>
      <c r="FK734" s="9"/>
      <c r="FL734" s="9"/>
      <c r="FM734" s="9"/>
      <c r="FN734" s="9"/>
      <c r="FO734" s="9"/>
      <c r="FP734" s="9"/>
      <c r="FQ734" s="9"/>
      <c r="FR734" s="9"/>
      <c r="FS734" s="9"/>
      <c r="FT734" s="9"/>
      <c r="FU734" s="9"/>
      <c r="FV734" s="9"/>
      <c r="FW734" s="9"/>
      <c r="FX734" s="9"/>
      <c r="FY734" s="9"/>
      <c r="FZ734" s="9"/>
      <c r="GA734" s="9"/>
      <c r="GB734" s="9"/>
      <c r="GC734" s="9"/>
      <c r="GD734" s="9"/>
      <c r="GE734" s="9"/>
      <c r="GF734" s="9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  <c r="HE734" s="9"/>
      <c r="HF734" s="9"/>
      <c r="HG734" s="9"/>
      <c r="HH734" s="9"/>
      <c r="HI734" s="9"/>
      <c r="HJ734" s="9"/>
      <c r="HK734" s="9"/>
      <c r="HL734" s="9"/>
    </row>
    <row r="735" spans="1:220" s="99" customFormat="1">
      <c r="A735" s="109"/>
      <c r="D735" s="110"/>
      <c r="F735" s="219"/>
      <c r="H735" s="110"/>
      <c r="AJ735" s="111"/>
      <c r="AK735" s="111"/>
      <c r="AY735" s="114"/>
      <c r="BA735" s="114"/>
      <c r="CQ735" s="113"/>
      <c r="CS735" s="116"/>
      <c r="CV735" s="9"/>
      <c r="CW735" s="9"/>
      <c r="CX735" s="9"/>
      <c r="CY735" s="9"/>
      <c r="CZ735" s="139"/>
      <c r="DA735" s="139"/>
      <c r="DB735" s="139"/>
      <c r="DC735" s="139"/>
      <c r="DD735" s="139"/>
      <c r="DE735" s="139"/>
      <c r="DF735" s="139"/>
      <c r="DG735" s="139"/>
      <c r="DH735" s="139"/>
      <c r="DI735" s="13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  <c r="FI735" s="9"/>
      <c r="FJ735" s="9"/>
      <c r="FK735" s="9"/>
      <c r="FL735" s="9"/>
      <c r="FM735" s="9"/>
      <c r="FN735" s="9"/>
      <c r="FO735" s="9"/>
      <c r="FP735" s="9"/>
      <c r="FQ735" s="9"/>
      <c r="FR735" s="9"/>
      <c r="FS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  <c r="HE735" s="9"/>
      <c r="HF735" s="9"/>
      <c r="HG735" s="9"/>
      <c r="HH735" s="9"/>
      <c r="HI735" s="9"/>
      <c r="HJ735" s="9"/>
      <c r="HK735" s="9"/>
      <c r="HL735" s="9"/>
    </row>
    <row r="736" spans="1:220" s="99" customFormat="1">
      <c r="A736" s="109"/>
      <c r="D736" s="110"/>
      <c r="F736" s="219"/>
      <c r="H736" s="110"/>
      <c r="AJ736" s="111"/>
      <c r="AK736" s="111"/>
      <c r="AY736" s="114"/>
      <c r="BA736" s="114"/>
      <c r="CQ736" s="113"/>
      <c r="CS736" s="116"/>
      <c r="CV736" s="9"/>
      <c r="CW736" s="9"/>
      <c r="CX736" s="9"/>
      <c r="CY736" s="9"/>
      <c r="CZ736" s="139"/>
      <c r="DA736" s="139"/>
      <c r="DB736" s="139"/>
      <c r="DC736" s="139"/>
      <c r="DD736" s="139"/>
      <c r="DE736" s="139"/>
      <c r="DF736" s="139"/>
      <c r="DG736" s="139"/>
      <c r="DH736" s="139"/>
      <c r="DI736" s="13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E736" s="9"/>
      <c r="FF736" s="9"/>
      <c r="FG736" s="9"/>
      <c r="FH736" s="9"/>
      <c r="FI736" s="9"/>
      <c r="FJ736" s="9"/>
      <c r="FK736" s="9"/>
      <c r="FL736" s="9"/>
      <c r="FM736" s="9"/>
      <c r="FN736" s="9"/>
      <c r="FO736" s="9"/>
      <c r="FP736" s="9"/>
      <c r="FQ736" s="9"/>
      <c r="FR736" s="9"/>
      <c r="FS736" s="9"/>
      <c r="FT736" s="9"/>
      <c r="FU736" s="9"/>
      <c r="FV736" s="9"/>
      <c r="FW736" s="9"/>
      <c r="FX736" s="9"/>
      <c r="FY736" s="9"/>
      <c r="FZ736" s="9"/>
      <c r="GA736" s="9"/>
      <c r="GB736" s="9"/>
      <c r="GC736" s="9"/>
      <c r="GD736" s="9"/>
      <c r="GE736" s="9"/>
      <c r="GF736" s="9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  <c r="HE736" s="9"/>
      <c r="HF736" s="9"/>
      <c r="HG736" s="9"/>
      <c r="HH736" s="9"/>
      <c r="HI736" s="9"/>
      <c r="HJ736" s="9"/>
      <c r="HK736" s="9"/>
      <c r="HL736" s="9"/>
    </row>
    <row r="737" spans="1:282" s="99" customFormat="1">
      <c r="A737" s="109"/>
      <c r="D737" s="110"/>
      <c r="F737" s="219"/>
      <c r="H737" s="110"/>
      <c r="AJ737" s="111"/>
      <c r="AK737" s="111"/>
      <c r="AY737" s="114"/>
      <c r="BA737" s="114"/>
      <c r="CQ737" s="113"/>
      <c r="CS737" s="116"/>
      <c r="CV737" s="9"/>
      <c r="CW737" s="9"/>
      <c r="CX737" s="9"/>
      <c r="CY737" s="9"/>
      <c r="CZ737" s="139"/>
      <c r="DA737" s="139"/>
      <c r="DB737" s="139"/>
      <c r="DC737" s="139"/>
      <c r="DD737" s="139"/>
      <c r="DE737" s="139"/>
      <c r="DF737" s="139"/>
      <c r="DG737" s="139"/>
      <c r="DH737" s="139"/>
      <c r="DI737" s="13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E737" s="9"/>
      <c r="FF737" s="9"/>
      <c r="FG737" s="9"/>
      <c r="FH737" s="9"/>
      <c r="FI737" s="9"/>
      <c r="FJ737" s="9"/>
      <c r="FK737" s="9"/>
      <c r="FL737" s="9"/>
      <c r="FM737" s="9"/>
      <c r="FN737" s="9"/>
      <c r="FO737" s="9"/>
      <c r="FP737" s="9"/>
      <c r="FQ737" s="9"/>
      <c r="FR737" s="9"/>
      <c r="FS737" s="9"/>
      <c r="FT737" s="9"/>
      <c r="FU737" s="9"/>
      <c r="FV737" s="9"/>
      <c r="FW737" s="9"/>
      <c r="FX737" s="9"/>
      <c r="FY737" s="9"/>
      <c r="FZ737" s="9"/>
      <c r="GA737" s="9"/>
      <c r="GB737" s="9"/>
      <c r="GC737" s="9"/>
      <c r="GD737" s="9"/>
      <c r="GE737" s="9"/>
      <c r="GF737" s="9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  <c r="HE737" s="9"/>
      <c r="HF737" s="9"/>
      <c r="HG737" s="9"/>
      <c r="HH737" s="9"/>
      <c r="HI737" s="9"/>
      <c r="HJ737" s="9"/>
      <c r="HK737" s="9"/>
      <c r="HL737" s="9"/>
    </row>
    <row r="738" spans="1:282" s="99" customFormat="1">
      <c r="A738" s="109"/>
      <c r="D738" s="110"/>
      <c r="F738" s="219"/>
      <c r="H738" s="110"/>
      <c r="AJ738" s="111"/>
      <c r="AK738" s="111"/>
      <c r="AY738" s="114"/>
      <c r="BA738" s="114"/>
      <c r="CQ738" s="113"/>
      <c r="CS738" s="116"/>
      <c r="CV738" s="9"/>
      <c r="CW738" s="9"/>
      <c r="CX738" s="9"/>
      <c r="CY738" s="9"/>
      <c r="CZ738" s="139"/>
      <c r="DA738" s="139"/>
      <c r="DB738" s="139"/>
      <c r="DC738" s="139"/>
      <c r="DD738" s="139"/>
      <c r="DE738" s="139"/>
      <c r="DF738" s="139"/>
      <c r="DG738" s="139"/>
      <c r="DH738" s="139"/>
      <c r="DI738" s="13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  <c r="FI738" s="9"/>
      <c r="FJ738" s="9"/>
      <c r="FK738" s="9"/>
      <c r="FL738" s="9"/>
      <c r="FM738" s="9"/>
      <c r="FN738" s="9"/>
      <c r="FO738" s="9"/>
      <c r="FP738" s="9"/>
      <c r="FQ738" s="9"/>
      <c r="FR738" s="9"/>
      <c r="FS738" s="9"/>
      <c r="FT738" s="9"/>
      <c r="FU738" s="9"/>
      <c r="FV738" s="9"/>
      <c r="FW738" s="9"/>
      <c r="FX738" s="9"/>
      <c r="FY738" s="9"/>
      <c r="FZ738" s="9"/>
      <c r="GA738" s="9"/>
      <c r="GB738" s="9"/>
      <c r="GC738" s="9"/>
      <c r="GD738" s="9"/>
      <c r="GE738" s="9"/>
      <c r="GF738" s="9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  <c r="HE738" s="9"/>
      <c r="HF738" s="9"/>
      <c r="HG738" s="9"/>
      <c r="HH738" s="9"/>
      <c r="HI738" s="9"/>
      <c r="HJ738" s="9"/>
      <c r="HK738" s="9"/>
      <c r="HL738" s="9"/>
    </row>
    <row r="739" spans="1:282" s="99" customFormat="1">
      <c r="A739" s="109"/>
      <c r="D739" s="110"/>
      <c r="F739" s="219"/>
      <c r="H739" s="110"/>
      <c r="AJ739" s="111"/>
      <c r="AK739" s="111"/>
      <c r="AY739" s="114"/>
      <c r="BA739" s="114"/>
      <c r="CQ739" s="113"/>
      <c r="CS739" s="116"/>
      <c r="CV739" s="9"/>
      <c r="CW739" s="9"/>
      <c r="CX739" s="9"/>
      <c r="CY739" s="9"/>
      <c r="CZ739" s="139"/>
      <c r="DA739" s="139"/>
      <c r="DB739" s="139"/>
      <c r="DC739" s="139"/>
      <c r="DD739" s="139"/>
      <c r="DE739" s="139"/>
      <c r="DF739" s="139"/>
      <c r="DG739" s="139"/>
      <c r="DH739" s="139"/>
      <c r="DI739" s="13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E739" s="9"/>
      <c r="FF739" s="9"/>
      <c r="FG739" s="9"/>
      <c r="FH739" s="9"/>
      <c r="FI739" s="9"/>
      <c r="FJ739" s="9"/>
      <c r="FK739" s="9"/>
      <c r="FL739" s="9"/>
      <c r="FM739" s="9"/>
      <c r="FN739" s="9"/>
      <c r="FO739" s="9"/>
      <c r="FP739" s="9"/>
      <c r="FQ739" s="9"/>
      <c r="FR739" s="9"/>
      <c r="FS739" s="9"/>
      <c r="FT739" s="9"/>
      <c r="FU739" s="9"/>
      <c r="FV739" s="9"/>
      <c r="FW739" s="9"/>
      <c r="FX739" s="9"/>
      <c r="FY739" s="9"/>
      <c r="FZ739" s="9"/>
      <c r="GA739" s="9"/>
      <c r="GB739" s="9"/>
      <c r="GC739" s="9"/>
      <c r="GD739" s="9"/>
      <c r="GE739" s="9"/>
      <c r="GF739" s="9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  <c r="HE739" s="9"/>
      <c r="HF739" s="9"/>
      <c r="HG739" s="9"/>
      <c r="HH739" s="9"/>
      <c r="HI739" s="9"/>
      <c r="HJ739" s="9"/>
      <c r="HK739" s="9"/>
      <c r="HL739" s="9"/>
    </row>
    <row r="740" spans="1:282" s="99" customFormat="1">
      <c r="A740" s="109"/>
      <c r="D740" s="110"/>
      <c r="F740" s="219"/>
      <c r="H740" s="110"/>
      <c r="AJ740" s="111"/>
      <c r="AK740" s="111"/>
      <c r="AY740" s="114"/>
      <c r="BA740" s="114"/>
      <c r="CQ740" s="113"/>
      <c r="CS740" s="116"/>
      <c r="CV740" s="9"/>
      <c r="CW740" s="9"/>
      <c r="CX740" s="9"/>
      <c r="CY740" s="9"/>
      <c r="CZ740" s="139"/>
      <c r="DA740" s="139"/>
      <c r="DB740" s="139"/>
      <c r="DC740" s="139"/>
      <c r="DD740" s="139"/>
      <c r="DE740" s="139"/>
      <c r="DF740" s="139"/>
      <c r="DG740" s="139"/>
      <c r="DH740" s="139"/>
      <c r="DI740" s="13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  <c r="FI740" s="9"/>
      <c r="FJ740" s="9"/>
      <c r="FK740" s="9"/>
      <c r="FL740" s="9"/>
      <c r="FM740" s="9"/>
      <c r="FN740" s="9"/>
      <c r="FO740" s="9"/>
      <c r="FP740" s="9"/>
      <c r="FQ740" s="9"/>
      <c r="FR740" s="9"/>
      <c r="FS740" s="9"/>
      <c r="FT740" s="9"/>
      <c r="FU740" s="9"/>
      <c r="FV740" s="9"/>
      <c r="FW740" s="9"/>
      <c r="FX740" s="9"/>
      <c r="FY740" s="9"/>
      <c r="FZ740" s="9"/>
      <c r="GA740" s="9"/>
      <c r="GB740" s="9"/>
      <c r="GC740" s="9"/>
      <c r="GD740" s="9"/>
      <c r="GE740" s="9"/>
      <c r="GF740" s="9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  <c r="HE740" s="9"/>
      <c r="HF740" s="9"/>
      <c r="HG740" s="9"/>
      <c r="HH740" s="9"/>
      <c r="HI740" s="9"/>
      <c r="HJ740" s="9"/>
      <c r="HK740" s="9"/>
      <c r="HL740" s="9"/>
    </row>
    <row r="741" spans="1:282" s="99" customFormat="1">
      <c r="A741" s="109"/>
      <c r="D741" s="110"/>
      <c r="F741" s="219"/>
      <c r="H741" s="110"/>
      <c r="AJ741" s="111"/>
      <c r="AK741" s="111"/>
      <c r="AY741" s="114"/>
      <c r="BA741" s="114"/>
      <c r="CQ741" s="113"/>
      <c r="CS741" s="116"/>
      <c r="CV741" s="9"/>
      <c r="CW741" s="9"/>
      <c r="CX741" s="9"/>
      <c r="CY741" s="9"/>
      <c r="CZ741" s="139"/>
      <c r="DA741" s="139"/>
      <c r="DB741" s="139"/>
      <c r="DC741" s="139"/>
      <c r="DD741" s="139"/>
      <c r="DE741" s="139"/>
      <c r="DF741" s="139"/>
      <c r="DG741" s="139"/>
      <c r="DH741" s="139"/>
      <c r="DI741" s="13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E741" s="9"/>
      <c r="FF741" s="9"/>
      <c r="FG741" s="9"/>
      <c r="FH741" s="9"/>
      <c r="FI741" s="9"/>
      <c r="FJ741" s="9"/>
      <c r="FK741" s="9"/>
      <c r="FL741" s="9"/>
      <c r="FM741" s="9"/>
      <c r="FN741" s="9"/>
      <c r="FO741" s="9"/>
      <c r="FP741" s="9"/>
      <c r="FQ741" s="9"/>
      <c r="FR741" s="9"/>
      <c r="FS741" s="9"/>
      <c r="FT741" s="9"/>
      <c r="FU741" s="9"/>
      <c r="FV741" s="9"/>
      <c r="FW741" s="9"/>
      <c r="FX741" s="9"/>
      <c r="FY741" s="9"/>
      <c r="FZ741" s="9"/>
      <c r="GA741" s="9"/>
      <c r="GB741" s="9"/>
      <c r="GC741" s="9"/>
      <c r="GD741" s="9"/>
      <c r="GE741" s="9"/>
      <c r="GF741" s="9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  <c r="HE741" s="9"/>
      <c r="HF741" s="9"/>
      <c r="HG741" s="9"/>
      <c r="HH741" s="9"/>
      <c r="HI741" s="9"/>
      <c r="HJ741" s="9"/>
      <c r="HK741" s="9"/>
      <c r="HL741" s="9"/>
    </row>
    <row r="742" spans="1:282" s="99" customFormat="1">
      <c r="A742" s="109"/>
      <c r="D742" s="110"/>
      <c r="F742" s="219"/>
      <c r="H742" s="110"/>
      <c r="AJ742" s="111"/>
      <c r="AK742" s="111"/>
      <c r="AY742" s="114"/>
      <c r="BA742" s="114"/>
      <c r="CQ742" s="113"/>
      <c r="CS742" s="116"/>
      <c r="CV742" s="9"/>
      <c r="CW742" s="9"/>
      <c r="CX742" s="9"/>
      <c r="CY742" s="9"/>
      <c r="CZ742" s="139"/>
      <c r="DA742" s="139"/>
      <c r="DB742" s="139"/>
      <c r="DC742" s="139"/>
      <c r="DD742" s="139"/>
      <c r="DE742" s="139"/>
      <c r="DF742" s="139"/>
      <c r="DG742" s="139"/>
      <c r="DH742" s="139"/>
      <c r="DI742" s="13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9"/>
      <c r="FS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  <c r="HE742" s="9"/>
      <c r="HF742" s="9"/>
      <c r="HG742" s="9"/>
      <c r="HH742" s="9"/>
      <c r="HI742" s="9"/>
      <c r="HJ742" s="9"/>
      <c r="HK742" s="9"/>
      <c r="HL742" s="9"/>
    </row>
    <row r="743" spans="1:282" s="99" customFormat="1">
      <c r="A743" s="109"/>
      <c r="D743" s="110"/>
      <c r="F743" s="219"/>
      <c r="H743" s="110"/>
      <c r="AJ743" s="111"/>
      <c r="AK743" s="111"/>
      <c r="AY743" s="114"/>
      <c r="BA743" s="114"/>
      <c r="CQ743" s="113"/>
      <c r="CS743" s="116"/>
      <c r="CV743" s="9"/>
      <c r="CW743" s="9"/>
      <c r="CX743" s="9"/>
      <c r="CY743" s="9"/>
      <c r="CZ743" s="139"/>
      <c r="DA743" s="139"/>
      <c r="DB743" s="139"/>
      <c r="DC743" s="139"/>
      <c r="DD743" s="139"/>
      <c r="DE743" s="139"/>
      <c r="DF743" s="139"/>
      <c r="DG743" s="139"/>
      <c r="DH743" s="139"/>
      <c r="DI743" s="13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  <c r="FI743" s="9"/>
      <c r="FJ743" s="9"/>
      <c r="FK743" s="9"/>
      <c r="FL743" s="9"/>
      <c r="FM743" s="9"/>
      <c r="FN743" s="9"/>
      <c r="FO743" s="9"/>
      <c r="FP743" s="9"/>
      <c r="FQ743" s="9"/>
      <c r="FR743" s="9"/>
      <c r="FS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  <c r="HE743" s="9"/>
      <c r="HF743" s="9"/>
      <c r="HG743" s="9"/>
      <c r="HH743" s="9"/>
      <c r="HI743" s="9"/>
      <c r="HJ743" s="9"/>
      <c r="HK743" s="9"/>
      <c r="HL743" s="9"/>
    </row>
    <row r="744" spans="1:282" s="99" customFormat="1">
      <c r="A744" s="109"/>
      <c r="D744" s="110"/>
      <c r="F744" s="219"/>
      <c r="H744" s="110"/>
      <c r="AJ744" s="111"/>
      <c r="AK744" s="111"/>
      <c r="AY744" s="114"/>
      <c r="BA744" s="114"/>
      <c r="CQ744" s="113"/>
      <c r="CS744" s="116"/>
      <c r="CV744" s="9"/>
      <c r="CW744" s="9"/>
      <c r="CX744" s="9"/>
      <c r="CY744" s="9"/>
      <c r="CZ744" s="139"/>
      <c r="DA744" s="139"/>
      <c r="DB744" s="139"/>
      <c r="DC744" s="139"/>
      <c r="DD744" s="139"/>
      <c r="DE744" s="139"/>
      <c r="DF744" s="139"/>
      <c r="DG744" s="139"/>
      <c r="DH744" s="139"/>
      <c r="DI744" s="13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9"/>
      <c r="FS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  <c r="HE744" s="9"/>
      <c r="HF744" s="9"/>
      <c r="HG744" s="9"/>
      <c r="HH744" s="9"/>
      <c r="HI744" s="9"/>
      <c r="HJ744" s="9"/>
      <c r="HK744" s="9"/>
      <c r="HL744" s="9"/>
    </row>
    <row r="745" spans="1:282" s="99" customFormat="1">
      <c r="A745" s="109"/>
      <c r="D745" s="110"/>
      <c r="F745" s="219"/>
      <c r="H745" s="110"/>
      <c r="AJ745" s="111"/>
      <c r="AK745" s="111"/>
      <c r="AY745" s="114"/>
      <c r="BA745" s="114"/>
      <c r="CQ745" s="113"/>
      <c r="CS745" s="116"/>
      <c r="CV745" s="9"/>
      <c r="CW745" s="9"/>
      <c r="CX745" s="9"/>
      <c r="CY745" s="9"/>
      <c r="CZ745" s="139"/>
      <c r="DA745" s="139"/>
      <c r="DB745" s="139"/>
      <c r="DC745" s="139"/>
      <c r="DD745" s="139"/>
      <c r="DE745" s="139"/>
      <c r="DF745" s="139"/>
      <c r="DG745" s="139"/>
      <c r="DH745" s="139"/>
      <c r="DI745" s="13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  <c r="FI745" s="9"/>
      <c r="FJ745" s="9"/>
      <c r="FK745" s="9"/>
      <c r="FL745" s="9"/>
      <c r="FM745" s="9"/>
      <c r="FN745" s="9"/>
      <c r="FO745" s="9"/>
      <c r="FP745" s="9"/>
      <c r="FQ745" s="9"/>
      <c r="FR745" s="9"/>
      <c r="FS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  <c r="HE745" s="9"/>
      <c r="HF745" s="9"/>
      <c r="HG745" s="9"/>
      <c r="HH745" s="9"/>
      <c r="HI745" s="9"/>
      <c r="HJ745" s="9"/>
      <c r="HK745" s="9"/>
      <c r="HL745" s="9"/>
    </row>
    <row r="746" spans="1:282" s="99" customFormat="1">
      <c r="A746" s="109"/>
      <c r="D746" s="110"/>
      <c r="F746" s="219"/>
      <c r="H746" s="110"/>
      <c r="AJ746" s="111"/>
      <c r="AK746" s="111"/>
      <c r="AY746" s="114"/>
      <c r="BA746" s="114"/>
      <c r="CQ746" s="113"/>
      <c r="CS746" s="116"/>
      <c r="CV746" s="9"/>
      <c r="CW746" s="9"/>
      <c r="CX746" s="9"/>
      <c r="CY746" s="9"/>
      <c r="CZ746" s="139"/>
      <c r="DA746" s="139"/>
      <c r="DB746" s="139"/>
      <c r="DC746" s="139"/>
      <c r="DD746" s="139"/>
      <c r="DE746" s="139"/>
      <c r="DF746" s="139"/>
      <c r="DG746" s="139"/>
      <c r="DH746" s="139"/>
      <c r="DI746" s="13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  <c r="FI746" s="9"/>
      <c r="FJ746" s="9"/>
      <c r="FK746" s="9"/>
      <c r="FL746" s="9"/>
      <c r="FM746" s="9"/>
      <c r="FN746" s="9"/>
      <c r="FO746" s="9"/>
      <c r="FP746" s="9"/>
      <c r="FQ746" s="9"/>
      <c r="FR746" s="9"/>
      <c r="FS746" s="9"/>
      <c r="FT746" s="9"/>
      <c r="FU746" s="9"/>
      <c r="FV746" s="9"/>
      <c r="FW746" s="9"/>
      <c r="FX746" s="9"/>
      <c r="FY746" s="9"/>
      <c r="FZ746" s="9"/>
      <c r="GA746" s="9"/>
      <c r="GB746" s="9"/>
      <c r="GC746" s="9"/>
      <c r="GD746" s="9"/>
      <c r="GE746" s="9"/>
      <c r="GF746" s="9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  <c r="HE746" s="9"/>
      <c r="HF746" s="9"/>
      <c r="HG746" s="9"/>
      <c r="HH746" s="9"/>
      <c r="HI746" s="9"/>
      <c r="HJ746" s="9"/>
      <c r="HK746" s="9"/>
      <c r="HL746" s="9"/>
    </row>
    <row r="747" spans="1:282" s="99" customFormat="1">
      <c r="A747" s="109"/>
      <c r="D747" s="110"/>
      <c r="F747" s="219"/>
      <c r="H747" s="110"/>
      <c r="AJ747" s="111"/>
      <c r="AK747" s="111"/>
      <c r="AY747" s="114"/>
      <c r="BA747" s="114"/>
      <c r="CQ747" s="113"/>
      <c r="CS747" s="116"/>
      <c r="CV747" s="9"/>
      <c r="CW747" s="9"/>
      <c r="CX747" s="9"/>
      <c r="CY747" s="9"/>
      <c r="CZ747" s="139"/>
      <c r="DA747" s="139"/>
      <c r="DB747" s="139"/>
      <c r="DC747" s="139"/>
      <c r="DD747" s="139"/>
      <c r="DE747" s="139"/>
      <c r="DF747" s="139"/>
      <c r="DG747" s="139"/>
      <c r="DH747" s="139"/>
      <c r="DI747" s="13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  <c r="EN747" s="9"/>
      <c r="EO747" s="9"/>
      <c r="EP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E747" s="9"/>
      <c r="FF747" s="9"/>
      <c r="FG747" s="9"/>
      <c r="FH747" s="9"/>
      <c r="FI747" s="9"/>
      <c r="FJ747" s="9"/>
      <c r="FK747" s="9"/>
      <c r="FL747" s="9"/>
      <c r="FM747" s="9"/>
      <c r="FN747" s="9"/>
      <c r="FO747" s="9"/>
      <c r="FP747" s="9"/>
      <c r="FQ747" s="9"/>
      <c r="FR747" s="9"/>
      <c r="FS747" s="9"/>
      <c r="FT747" s="9"/>
      <c r="FU747" s="9"/>
      <c r="FV747" s="9"/>
      <c r="FW747" s="9"/>
      <c r="FX747" s="9"/>
      <c r="FY747" s="9"/>
      <c r="FZ747" s="9"/>
      <c r="GA747" s="9"/>
      <c r="GB747" s="9"/>
      <c r="GC747" s="9"/>
      <c r="GD747" s="9"/>
      <c r="GE747" s="9"/>
      <c r="GF747" s="9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  <c r="HE747" s="9"/>
      <c r="HF747" s="9"/>
      <c r="HG747" s="9"/>
      <c r="HH747" s="9"/>
      <c r="HI747" s="9"/>
      <c r="HJ747" s="9"/>
      <c r="HK747" s="9"/>
      <c r="HL747" s="9"/>
    </row>
    <row r="748" spans="1:282" s="99" customFormat="1">
      <c r="A748" s="109"/>
      <c r="D748" s="110"/>
      <c r="F748" s="219"/>
      <c r="H748" s="110"/>
      <c r="AJ748" s="111"/>
      <c r="AK748" s="111"/>
      <c r="AY748" s="114"/>
      <c r="BA748" s="114"/>
      <c r="CQ748" s="113"/>
      <c r="CS748" s="116"/>
      <c r="CV748" s="9"/>
      <c r="CW748" s="9"/>
      <c r="CX748" s="9"/>
      <c r="CY748" s="9"/>
      <c r="CZ748" s="139"/>
      <c r="DA748" s="139"/>
      <c r="DB748" s="139"/>
      <c r="DC748" s="139"/>
      <c r="DD748" s="139"/>
      <c r="DE748" s="139"/>
      <c r="DF748" s="139"/>
      <c r="DG748" s="139"/>
      <c r="DH748" s="139"/>
      <c r="DI748" s="13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  <c r="FI748" s="9"/>
      <c r="FJ748" s="9"/>
      <c r="FK748" s="9"/>
      <c r="FL748" s="9"/>
      <c r="FM748" s="9"/>
      <c r="FN748" s="9"/>
      <c r="FO748" s="9"/>
      <c r="FP748" s="9"/>
      <c r="FQ748" s="9"/>
      <c r="FR748" s="9"/>
      <c r="FS748" s="9"/>
      <c r="FT748" s="9"/>
      <c r="FU748" s="9"/>
      <c r="FV748" s="9"/>
      <c r="FW748" s="9"/>
      <c r="FX748" s="9"/>
      <c r="FY748" s="9"/>
      <c r="FZ748" s="9"/>
      <c r="GA748" s="9"/>
      <c r="GB748" s="9"/>
      <c r="GC748" s="9"/>
      <c r="GD748" s="9"/>
      <c r="GE748" s="9"/>
      <c r="GF748" s="9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  <c r="HE748" s="9"/>
      <c r="HF748" s="9"/>
      <c r="HG748" s="9"/>
      <c r="HH748" s="9"/>
      <c r="HI748" s="9"/>
      <c r="HJ748" s="9"/>
      <c r="HK748" s="9"/>
      <c r="HL748" s="9"/>
    </row>
    <row r="749" spans="1:282" s="99" customFormat="1">
      <c r="A749" s="109"/>
      <c r="D749" s="110"/>
      <c r="F749" s="219"/>
      <c r="H749" s="110"/>
      <c r="AJ749" s="111"/>
      <c r="AK749" s="111"/>
      <c r="AY749" s="114"/>
      <c r="BA749" s="114"/>
      <c r="CQ749" s="113"/>
      <c r="CS749" s="116"/>
      <c r="CV749" s="9"/>
      <c r="CW749" s="9"/>
      <c r="CX749" s="9"/>
      <c r="CY749" s="9"/>
      <c r="CZ749" s="139"/>
      <c r="DA749" s="139"/>
      <c r="DB749" s="139"/>
      <c r="DC749" s="139"/>
      <c r="DD749" s="139"/>
      <c r="DE749" s="139"/>
      <c r="DF749" s="139"/>
      <c r="DG749" s="139"/>
      <c r="DH749" s="139"/>
      <c r="DI749" s="13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E749" s="9"/>
      <c r="FF749" s="9"/>
      <c r="FG749" s="9"/>
      <c r="FH749" s="9"/>
      <c r="FI749" s="9"/>
      <c r="FJ749" s="9"/>
      <c r="FK749" s="9"/>
      <c r="FL749" s="9"/>
      <c r="FM749" s="9"/>
      <c r="FN749" s="9"/>
      <c r="FO749" s="9"/>
      <c r="FP749" s="9"/>
      <c r="FQ749" s="9"/>
      <c r="FR749" s="9"/>
      <c r="FS749" s="9"/>
      <c r="FT749" s="9"/>
      <c r="FU749" s="9"/>
      <c r="FV749" s="9"/>
      <c r="FW749" s="9"/>
      <c r="FX749" s="9"/>
      <c r="FY749" s="9"/>
      <c r="FZ749" s="9"/>
      <c r="GA749" s="9"/>
      <c r="GB749" s="9"/>
      <c r="GC749" s="9"/>
      <c r="GD749" s="9"/>
      <c r="GE749" s="9"/>
      <c r="GF749" s="9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  <c r="HE749" s="9"/>
      <c r="HF749" s="9"/>
      <c r="HG749" s="9"/>
      <c r="HH749" s="9"/>
      <c r="HI749" s="9"/>
      <c r="HJ749" s="9"/>
      <c r="HK749" s="9"/>
      <c r="HL749" s="9"/>
    </row>
    <row r="750" spans="1:282" s="99" customFormat="1">
      <c r="A750" s="109"/>
      <c r="D750" s="110"/>
      <c r="F750" s="219"/>
      <c r="H750" s="110"/>
      <c r="AJ750" s="111"/>
      <c r="AK750" s="111"/>
      <c r="AY750" s="114"/>
      <c r="BA750" s="114"/>
      <c r="CQ750" s="113"/>
      <c r="CS750" s="116"/>
      <c r="CV750" s="9"/>
      <c r="CW750" s="9"/>
      <c r="CX750" s="9"/>
      <c r="CY750" s="9"/>
      <c r="CZ750" s="139"/>
      <c r="DA750" s="139"/>
      <c r="DB750" s="139"/>
      <c r="DC750" s="139"/>
      <c r="DD750" s="139"/>
      <c r="DE750" s="139"/>
      <c r="DF750" s="139"/>
      <c r="DG750" s="139"/>
      <c r="DH750" s="139"/>
      <c r="DI750" s="13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  <c r="HE750" s="9"/>
      <c r="HF750" s="9"/>
      <c r="HG750" s="9"/>
      <c r="HH750" s="9"/>
      <c r="HI750" s="9"/>
      <c r="HJ750" s="9"/>
      <c r="HK750" s="9"/>
      <c r="HL750" s="9"/>
    </row>
    <row r="751" spans="1:282" s="7" customFormat="1">
      <c r="A751" s="6"/>
      <c r="D751" s="8"/>
      <c r="F751" s="220"/>
      <c r="H751" s="8"/>
      <c r="AJ751" s="100"/>
      <c r="AK751" s="100"/>
      <c r="AY751" s="108"/>
      <c r="BA751" s="108"/>
      <c r="CO751" s="5"/>
      <c r="CP751" s="5"/>
      <c r="CQ751"/>
      <c r="CS751" s="143"/>
      <c r="CU751" s="10"/>
      <c r="CV751" s="9"/>
      <c r="CW751" s="9"/>
      <c r="CX751" s="9"/>
      <c r="CY751" s="9"/>
      <c r="CZ751" s="139"/>
      <c r="DA751" s="139"/>
      <c r="DB751" s="139"/>
      <c r="DC751" s="139"/>
      <c r="DD751" s="139"/>
      <c r="DE751" s="139"/>
      <c r="DF751" s="139"/>
      <c r="DG751" s="139"/>
      <c r="DH751" s="139"/>
      <c r="DI751" s="13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E751" s="9"/>
      <c r="FF751" s="9"/>
      <c r="FG751" s="9"/>
      <c r="FH751" s="9"/>
      <c r="FI751" s="9"/>
      <c r="FJ751" s="9"/>
      <c r="FK751" s="9"/>
      <c r="FL751" s="9"/>
      <c r="FM751" s="9"/>
      <c r="FN751" s="9"/>
      <c r="FO751" s="9"/>
      <c r="FP751" s="9"/>
      <c r="FQ751" s="9"/>
      <c r="FR751" s="9"/>
      <c r="FS751" s="9"/>
      <c r="FT751" s="9"/>
      <c r="FU751" s="9"/>
      <c r="FV751" s="9"/>
      <c r="FW751" s="9"/>
      <c r="FX751" s="9"/>
      <c r="FY751" s="9"/>
      <c r="FZ751" s="9"/>
      <c r="GA751" s="9"/>
      <c r="GB751" s="9"/>
      <c r="GC751" s="9"/>
      <c r="GD751" s="9"/>
      <c r="GE751" s="9"/>
      <c r="GF751" s="9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  <c r="HE751" s="9"/>
      <c r="HF751" s="9"/>
      <c r="HG751" s="9"/>
      <c r="HH751" s="9"/>
      <c r="HI751" s="9"/>
      <c r="HJ751" s="9"/>
      <c r="HK751" s="9"/>
      <c r="HL751" s="9"/>
      <c r="HM751" s="13"/>
      <c r="IC751" s="10"/>
      <c r="ID751" s="99"/>
      <c r="IE751" s="99"/>
      <c r="IF751" s="99"/>
      <c r="IG751" s="99"/>
      <c r="IH751" s="99"/>
      <c r="II751" s="99"/>
      <c r="IJ751" s="99"/>
      <c r="IK751" s="99"/>
      <c r="IL751" s="99"/>
      <c r="IM751" s="99"/>
      <c r="IN751" s="99"/>
      <c r="IO751" s="99"/>
      <c r="IP751" s="99"/>
      <c r="IQ751" s="99"/>
      <c r="IR751" s="99"/>
      <c r="IS751" s="99"/>
      <c r="IT751" s="99"/>
      <c r="IU751" s="99"/>
      <c r="IV751" s="99"/>
      <c r="IW751" s="99"/>
      <c r="IX751" s="99"/>
      <c r="IY751" s="99"/>
      <c r="IZ751" s="99"/>
      <c r="JA751" s="99"/>
      <c r="JB751" s="99"/>
      <c r="JC751" s="99"/>
      <c r="JD751" s="99"/>
      <c r="JE751" s="99"/>
      <c r="JF751" s="99"/>
      <c r="JG751" s="99"/>
      <c r="JH751" s="99"/>
      <c r="JI751" s="99"/>
      <c r="JJ751" s="99"/>
      <c r="JK751" s="99"/>
      <c r="JL751" s="99"/>
      <c r="JM751" s="99"/>
      <c r="JN751" s="99"/>
      <c r="JO751" s="99"/>
      <c r="JP751" s="99"/>
      <c r="JQ751" s="99"/>
      <c r="JR751" s="99"/>
      <c r="JS751" s="99"/>
      <c r="JT751" s="99"/>
      <c r="JU751" s="99"/>
      <c r="JV751" s="99"/>
    </row>
    <row r="1939" spans="98:98">
      <c r="CT1939" s="1" t="s">
        <v>194</v>
      </c>
    </row>
    <row r="1048153" spans="4:4">
      <c r="D1048153" s="145"/>
    </row>
    <row r="1048576" spans="4:1012 1076:1076">
      <c r="D1048576" s="233"/>
      <c r="AZ1048576" s="1" t="s">
        <v>309</v>
      </c>
      <c r="BA1048576" s="102">
        <v>0</v>
      </c>
      <c r="BB1048576" s="144" t="s">
        <v>371</v>
      </c>
      <c r="GL1048576" s="9">
        <v>0</v>
      </c>
      <c r="IA1048576" s="1">
        <v>0</v>
      </c>
      <c r="UC1048576" s="1">
        <v>0</v>
      </c>
      <c r="WK1048576" s="1">
        <v>0</v>
      </c>
      <c r="YJ1048576" s="1">
        <v>0</v>
      </c>
      <c r="ZJ1048576" s="1">
        <v>0</v>
      </c>
      <c r="ABH1048576" s="1">
        <v>0</v>
      </c>
      <c r="ACL1048576" s="1">
        <v>0</v>
      </c>
      <c r="ADF1048576" s="1">
        <v>0</v>
      </c>
      <c r="AGQ1048576" s="1">
        <v>0</v>
      </c>
      <c r="AHY1048576" s="1">
        <v>0</v>
      </c>
      <c r="ALM1048576" s="1">
        <v>0</v>
      </c>
      <c r="ALX1048576" s="1">
        <v>0</v>
      </c>
      <c r="AOJ1048576" s="1" t="s">
        <v>375</v>
      </c>
    </row>
  </sheetData>
  <autoFilter ref="A3:AOJ181"/>
  <dataConsolidate/>
  <mergeCells count="2">
    <mergeCell ref="Z2:AB2"/>
    <mergeCell ref="CV2:CW2"/>
  </mergeCells>
  <pageMargins left="0.25" right="0.25" top="0.75" bottom="0.75" header="0.3" footer="0.3"/>
  <pageSetup paperSize="5" scale="10" orientation="portrait" horizontalDpi="4294967292" verticalDpi="4294967292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Validadores!$I$10:$I$13</xm:f>
          </x14:formula1>
          <xm:sqref>AW217:AW319 AY56 BD57 AY133:AY201 AY13:AY54 AY58:AY131 AY8:AY11</xm:sqref>
        </x14:dataValidation>
        <x14:dataValidation type="list" allowBlank="1" showInputMessage="1" showErrorMessage="1">
          <x14:formula1>
            <xm:f>Validadores!$C$11:$C$20</xm:f>
          </x14:formula1>
          <xm:sqref>BD56 BI56:BI57 BD13:BD54 BD133:BD201 BD58:BD131</xm:sqref>
        </x14:dataValidation>
        <x14:dataValidation type="list" allowBlank="1" showInputMessage="1" showErrorMessage="1">
          <x14:formula1>
            <xm:f>Validadores!$B$33:$B$36</xm:f>
          </x14:formula1>
          <xm:sqref>CH4:CH5 CH133:CH201 CM56:CM57 CH7:CH54 CH58:CH131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1" sqref="A11:XFD1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H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K40" sqref="K40"/>
    </sheetView>
  </sheetViews>
  <sheetFormatPr baseColWidth="10" defaultRowHeight="15"/>
  <cols>
    <col min="1" max="1" width="11.42578125" style="14"/>
    <col min="2" max="2" width="21.140625" style="14" customWidth="1"/>
    <col min="3" max="3" width="38.5703125" style="14" customWidth="1"/>
    <col min="4" max="19" width="11.42578125" style="14"/>
    <col min="20" max="20" width="11.42578125" style="76"/>
    <col min="21" max="25" width="11.42578125" style="14"/>
    <col min="26" max="26" width="11.42578125" style="76"/>
    <col min="27" max="29" width="11.42578125" style="14"/>
    <col min="30" max="31" width="11.42578125" style="76"/>
    <col min="32" max="34" width="11.42578125" style="14"/>
  </cols>
  <sheetData>
    <row r="2" spans="2:33" ht="25.5" customHeight="1">
      <c r="B2" s="303" t="s">
        <v>196</v>
      </c>
      <c r="C2" s="304"/>
      <c r="D2" s="299" t="s">
        <v>197</v>
      </c>
      <c r="E2" s="309" t="s">
        <v>198</v>
      </c>
      <c r="F2" s="310"/>
      <c r="G2" s="310"/>
      <c r="H2" s="311"/>
      <c r="I2" s="312" t="s">
        <v>199</v>
      </c>
      <c r="J2" s="313"/>
      <c r="K2" s="313"/>
      <c r="L2" s="314"/>
      <c r="M2" s="315" t="s">
        <v>200</v>
      </c>
      <c r="N2" s="312" t="s">
        <v>201</v>
      </c>
      <c r="O2" s="313"/>
      <c r="P2" s="313"/>
      <c r="Q2" s="313"/>
      <c r="R2" s="313"/>
      <c r="S2" s="314"/>
      <c r="T2" s="296" t="s">
        <v>312</v>
      </c>
      <c r="U2" s="320" t="s">
        <v>202</v>
      </c>
      <c r="V2" s="321"/>
      <c r="W2" s="321"/>
      <c r="X2" s="322"/>
      <c r="Y2" s="287" t="s">
        <v>203</v>
      </c>
      <c r="Z2" s="287" t="s">
        <v>313</v>
      </c>
      <c r="AA2" s="287" t="s">
        <v>204</v>
      </c>
      <c r="AB2" s="287" t="s">
        <v>205</v>
      </c>
      <c r="AC2" s="299" t="s">
        <v>206</v>
      </c>
      <c r="AD2" s="299" t="s">
        <v>314</v>
      </c>
      <c r="AE2" s="287" t="s">
        <v>315</v>
      </c>
      <c r="AF2" s="303" t="s">
        <v>207</v>
      </c>
      <c r="AG2" s="304"/>
    </row>
    <row r="3" spans="2:33">
      <c r="B3" s="305"/>
      <c r="C3" s="306"/>
      <c r="D3" s="300"/>
      <c r="E3" s="316" t="s">
        <v>208</v>
      </c>
      <c r="F3" s="318" t="s">
        <v>209</v>
      </c>
      <c r="G3" s="318" t="s">
        <v>210</v>
      </c>
      <c r="H3" s="304" t="s">
        <v>211</v>
      </c>
      <c r="I3" s="323" t="s">
        <v>212</v>
      </c>
      <c r="J3" s="325" t="s">
        <v>213</v>
      </c>
      <c r="K3" s="325" t="s">
        <v>214</v>
      </c>
      <c r="L3" s="327" t="s">
        <v>215</v>
      </c>
      <c r="M3" s="315"/>
      <c r="N3" s="316" t="s">
        <v>97</v>
      </c>
      <c r="O3" s="290" t="s">
        <v>216</v>
      </c>
      <c r="P3" s="290" t="s">
        <v>98</v>
      </c>
      <c r="Q3" s="290" t="s">
        <v>99</v>
      </c>
      <c r="R3" s="290" t="s">
        <v>100</v>
      </c>
      <c r="S3" s="292" t="s">
        <v>217</v>
      </c>
      <c r="T3" s="297"/>
      <c r="U3" s="294" t="s">
        <v>218</v>
      </c>
      <c r="V3" s="295"/>
      <c r="W3" s="302" t="s">
        <v>219</v>
      </c>
      <c r="X3" s="295"/>
      <c r="Y3" s="288"/>
      <c r="Z3" s="288"/>
      <c r="AA3" s="288"/>
      <c r="AB3" s="288"/>
      <c r="AC3" s="300"/>
      <c r="AD3" s="300"/>
      <c r="AE3" s="288"/>
      <c r="AF3" s="305"/>
      <c r="AG3" s="306"/>
    </row>
    <row r="4" spans="2:33" ht="42">
      <c r="B4" s="307"/>
      <c r="C4" s="308"/>
      <c r="D4" s="301"/>
      <c r="E4" s="317"/>
      <c r="F4" s="319"/>
      <c r="G4" s="319"/>
      <c r="H4" s="308"/>
      <c r="I4" s="324"/>
      <c r="J4" s="326"/>
      <c r="K4" s="326"/>
      <c r="L4" s="328"/>
      <c r="M4" s="315"/>
      <c r="N4" s="317"/>
      <c r="O4" s="291"/>
      <c r="P4" s="291"/>
      <c r="Q4" s="291"/>
      <c r="R4" s="291"/>
      <c r="S4" s="293"/>
      <c r="T4" s="298"/>
      <c r="U4" s="15" t="s">
        <v>220</v>
      </c>
      <c r="V4" s="16" t="s">
        <v>221</v>
      </c>
      <c r="W4" s="17" t="s">
        <v>220</v>
      </c>
      <c r="X4" s="17" t="s">
        <v>221</v>
      </c>
      <c r="Y4" s="289"/>
      <c r="Z4" s="289"/>
      <c r="AA4" s="289"/>
      <c r="AB4" s="289"/>
      <c r="AC4" s="301"/>
      <c r="AD4" s="301"/>
      <c r="AE4" s="289"/>
      <c r="AF4" s="18" t="s">
        <v>222</v>
      </c>
      <c r="AG4" s="18" t="s">
        <v>223</v>
      </c>
    </row>
    <row r="5" spans="2:33">
      <c r="B5" s="331" t="s">
        <v>224</v>
      </c>
      <c r="C5" s="332"/>
      <c r="D5" s="19">
        <f>SUM(D6:D9)</f>
        <v>1</v>
      </c>
      <c r="E5" s="19">
        <f t="shared" ref="E5:AG5" si="0">SUM(E6:E9)</f>
        <v>0</v>
      </c>
      <c r="F5" s="19">
        <f t="shared" si="0"/>
        <v>0</v>
      </c>
      <c r="G5" s="19">
        <f t="shared" si="0"/>
        <v>1</v>
      </c>
      <c r="H5" s="19">
        <f t="shared" si="0"/>
        <v>0</v>
      </c>
      <c r="I5" s="19">
        <f t="shared" si="0"/>
        <v>0</v>
      </c>
      <c r="J5" s="19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1</v>
      </c>
      <c r="N5" s="19">
        <f t="shared" si="0"/>
        <v>2</v>
      </c>
      <c r="O5" s="19">
        <f t="shared" si="0"/>
        <v>0</v>
      </c>
      <c r="P5" s="19">
        <f t="shared" si="0"/>
        <v>0</v>
      </c>
      <c r="Q5" s="19">
        <f t="shared" si="0"/>
        <v>0</v>
      </c>
      <c r="R5" s="19">
        <f t="shared" si="0"/>
        <v>0</v>
      </c>
      <c r="S5" s="19">
        <f t="shared" si="0"/>
        <v>0</v>
      </c>
      <c r="T5" s="19">
        <f t="shared" si="0"/>
        <v>0</v>
      </c>
      <c r="U5" s="19">
        <f t="shared" si="0"/>
        <v>0</v>
      </c>
      <c r="V5" s="19">
        <f t="shared" si="0"/>
        <v>0</v>
      </c>
      <c r="W5" s="19">
        <f t="shared" si="0"/>
        <v>0</v>
      </c>
      <c r="X5" s="19">
        <f t="shared" si="0"/>
        <v>2</v>
      </c>
      <c r="Y5" s="19">
        <f t="shared" si="0"/>
        <v>0</v>
      </c>
      <c r="Z5" s="19"/>
      <c r="AA5" s="19">
        <f t="shared" si="0"/>
        <v>0</v>
      </c>
      <c r="AB5" s="19">
        <f t="shared" si="0"/>
        <v>0</v>
      </c>
      <c r="AC5" s="19">
        <f t="shared" si="0"/>
        <v>0</v>
      </c>
      <c r="AD5" s="19">
        <f t="shared" si="0"/>
        <v>0</v>
      </c>
      <c r="AE5" s="19">
        <f t="shared" si="0"/>
        <v>0</v>
      </c>
      <c r="AF5" s="19">
        <f t="shared" si="0"/>
        <v>0</v>
      </c>
      <c r="AG5" s="19">
        <f t="shared" si="0"/>
        <v>0</v>
      </c>
    </row>
    <row r="6" spans="2:33" ht="15.75" thickBot="1">
      <c r="B6" s="333" t="s">
        <v>225</v>
      </c>
      <c r="C6" s="334"/>
      <c r="D6" s="20">
        <f>SUM(E6:H6)</f>
        <v>1</v>
      </c>
      <c r="E6" s="20">
        <f>COUNTIFS('SEPTIEMBRE 2025'!N:N, "&lt;15",'SEPTIEMBRE 2025'!AY:AY, "EUTOCICO")</f>
        <v>0</v>
      </c>
      <c r="F6" s="20">
        <f>COUNTIFS('SEPTIEMBRE 2025'!N:N, "&gt;14",'SEPTIEMBRE 2025'!N:N, "&lt;20", 'SEPTIEMBRE 2025'!AY:AY, "EUTOCICO")</f>
        <v>0</v>
      </c>
      <c r="G6" s="20">
        <f>COUNTIFS('SEPTIEMBRE 2025'!N:N, "&gt;19",'SEPTIEMBRE 2025'!N:N, "&lt;35", 'SEPTIEMBRE 2025'!AY:AY, "EUTOCICO")</f>
        <v>1</v>
      </c>
      <c r="H6" s="20">
        <f>COUNTIFS('SEPTIEMBRE 2025'!N:N, "&gt;34", 'SEPTIEMBRE 2025'!AY:AY, "EUTOCICO")</f>
        <v>0</v>
      </c>
      <c r="I6" s="20">
        <f>COUNTIFS('SEPTIEMBRE 2025'!AL:AL, "&lt;24",'SEPTIEMBRE 2025'!AV:AV, "EUTOCICO")</f>
        <v>0</v>
      </c>
      <c r="J6" s="20">
        <f>COUNTIFS('SEPTIEMBRE 2025'!AL:AL, "&gt;23",'SEPTIEMBRE 2025'!AL:AL, "&lt;29", 'SEPTIEMBRE 2025'!AY:AY, "EUTOCICO")</f>
        <v>0</v>
      </c>
      <c r="K6" s="20">
        <f>COUNTIFS('SEPTIEMBRE 2025'!AL:AL, "&gt;28",'SEPTIEMBRE 2025'!AL:AL, "&lt;33", 'SEPTIEMBRE 2025'!AY:AY, "EUTOCICO")</f>
        <v>0</v>
      </c>
      <c r="L6" s="20">
        <f>COUNTIFS('SEPTIEMBRE 2025'!AL:AL, "&gt;32",'SEPTIEMBRE 2025'!AL:AL, "&lt;37", 'SEPTIEMBRE 2025'!AY:AY, "EUTOCICO")</f>
        <v>0</v>
      </c>
      <c r="M6" s="21">
        <f>COUNTIFS('SEPTIEMBRE 2025'!AZ:AZ, "SI", 'SEPTIEMBRE 2025'!AY:AY, "EUTOCICO")</f>
        <v>1</v>
      </c>
      <c r="N6" s="22">
        <f>COUNTIFS('SEPTIEMBRE 2025'!BN:BN,"SI", 'SEPTIEMBRE 2025'!AY:AY, "EUTOCICO")</f>
        <v>1</v>
      </c>
      <c r="O6" s="22">
        <f>COUNTIFS('SEPTIEMBRE 2025'!BO:BO, "SI", 'SEPTIEMBRE 2025'!AY:AY, "EUTOCICO")</f>
        <v>0</v>
      </c>
      <c r="P6" s="22">
        <f>COUNTIFS('SEPTIEMBRE 2025'!BP:BP, "SI", 'SEPTIEMBRE 2025'!AY:AY, "EUTOCICO")</f>
        <v>0</v>
      </c>
      <c r="Q6" s="22">
        <f>COUNTIFS('SEPTIEMBRE 2025'!BQ:BQ,"SI", 'SEPTIEMBRE 2025'!AY:AY, "EUTOCICO")</f>
        <v>0</v>
      </c>
      <c r="R6" s="22">
        <f>COUNTIFS('SEPTIEMBRE 2025'!BR:BR,"SI", 'SEPTIEMBRE 2025'!AY:AY, "EUTOCICO")</f>
        <v>0</v>
      </c>
      <c r="S6" s="22">
        <f>COUNTIFS('SEPTIEMBRE 2025'!BS:BS, "SI", 'SEPTIEMBRE 2025'!AY:AY, "EUTOCICO")</f>
        <v>0</v>
      </c>
      <c r="T6" s="22">
        <f>COUNTIFS('SEPTIEMBRE 2025'!CE:CE, "SI", 'SEPTIEMBRE 2025'!AY:AY, "EUTOCICO")</f>
        <v>0</v>
      </c>
      <c r="U6" s="22">
        <f>COUNTIFS('SEPTIEMBRE 2025'!CC:CC, "&lt;2500",'SEPTIEMBRE 2025'!CH:CH, "4", 'SEPTIEMBRE 2025'!AY:AY, "EUTOCICO", 'SEPTIEMBRE 2025'!CI:CI, "NO")</f>
        <v>0</v>
      </c>
      <c r="V6" s="22">
        <f>COUNTIFS('SEPTIEMBRE 2025'!AY:AY, "EUTOCICO",'SEPTIEMBRE 2025'!CC:CC, "&gt;2499",'SEPTIEMBRE 2025'!CH:CH, "4", 'SEPTIEMBRE 2025'!CI:CI, "NO")</f>
        <v>0</v>
      </c>
      <c r="W6" s="22">
        <f>COUNTIFS('SEPTIEMBRE 2025'!CC:CC, "&lt;2500",'SEPTIEMBRE 2025'!CH:CH, "4", 'SEPTIEMBRE 2025'!AY:AY, "EUTOCICO", 'SEPTIEMBRE 2025'!CI:CI, "SI")</f>
        <v>0</v>
      </c>
      <c r="X6" s="22">
        <f>COUNTIFS('SEPTIEMBRE 2025'!AY:AY, "EUTOCICO",'SEPTIEMBRE 2025'!CC:CC, "&gt;2499",'SEPTIEMBRE 2025'!CH:CH, "4", 'SEPTIEMBRE 2025'!CI:CI, "SI")</f>
        <v>1</v>
      </c>
      <c r="Y6" s="22"/>
      <c r="Z6" s="22"/>
      <c r="AA6" s="22">
        <v>0</v>
      </c>
      <c r="AB6" s="22">
        <f>COUNTIFS('SEPTIEMBRE 2025'!M:M, "SI",'SEPTIEMBRE 2025'!AY:AY, "EUTOCICO")</f>
        <v>0</v>
      </c>
      <c r="AC6" s="22">
        <f>COUNTIFS('SEPTIEMBRE 2025'!K:K, "SI",'SEPTIEMBRE 2025'!AY:AY, "EUTOCICO")</f>
        <v>0</v>
      </c>
      <c r="AD6" s="22">
        <f>COUNTIFS('SEPTIEMBRE 2025'!O:O, "SI",'SEPTIEMBRE 2025'!AY:AY, "EUTOCICO")</f>
        <v>0</v>
      </c>
      <c r="AE6" s="22">
        <f>COUNTIFS('SEPTIEMBRE 2025'!P:P, "SI",'SEPTIEMBRE 2025'!AY:AY, "EUTOCICO")</f>
        <v>0</v>
      </c>
      <c r="AF6" s="22">
        <f>COUNTIFS('SEPTIEMBRE 2025'!O:O, "SI",'SEPTIEMBRE 2025'!AY:AY, "EUTOCICO")</f>
        <v>0</v>
      </c>
      <c r="AG6" s="22">
        <v>0</v>
      </c>
    </row>
    <row r="7" spans="2:33" ht="16.5" thickTop="1" thickBot="1">
      <c r="B7" s="335" t="s">
        <v>92</v>
      </c>
      <c r="C7" s="336"/>
      <c r="D7" s="20">
        <f>SUM(E7:H7)</f>
        <v>0</v>
      </c>
      <c r="E7" s="20">
        <f>COUNTIFS('SEPTIEMBRE 2025'!N:N, "&lt;15", 'SEPTIEMBRE 2025'!AY:AY, "DISTOCICO")</f>
        <v>0</v>
      </c>
      <c r="F7" s="20">
        <f>COUNTIFS('SEPTIEMBRE 2025'!N:N, "&gt;14",'SEPTIEMBRE 2025'!N:N, "&lt;20", 'SEPTIEMBRE 2025'!AY:AY, "DISTOCICO")</f>
        <v>0</v>
      </c>
      <c r="G7" s="20">
        <f>COUNTIFS('SEPTIEMBRE 2025'!N:N, "&gt;19",'SEPTIEMBRE 2025'!N:N, "&lt;35", 'SEPTIEMBRE 2025'!AY:AY, "DISTOCICO")</f>
        <v>0</v>
      </c>
      <c r="H7" s="20">
        <f>COUNTIFS('SEPTIEMBRE 2025'!N:N, "&gt;34", 'SEPTIEMBRE 2025'!AY:AY, "DISTOCICO")</f>
        <v>0</v>
      </c>
      <c r="I7" s="20">
        <f>COUNTIFS('SEPTIEMBRE 2025'!AL:AL, "&lt;24",'SEPTIEMBRE 2025'!AY:AY, "DISTOCICO")</f>
        <v>0</v>
      </c>
      <c r="J7" s="20">
        <f>COUNTIFS('SEPTIEMBRE 2025'!AL:AL, "&gt;23",'SEPTIEMBRE 2025'!AL:AL, "&lt;29", 'SEPTIEMBRE 2025'!AY:AY, "DISTOCICO")</f>
        <v>0</v>
      </c>
      <c r="K7" s="20">
        <f>COUNTIFS('SEPTIEMBRE 2025'!AL:AL, "&gt;28",'SEPTIEMBRE 2025'!AL:AL, "&lt;33", 'SEPTIEMBRE 2025'!AY:AY,  "DISTOCICO")</f>
        <v>0</v>
      </c>
      <c r="L7" s="20">
        <f>COUNTIFS('SEPTIEMBRE 2025'!AL:AL, "&gt;32",'SEPTIEMBRE 2025'!AL:AL, "&lt;37", 'SEPTIEMBRE 2025'!AY:AY, "DISTOCICO")</f>
        <v>0</v>
      </c>
      <c r="M7" s="21">
        <f>COUNTIFS('SEPTIEMBRE 2025'!AZ:AZ, "SI", 'SEPTIEMBRE 2025'!AY:AY, "DISTOCICO")</f>
        <v>0</v>
      </c>
      <c r="N7" s="23">
        <f>COUNTIFS('SEPTIEMBRE 2025'!BN:BN,"SI", 'SEPTIEMBRE 2025'!AY:AY, "DISTOCICO")</f>
        <v>1</v>
      </c>
      <c r="O7" s="24">
        <f>COUNTIFS('SEPTIEMBRE 2025'!BO:BO, "SI", 'SEPTIEMBRE 2025'!AY:AY, "DISTOCICO")</f>
        <v>0</v>
      </c>
      <c r="P7" s="24">
        <f>COUNTIFS('SEPTIEMBRE 2025'!BP:BP, "SI", 'SEPTIEMBRE 2025'!AY:AY, "DISTOCICO")</f>
        <v>0</v>
      </c>
      <c r="Q7" s="24">
        <f>COUNTIFS('SEPTIEMBRE 2025'!BQ:BQ,"SI", 'SEPTIEMBRE 2025'!AY:AY, "DISTOCICO")</f>
        <v>0</v>
      </c>
      <c r="R7" s="24">
        <f>COUNTIFS('SEPTIEMBRE 2025'!BR:BR,"SI", 'SEPTIEMBRE 2025'!AY:AY, "DISTOCICO")</f>
        <v>0</v>
      </c>
      <c r="S7" s="24">
        <f>COUNTIFS('SEPTIEMBRE 2025'!BS:BS, "SI", 'SEPTIEMBRE 2025'!AY:AY, "DISTOCICO")</f>
        <v>0</v>
      </c>
      <c r="T7" s="24">
        <f>COUNTIFS('SEPTIEMBRE 2025'!CE:CE, "SI", 'SEPTIEMBRE 2025'!AY:AY, "DISTOCICO")</f>
        <v>0</v>
      </c>
      <c r="U7" s="24">
        <f>COUNTIFS('SEPTIEMBRE 2025'!CC:CC, "&lt;2500",'SEPTIEMBRE 2025'!CH:CH, "4", 'SEPTIEMBRE 2025'!AY:AY, "DISTOCICO", 'SEPTIEMBRE 2025'!CI:CI, "NO")</f>
        <v>0</v>
      </c>
      <c r="V7" s="24">
        <f>COUNTIFS('SEPTIEMBRE 2025'!AY:AY, "DISTOCICO",'SEPTIEMBRE 2025'!CC:CC, "&gt;2499",'SEPTIEMBRE 2025'!CH:CH, "4", 'SEPTIEMBRE 2025'!CI:CI, "NO")</f>
        <v>0</v>
      </c>
      <c r="W7" s="24">
        <f>COUNTIFS('SEPTIEMBRE 2025'!CC:CC, "&lt;2500",'SEPTIEMBRE 2025'!CH:CH, "4", 'SEPTIEMBRE 2025'!AY:AY, "DISTOCICO", 'SEPTIEMBRE 2025'!CI:CI, "SI")</f>
        <v>0</v>
      </c>
      <c r="X7" s="24">
        <f>COUNTIFS('SEPTIEMBRE 2025'!AY:AY, "DISTOCICO",'SEPTIEMBRE 2025'!CC:CC, "&gt;2499",'SEPTIEMBRE 2025'!CH:CH, "4", 'SEPTIEMBRE 2025'!CI:CI, "SI")</f>
        <v>1</v>
      </c>
      <c r="Y7" s="24"/>
      <c r="Z7" s="24"/>
      <c r="AA7" s="24">
        <v>0</v>
      </c>
      <c r="AB7" s="24">
        <f>COUNTIFS('SEPTIEMBRE 2025'!M:M, "SI",'SEPTIEMBRE 2025'!AY:AY, "DISTOCICO")</f>
        <v>0</v>
      </c>
      <c r="AC7" s="24">
        <f>COUNTIFS('SEPTIEMBRE 2025'!K:K, "SI",'SEPTIEMBRE 2025'!AY:AY, "DISTOCICO")</f>
        <v>0</v>
      </c>
      <c r="AD7" s="24">
        <f>COUNTIFS('SEPTIEMBRE 2025'!O:O, "SI",'SEPTIEMBRE 2025'!AY:AY, "DISTOCICO")</f>
        <v>0</v>
      </c>
      <c r="AE7" s="24">
        <f>COUNTIFS('SEPTIEMBRE 2025'!P:P, "SI",'SEPTIEMBRE 2025'!AY:AY, "DISTOCICO")</f>
        <v>0</v>
      </c>
      <c r="AF7" s="24">
        <f>COUNTIFS('SEPTIEMBRE 2025'!O:O, "SI",'SEPTIEMBRE 2025'!AY:AY, "DISTOCICO")</f>
        <v>0</v>
      </c>
      <c r="AG7" s="24">
        <v>0</v>
      </c>
    </row>
    <row r="8" spans="2:33" ht="16.5" thickTop="1" thickBot="1">
      <c r="B8" s="335" t="s">
        <v>226</v>
      </c>
      <c r="C8" s="336"/>
      <c r="D8" s="20">
        <f>SUM(E8:H8)</f>
        <v>0</v>
      </c>
      <c r="E8" s="20">
        <f>COUNTIFS('SEPTIEMBRE 2025'!N:N, "&lt;15", 'SEPTIEMBRE 2025'!AY:AY, "CES,ELECTIVA")</f>
        <v>0</v>
      </c>
      <c r="F8" s="20">
        <f>COUNTIFS('SEPTIEMBRE 2025'!N:N, "&gt;14",'SEPTIEMBRE 2025'!N:N, "&lt;20", 'SEPTIEMBRE 2025'!AY:AY, "CES.ELECTIVA")</f>
        <v>0</v>
      </c>
      <c r="G8" s="20">
        <f>COUNTIFS('SEPTIEMBRE 2025'!N:N, "&gt;19",'SEPTIEMBRE 2025'!N:N, "&lt;35", 'SEPTIEMBRE 2025'!AY:AY, "CES.ELECTIVA")</f>
        <v>0</v>
      </c>
      <c r="H8" s="20">
        <f>COUNTIFS('SEPTIEMBRE 2025'!N:N, "&gt;34", 'SEPTIEMBRE 2025'!AY:AY,"CES.ELECTIVA")</f>
        <v>0</v>
      </c>
      <c r="I8" s="20">
        <f>COUNTIFS('SEPTIEMBRE 2025'!AL:AL, "&lt;24",'SEPTIEMBRE 2025'!AY:AY, "CES.ELECTIVA")</f>
        <v>0</v>
      </c>
      <c r="J8" s="20">
        <f>COUNTIFS('SEPTIEMBRE 2025'!AL:AL, "&gt;23", 'SEPTIEMBRE 2025'!AL:AL, "&lt;29",'SEPTIEMBRE 2025'!AY:AY, "CES.ELECTIVA")</f>
        <v>0</v>
      </c>
      <c r="K8" s="20">
        <f>COUNTIFS('SEPTIEMBRE 2025'!AL:AL, "&gt;28",'SEPTIEMBRE 2025'!AL:AL, "&lt;33", 'SEPTIEMBRE 2025'!AY:AY,  "CES.ELECTIVA")</f>
        <v>0</v>
      </c>
      <c r="L8" s="20">
        <f>COUNTIFS('SEPTIEMBRE 2025'!AL:AL, "&gt;32",'SEPTIEMBRE 2025'!AL:AL, "&lt;37", 'SEPTIEMBRE 2025'!AY:AY, "CES.ELECTIVA")</f>
        <v>0</v>
      </c>
      <c r="M8" s="21">
        <f>COUNTIFS('SEPTIEMBRE 2025'!AZ:AZ, "SI", 'SEPTIEMBRE 2025'!AY:AY, "CES.ELECTIVA")</f>
        <v>0</v>
      </c>
      <c r="N8" s="24">
        <f>COUNTIFS('SEPTIEMBRE 2025'!BN:BN,"SI", 'SEPTIEMBRE 2025'!AY:AY, "CES.ELECTIVA")</f>
        <v>0</v>
      </c>
      <c r="O8" s="24">
        <f>COUNTIFS('SEPTIEMBRE 2025'!BO:BO, "SI", 'SEPTIEMBRE 2025'!AY:AY, "CES.ELECTIVA")</f>
        <v>0</v>
      </c>
      <c r="P8" s="24">
        <f>COUNTIFS('SEPTIEMBRE 2025'!BP:BP, "SI", 'SEPTIEMBRE 2025'!AY:AY, "CES.ELECTIVA")</f>
        <v>0</v>
      </c>
      <c r="Q8" s="24">
        <f>COUNTIFS('SEPTIEMBRE 2025'!BQ:BQ,"SI", 'SEPTIEMBRE 2025'!AY:AY, "CES.ELECTIVA")</f>
        <v>0</v>
      </c>
      <c r="R8" s="24">
        <f>COUNTIFS('SEPTIEMBRE 2025'!BR:BR,"SI", 'SEPTIEMBRE 2025'!AY:AY, "CES.ELECTIVA")</f>
        <v>0</v>
      </c>
      <c r="S8" s="24">
        <f>COUNTIFS('SEPTIEMBRE 2025'!BS:BS, "SI", 'SEPTIEMBRE 2025'!AY:AY, "CES.ELECTIVA")</f>
        <v>0</v>
      </c>
      <c r="T8" s="24">
        <f>COUNTIFS('SEPTIEMBRE 2025'!CE:CE, "SI", 'SEPTIEMBRE 2025'!AY:AY, "CES.ELECTIVA")</f>
        <v>0</v>
      </c>
      <c r="U8" s="24">
        <f>COUNTIFS('SEPTIEMBRE 2025'!CC:CC, "&lt;2500",'SEPTIEMBRE 2025'!CH:CH, "4", 'SEPTIEMBRE 2025'!AY:AY, "CES.ELETIVA", 'SEPTIEMBRE 2025'!CI:CI, "NO")</f>
        <v>0</v>
      </c>
      <c r="V8" s="24">
        <f>COUNTIFS('SEPTIEMBRE 2025'!AY:AY, "CES.ELECTIVA",'SEPTIEMBRE 2025'!CC:CC, "&gt;2499",'SEPTIEMBRE 2025'!CH:CH, "4", 'SEPTIEMBRE 2025'!CI:CI, "NO")</f>
        <v>0</v>
      </c>
      <c r="W8" s="24">
        <f>COUNTIFS('SEPTIEMBRE 2025'!CC:CC, "&lt;2500",'SEPTIEMBRE 2025'!CH:CH, "4", 'SEPTIEMBRE 2025'!AY:AY, "CES.ELETIVA", 'SEPTIEMBRE 2025'!CI:CI, "SI")</f>
        <v>0</v>
      </c>
      <c r="X8" s="24">
        <f>COUNTIFS('SEPTIEMBRE 2025'!AY:AY, "CES.ELECTIVA",'SEPTIEMBRE 2025'!CC:CC, "&gt;2499",'SEPTIEMBRE 2025'!CH:CH, "4", 'SEPTIEMBRE 2025'!CI:CI, "SI")</f>
        <v>0</v>
      </c>
      <c r="Y8" s="24"/>
      <c r="Z8" s="24"/>
      <c r="AA8" s="24">
        <v>0</v>
      </c>
      <c r="AB8" s="24">
        <f>COUNTIFS('SEPTIEMBRE 2025'!M:M, "SI",'SEPTIEMBRE 2025'!AY:AY, "CES.ELECTIVA")</f>
        <v>0</v>
      </c>
      <c r="AC8" s="24">
        <f>COUNTIFS('SEPTIEMBRE 2025'!K:K, "&lt;15", 'SEPTIEMBRE 2025'!AY:AY, "CES.ELECTIVA")</f>
        <v>0</v>
      </c>
      <c r="AD8" s="24">
        <f>COUNTIFS('SEPTIEMBRE 2025'!O:O, "SI",'SEPTIEMBRE 2025'!AY:AY, "CES.ELECTIVA")</f>
        <v>0</v>
      </c>
      <c r="AE8" s="24">
        <f>COUNTIFS('SEPTIEMBRE 2025'!P:P, "SI",'SEPTIEMBRE 2025'!AY:AY, "CES.ELECTIVA")</f>
        <v>0</v>
      </c>
      <c r="AF8" s="24">
        <f>COUNTIFS('SEPTIEMBRE 2025'!K:K, "&lt;15", 'SEPTIEMBRE 2025'!AY:AY, "CES.ELECTIVA")</f>
        <v>0</v>
      </c>
      <c r="AG8" s="24">
        <v>0</v>
      </c>
    </row>
    <row r="9" spans="2:33" ht="16.5" thickTop="1" thickBot="1">
      <c r="B9" s="337" t="s">
        <v>227</v>
      </c>
      <c r="C9" s="338"/>
      <c r="D9" s="20">
        <f>SUM(E9:H9)</f>
        <v>0</v>
      </c>
      <c r="E9" s="20">
        <f>COUNTIFS('SEPTIEMBRE 2025'!N:N, "&lt;15", 'SEPTIEMBRE 2025'!AY:AY, "CES. URGENCIA")</f>
        <v>0</v>
      </c>
      <c r="F9" s="20">
        <f>COUNTIFS('SEPTIEMBRE 2025'!N:N, "&gt;14",'SEPTIEMBRE 2025'!N:N, "&lt;20", 'SEPTIEMBRE 2025'!AY:AY, "CES. URGENCIA")</f>
        <v>0</v>
      </c>
      <c r="G9" s="20">
        <f>COUNTIFS('SEPTIEMBRE 2025'!N:N, "&gt;19",'SEPTIEMBRE 2025'!N:N, "&lt;35", 'SEPTIEMBRE 2025'!AY:AY, "CES. URGENCIA")</f>
        <v>0</v>
      </c>
      <c r="H9" s="20">
        <f>COUNTIFS('SEPTIEMBRE 2025'!N:N, "&gt;34", 'SEPTIEMBRE 2025'!AY:AY,"CES. URGENCIA")</f>
        <v>0</v>
      </c>
      <c r="I9" s="20">
        <f>COUNTIFS('SEPTIEMBRE 2025'!AL:AL, "&lt;24",'SEPTIEMBRE 2025'!AY:AY, "CES. URGENCIA")</f>
        <v>0</v>
      </c>
      <c r="J9" s="20">
        <f>COUNTIFS('SEPTIEMBRE 2025'!AL:AL, "&gt;23",'SEPTIEMBRE 2025'!AL:AL, "&lt;29", 'SEPTIEMBRE 2025'!AY:AY, "CES. URGENCIA")</f>
        <v>0</v>
      </c>
      <c r="K9" s="20">
        <f>COUNTIFS('SEPTIEMBRE 2025'!AL:AL, "&gt;28",'SEPTIEMBRE 2025'!AL:AL, "&lt;33",'SEPTIEMBRE 2025'!AY:AY,  "CES. URGENCIA")</f>
        <v>0</v>
      </c>
      <c r="L9" s="20">
        <f>COUNTIFS('SEPTIEMBRE 2025'!AL:AL, "&gt;32",'SEPTIEMBRE 2025'!AL:AL, "&lt;37", 'SEPTIEMBRE 2025'!AY:AY, "CES. URGENCIA")</f>
        <v>0</v>
      </c>
      <c r="M9" s="21">
        <f>COUNTIFS('SEPTIEMBRE 2025'!AZ:AZ, "SI", 'SEPTIEMBRE 2025'!AY:AY, "CES. URGENCIA")</f>
        <v>0</v>
      </c>
      <c r="N9" s="24">
        <f>COUNTIFS('SEPTIEMBRE 2025'!BN:BN,"SI", 'SEPTIEMBRE 2025'!AY:AY, "CES. URGENCIA")</f>
        <v>0</v>
      </c>
      <c r="O9" s="24">
        <f>COUNTIFS('SEPTIEMBRE 2025'!BO:BO, "SI", 'SEPTIEMBRE 2025'!AY:AY, "CES. URGENCIA")</f>
        <v>0</v>
      </c>
      <c r="P9" s="24">
        <f>COUNTIFS('SEPTIEMBRE 2025'!BP:BP, "SI", 'SEPTIEMBRE 2025'!AY:AY, "CES. URGENCIA")</f>
        <v>0</v>
      </c>
      <c r="Q9" s="24">
        <f>COUNTIFS('SEPTIEMBRE 2025'!BQ:BQ,"SI", 'SEPTIEMBRE 2025'!AY:AY, "CES. URGENCIA")</f>
        <v>0</v>
      </c>
      <c r="R9" s="24">
        <f>COUNTIFS('SEPTIEMBRE 2025'!BR:BR,"SI", 'SEPTIEMBRE 2025'!AY:AY, "CES. URGENCIA")</f>
        <v>0</v>
      </c>
      <c r="S9" s="24">
        <f>COUNTIFS('SEPTIEMBRE 2025'!BS:BS, "SI", 'SEPTIEMBRE 2025'!AY:AY, "CES. URGENCIA")</f>
        <v>0</v>
      </c>
      <c r="T9" s="24">
        <f>COUNTIFS('SEPTIEMBRE 2025'!CE:CE, "SI", 'SEPTIEMBRE 2025'!AY:AY, "CES. URGENCIA")</f>
        <v>0</v>
      </c>
      <c r="U9" s="24">
        <f>COUNTIFS('SEPTIEMBRE 2025'!CC:CC, "&lt;2500",'SEPTIEMBRE 2025'!CH:CH, "4", 'SEPTIEMBRE 2025'!AY:AY, "CES. URGENCIA", 'SEPTIEMBRE 2025'!CI:CI, "NO")</f>
        <v>0</v>
      </c>
      <c r="V9" s="24">
        <f>COUNTIFS('SEPTIEMBRE 2025'!AY:AY, "CES. URGENCIA",'SEPTIEMBRE 2025'!CC:CC, "&gt;2499",'SEPTIEMBRE 2025'!CH:CH, "4", 'SEPTIEMBRE 2025'!CI:CI, "NO")</f>
        <v>0</v>
      </c>
      <c r="W9" s="24">
        <f>COUNTIFS('SEPTIEMBRE 2025'!CC:CC, "&lt;2500",'SEPTIEMBRE 2025'!CH:CH, "4", 'SEPTIEMBRE 2025'!AY:AY, "CES. URGENCIA", 'SEPTIEMBRE 2025'!CI:CI, "SI")</f>
        <v>0</v>
      </c>
      <c r="X9" s="24">
        <f>COUNTIFS('SEPTIEMBRE 2025'!AY:AY, "CES. URGENCIA",'SEPTIEMBRE 2025'!CC:CC, "&gt;2499",'SEPTIEMBRE 2025'!CH:CH, "4", 'SEPTIEMBRE 2025'!CI:CI, "SI")</f>
        <v>0</v>
      </c>
      <c r="Y9" s="24"/>
      <c r="Z9" s="24"/>
      <c r="AA9" s="24">
        <v>0</v>
      </c>
      <c r="AB9" s="24">
        <f>COUNTIFS('SEPTIEMBRE 2025'!M:M, "SI",'SEPTIEMBRE 2025'!AY:AY, "CES. URGENCIA")</f>
        <v>0</v>
      </c>
      <c r="AC9" s="24">
        <f>COUNTIFS('SEPTIEMBRE 2025'!K:K, "&lt;15", 'SEPTIEMBRE 2025'!AY:AY, "CES. URGENCIA")</f>
        <v>0</v>
      </c>
      <c r="AD9" s="24">
        <f>COUNTIFS('SEPTIEMBRE 2025'!O:O, "SI",'SEPTIEMBRE 2025'!AY:AY, "CES. URGENCIA")</f>
        <v>0</v>
      </c>
      <c r="AE9" s="24">
        <f>COUNTIFS('SEPTIEMBRE 2025'!P:P, "SI",'SEPTIEMBRE 2025'!AY:AY, "CES. URGENCIA")</f>
        <v>0</v>
      </c>
      <c r="AF9" s="24">
        <f>COUNTIFS('SEPTIEMBRE 2025'!K:K, "&lt;15", 'SEPTIEMBRE 2025'!AY:AY, "CES. URGENCIA")</f>
        <v>0</v>
      </c>
      <c r="AG9" s="24">
        <v>0</v>
      </c>
    </row>
    <row r="10" spans="2:33" ht="15.75" thickTop="1">
      <c r="B10" s="339" t="s">
        <v>228</v>
      </c>
      <c r="C10" s="340"/>
      <c r="D10" s="25">
        <f>SUM(E10:H10)</f>
        <v>0</v>
      </c>
      <c r="E10" s="25">
        <f>COUNTIFS('SEPTIEMBRE 2025'!N:N, "&lt;15",'SEPTIEMBRE 2025'!AY:AY, "EUTOCICO", 'SEPTIEMBRE 2025'!B:B, "PREHOSPITALARIO")</f>
        <v>0</v>
      </c>
      <c r="F10" s="25">
        <f>COUNTIFS('SEPTIEMBRE 2025'!N:N, "&gt;14",'SEPTIEMBRE 2025'!N:N, "&lt;20", 'SEPTIEMBRE 2025'!AY:AY, "EUTOCICO", 'SEPTIEMBRE 2025'!B:B, "PREHOSPITALARIO")</f>
        <v>0</v>
      </c>
      <c r="G10" s="25">
        <f>COUNTIFS('SEPTIEMBRE 2025'!O:O, "&gt;14",'SEPTIEMBRE 2025'!O:O, "&lt;20", 'SEPTIEMBRE 2025'!AZ:AZ, "EUTOCICO", 'SEPTIEMBRE 2025'!C:C, "PREHOSPITALARIO")</f>
        <v>0</v>
      </c>
      <c r="H10" s="25">
        <f>COUNTIFS('SEPTIEMBRE 2025'!P:P, "&gt;14",'SEPTIEMBRE 2025'!P:P, "&lt;20", 'SEPTIEMBRE 2025'!BA:BA, "EUTOCICO", 'SEPTIEMBRE 2025'!D:D, "PREHOSPITALARIO")</f>
        <v>0</v>
      </c>
      <c r="I10" s="25">
        <f>COUNTIFS('SEPTIEMBRE 2025'!Q:Q, "&gt;14",'SEPTIEMBRE 2025'!Q:Q, "&lt;20", 'SEPTIEMBRE 2025'!BB:BB, "EUTOCICO", 'SEPTIEMBRE 2025'!E:E, "PREHOSPITALARIO")</f>
        <v>0</v>
      </c>
      <c r="J10" s="25">
        <f>COUNTIFS('SEPTIEMBRE 2025'!R:R, "&gt;14",'SEPTIEMBRE 2025'!R:R, "&lt;20", 'SEPTIEMBRE 2025'!BC:BC, "EUTOCICO", 'SEPTIEMBRE 2025'!G:G, "PREHOSPITALARIO")</f>
        <v>0</v>
      </c>
      <c r="K10" s="25">
        <f>COUNTIFS('SEPTIEMBRE 2025'!S:S, "&gt;14",'SEPTIEMBRE 2025'!S:S, "&lt;20", 'SEPTIEMBRE 2025'!BD:BD, "EUTOCICO", 'SEPTIEMBRE 2025'!H:H, "PREHOSPITALARIO")</f>
        <v>0</v>
      </c>
      <c r="L10" s="25">
        <f>COUNTIFS('SEPTIEMBRE 2025'!T:T, "&gt;14",'SEPTIEMBRE 2025'!T:T, "&lt;20", 'SEPTIEMBRE 2025'!BE:BE, "EUTOCICO", 'SEPTIEMBRE 2025'!I:I, "PREHOSPITALARIO")</f>
        <v>0</v>
      </c>
      <c r="M10" s="25">
        <f>COUNTIFS('SEPTIEMBRE 2025'!U:U, "&gt;14",'SEPTIEMBRE 2025'!U:U, "&lt;20", 'SEPTIEMBRE 2025'!BF:BF, "EUTOCICO", 'SEPTIEMBRE 2025'!J:J, "PREHOSPITALARIO")</f>
        <v>0</v>
      </c>
      <c r="N10" s="25">
        <f>COUNTIFS('SEPTIEMBRE 2025'!V:V, "&gt;14",'SEPTIEMBRE 2025'!V:V, "&lt;20", 'SEPTIEMBRE 2025'!BG:BG, "EUTOCICO", 'SEPTIEMBRE 2025'!K:K, "PREHOSPITALARIO")</f>
        <v>0</v>
      </c>
      <c r="O10" s="25">
        <f>COUNTIFS('SEPTIEMBRE 2025'!W:W, "&gt;14",'SEPTIEMBRE 2025'!W:W, "&lt;20", 'SEPTIEMBRE 2025'!BH:BH, "EUTOCICO", 'SEPTIEMBRE 2025'!L:L, "PREHOSPITALARIO")</f>
        <v>0</v>
      </c>
      <c r="P10" s="25">
        <f>COUNTIFS('SEPTIEMBRE 2025'!X:X, "&gt;14",'SEPTIEMBRE 2025'!X:X, "&lt;20", 'SEPTIEMBRE 2025'!BI:BI, "EUTOCICO", 'SEPTIEMBRE 2025'!M:M, "PREHOSPITALARIO")</f>
        <v>0</v>
      </c>
      <c r="Q10" s="25">
        <f>COUNTIFS('SEPTIEMBRE 2025'!Y:Y, "&gt;14",'SEPTIEMBRE 2025'!Y:Y, "&lt;20", 'SEPTIEMBRE 2025'!BJ:BJ, "EUTOCICO", 'SEPTIEMBRE 2025'!N:N, "PREHOSPITALARIO")</f>
        <v>0</v>
      </c>
      <c r="R10" s="25">
        <f>COUNTIFS('SEPTIEMBRE 2025'!Z:Z, "&gt;14",'SEPTIEMBRE 2025'!Z:Z, "&lt;20", 'SEPTIEMBRE 2025'!BK:BK, "EUTOCICO", 'SEPTIEMBRE 2025'!O:O, "PREHOSPITALARIO")</f>
        <v>0</v>
      </c>
      <c r="S10" s="25">
        <f>COUNTIFS('SEPTIEMBRE 2025'!AA:AA, "&gt;14",'SEPTIEMBRE 2025'!AA:AA, "&lt;20", 'SEPTIEMBRE 2025'!BL:BL, "EUTOCICO", 'SEPTIEMBRE 2025'!P:P, "PREHOSPITALARIO")</f>
        <v>0</v>
      </c>
      <c r="T10" s="25">
        <f>COUNTIFS('SEPTIEMBRE 2025'!AB:AB, "&gt;14",'SEPTIEMBRE 2025'!AB:AB, "&lt;20", 'SEPTIEMBRE 2025'!BM:BM, "EUTOCICO", 'SEPTIEMBRE 2025'!Q:Q, "PREHOSPITALARIO")</f>
        <v>0</v>
      </c>
      <c r="U10" s="25">
        <f>COUNTIFS('SEPTIEMBRE 2025'!AC:AC, "&gt;14",'SEPTIEMBRE 2025'!AC:AC, "&lt;20", 'SEPTIEMBRE 2025'!BN:BN, "EUTOCICO", 'SEPTIEMBRE 2025'!R:R, "PREHOSPITALARIO")</f>
        <v>0</v>
      </c>
      <c r="V10" s="25">
        <f>COUNTIFS('SEPTIEMBRE 2025'!AD:AD, "&gt;14",'SEPTIEMBRE 2025'!AD:AD, "&lt;20", 'SEPTIEMBRE 2025'!BO:BO, "EUTOCICO", 'SEPTIEMBRE 2025'!S:S, "PREHOSPITALARIO")</f>
        <v>0</v>
      </c>
      <c r="W10" s="25">
        <f>COUNTIFS('SEPTIEMBRE 2025'!AE:AE, "&gt;14",'SEPTIEMBRE 2025'!AE:AE, "&lt;20", 'SEPTIEMBRE 2025'!BP:BP, "EUTOCICO", 'SEPTIEMBRE 2025'!T:T, "PREHOSPITALARIO")</f>
        <v>0</v>
      </c>
      <c r="X10" s="25">
        <f>COUNTIFS('SEPTIEMBRE 2025'!AF:AF, "&gt;14",'SEPTIEMBRE 2025'!AF:AF, "&lt;20", 'SEPTIEMBRE 2025'!BQ:BQ, "EUTOCICO", 'SEPTIEMBRE 2025'!U:U, "PREHOSPITALARIO")</f>
        <v>0</v>
      </c>
      <c r="Y10" s="25">
        <f>COUNTIFS('SEPTIEMBRE 2025'!AG:AG, "&gt;14",'SEPTIEMBRE 2025'!AG:AG, "&lt;20", 'SEPTIEMBRE 2025'!BR:BR, "EUTOCICO", 'SEPTIEMBRE 2025'!V:V, "PREHOSPITALARIO")</f>
        <v>0</v>
      </c>
      <c r="Z10" s="25">
        <f>COUNTIFS('SEPTIEMBRE 2025'!AH:AH, "&gt;14",'SEPTIEMBRE 2025'!AH:AH, "&lt;20", 'SEPTIEMBRE 2025'!BS:BS, "EUTOCICO", 'SEPTIEMBRE 2025'!W:W, "PREHOSPITALARIO")</f>
        <v>0</v>
      </c>
      <c r="AA10" s="25">
        <f>COUNTIFS('SEPTIEMBRE 2025'!AI:AI, "&gt;14",'SEPTIEMBRE 2025'!AI:AI, "&lt;20", 'SEPTIEMBRE 2025'!BT:BT, "EUTOCICO", 'SEPTIEMBRE 2025'!X:X, "PREHOSPITALARIO")</f>
        <v>0</v>
      </c>
      <c r="AB10" s="25">
        <f>COUNTIFS('SEPTIEMBRE 2025'!AJ:AJ, "&gt;14",'SEPTIEMBRE 2025'!AJ:AJ, "&lt;20", 'SEPTIEMBRE 2025'!BU:BU, "EUTOCICO", 'SEPTIEMBRE 2025'!Y:Y, "PREHOSPITALARIO")</f>
        <v>0</v>
      </c>
      <c r="AC10" s="25">
        <f>COUNTIFS('SEPTIEMBRE 2025'!AK:AK, "&gt;14",'SEPTIEMBRE 2025'!AK:AK, "&lt;20", 'SEPTIEMBRE 2025'!BV:BV, "EUTOCICO", 'SEPTIEMBRE 2025'!Z:Z, "PREHOSPITALARIO")</f>
        <v>0</v>
      </c>
      <c r="AD10" s="25">
        <f>COUNTIFS('SEPTIEMBRE 2025'!AL:AL, "&gt;14",'SEPTIEMBRE 2025'!AL:AL, "&lt;20", 'SEPTIEMBRE 2025'!BW:BW, "EUTOCICO", 'SEPTIEMBRE 2025'!AA:AA, "PREHOSPITALARIO")</f>
        <v>0</v>
      </c>
      <c r="AE10" s="25">
        <f>COUNTIFS('SEPTIEMBRE 2025'!AP:AP, "&gt;14",'SEPTIEMBRE 2025'!AP:AP, "&lt;20", 'SEPTIEMBRE 2025'!BX:BX, "EUTOCICO", 'SEPTIEMBRE 2025'!AB:AB, "PREHOSPITALARIO")</f>
        <v>0</v>
      </c>
      <c r="AF10" s="25">
        <f>COUNTIFS('SEPTIEMBRE 2025'!AN:AN, "&gt;14",'SEPTIEMBRE 2025'!AN:AN, "&lt;20", 'SEPTIEMBRE 2025'!BY:BY, "EUTOCICO", 'SEPTIEMBRE 2025'!AC:AC, "PREHOSPITALARIO")</f>
        <v>0</v>
      </c>
      <c r="AG10" s="25">
        <f>COUNTIFS('SEPTIEMBRE 2025'!AP:AP, "&gt;14",'SEPTIEMBRE 2025'!AP:AP, "&lt;20", 'SEPTIEMBRE 2025'!BZ:BZ, "EUTOCICO", 'SEPTIEMBRE 2025'!AD:AD, "PREHOSPITALARIO")</f>
        <v>0</v>
      </c>
    </row>
    <row r="11" spans="2:33" s="76" customFormat="1">
      <c r="B11" s="351" t="s">
        <v>311</v>
      </c>
      <c r="C11" s="352"/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</row>
    <row r="12" spans="2:33" ht="15.75" thickBot="1">
      <c r="B12" s="341" t="s">
        <v>229</v>
      </c>
      <c r="C12" s="342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</row>
    <row r="13" spans="2:33" ht="15.75" thickTop="1">
      <c r="B13" s="343" t="s">
        <v>230</v>
      </c>
      <c r="C13" s="344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</row>
    <row r="14" spans="2:33" ht="15.75" thickBot="1">
      <c r="B14" s="345" t="s">
        <v>231</v>
      </c>
      <c r="C14" s="346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</row>
    <row r="15" spans="2:33" ht="15.75" thickTop="1">
      <c r="B15" s="347" t="s">
        <v>232</v>
      </c>
      <c r="C15" s="28" t="s">
        <v>233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</row>
    <row r="16" spans="2:33" ht="15.75" thickBot="1">
      <c r="B16" s="348"/>
      <c r="C16" s="29" t="s">
        <v>234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</row>
    <row r="17" spans="2:14" ht="15.75" thickTop="1"/>
    <row r="19" spans="2:14">
      <c r="I19" s="286" t="s">
        <v>69</v>
      </c>
      <c r="J19" s="286"/>
      <c r="K19" s="286"/>
      <c r="L19" s="286" t="s">
        <v>70</v>
      </c>
      <c r="M19" s="286"/>
      <c r="N19" s="286"/>
    </row>
    <row r="20" spans="2:14" ht="21">
      <c r="B20" s="349" t="s">
        <v>235</v>
      </c>
      <c r="C20" s="350"/>
      <c r="D20" s="30" t="s">
        <v>197</v>
      </c>
      <c r="E20" s="31" t="s">
        <v>236</v>
      </c>
      <c r="F20" s="31" t="s">
        <v>237</v>
      </c>
      <c r="G20" s="31" t="s">
        <v>238</v>
      </c>
      <c r="I20" s="31" t="s">
        <v>236</v>
      </c>
      <c r="J20" s="31" t="s">
        <v>237</v>
      </c>
      <c r="K20" s="31" t="s">
        <v>238</v>
      </c>
      <c r="L20" s="31" t="s">
        <v>236</v>
      </c>
      <c r="M20" s="31" t="s">
        <v>316</v>
      </c>
      <c r="N20" s="31" t="s">
        <v>317</v>
      </c>
    </row>
    <row r="21" spans="2:14">
      <c r="B21" s="329" t="s">
        <v>239</v>
      </c>
      <c r="C21" s="330"/>
      <c r="D21" s="32">
        <f>SUM(E21:G21)</f>
        <v>1</v>
      </c>
      <c r="E21" s="36">
        <f>I21+L21</f>
        <v>0</v>
      </c>
      <c r="F21" s="36">
        <f>J21+M21</f>
        <v>0</v>
      </c>
      <c r="G21" s="36">
        <f>K21+N21</f>
        <v>1</v>
      </c>
      <c r="I21" s="33">
        <f>COUNTIFS('SEPTIEMBRE 2025'!AL:AL, "&lt;28",'SEPTIEMBRE 2025'!AY:AY, "EUTOCICO", 'SEPTIEMBRE 2025'!AP:AP,"NO")</f>
        <v>0</v>
      </c>
      <c r="J21" s="33">
        <f>COUNTIFS('SEPTIEMBRE 2025'!AL:AL, "&lt;38", 'SEPTIEMBRE 2025'!AL:AL, "&gt;27",'SEPTIEMBRE 2025'!AY:AY, "EUTOCICO",'SEPTIEMBRE 2025'!AP:AP,"NO")</f>
        <v>0</v>
      </c>
      <c r="K21" s="33">
        <f>COUNTIFS('SEPTIEMBRE 2025'!AL:AL, "&gt;37",'SEPTIEMBRE 2025'!AY:AY, "EUTOCICO", 'SEPTIEMBRE 2025'!AP:AP,"NO")</f>
        <v>1</v>
      </c>
      <c r="L21" s="33">
        <f>COUNTIFS('SEPTIEMBRE 2025'!AL:AL, "&lt;28",'SEPTIEMBRE 2025'!AY:AY, "DISTOCICO",'SEPTIEMBRE 2025'!AP:AP,"NO")</f>
        <v>0</v>
      </c>
      <c r="M21" s="33">
        <f>COUNTIFS('SEPTIEMBRE 2025'!AL:AL, "&lt;38", 'SEPTIEMBRE 2025'!AL:AL, "&gt;27",'SEPTIEMBRE 2025'!AY:AY, "DISTOCICO",'SEPTIEMBRE 2025'!AP:AP,"NO")</f>
        <v>0</v>
      </c>
      <c r="N21" s="33">
        <f>COUNTIFS('SEPTIEMBRE 2025'!AL:AL, "&gt;37",'SEPTIEMBRE 2025'!AY:AY, "DISTOCICO", 'SEPTIEMBRE 2025'!AP:AP,"NO")</f>
        <v>0</v>
      </c>
    </row>
    <row r="22" spans="2:14">
      <c r="B22" s="353" t="s">
        <v>240</v>
      </c>
      <c r="C22" s="34" t="s">
        <v>241</v>
      </c>
      <c r="D22" s="35">
        <f>SUM(E22:G22)</f>
        <v>0</v>
      </c>
      <c r="E22" s="36">
        <v>0</v>
      </c>
      <c r="F22" s="36">
        <v>0</v>
      </c>
      <c r="G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</row>
    <row r="23" spans="2:14">
      <c r="B23" s="354"/>
      <c r="C23" s="37" t="s">
        <v>242</v>
      </c>
      <c r="D23" s="38">
        <f>SUM(E23:G23)</f>
        <v>0</v>
      </c>
      <c r="E23" s="39">
        <f t="shared" ref="E23:G26" si="1">I23+L23</f>
        <v>0</v>
      </c>
      <c r="F23" s="39">
        <f t="shared" si="1"/>
        <v>0</v>
      </c>
      <c r="G23" s="39">
        <f t="shared" si="1"/>
        <v>0</v>
      </c>
      <c r="I23" s="39">
        <f>COUNTIFS('SEPTIEMBRE 2025'!AL:AL, "&lt;28",'SEPTIEMBRE 2025'!AY:AY, "EUTOCICO",'SEPTIEMBRE 2025'!AP:AP,"SI")</f>
        <v>0</v>
      </c>
      <c r="J23" s="39">
        <f>COUNTIFS('SEPTIEMBRE 2025'!AL:AL, "&lt;38", 'SEPTIEMBRE 2025'!AL:AL, "&gt;27",'SEPTIEMBRE 2025'!AY:AY, "EUTOCICO", 'SEPTIEMBRE 2025'!AP:AP,"SI")</f>
        <v>0</v>
      </c>
      <c r="K23" s="39">
        <f>COUNTIFS('SEPTIEMBRE 2025'!AL:AL, "&gt;37",'SEPTIEMBRE 2025'!AY:AY, "EUTOCICO", 'SEPTIEMBRE 2025'!AP:AP,"SI")</f>
        <v>0</v>
      </c>
      <c r="L23" s="39">
        <f>COUNTIFS('SEPTIEMBRE 2025'!AL:AL, "&lt;28",'SEPTIEMBRE 2025'!AY:AY, "DISTOCICO", 'SEPTIEMBRE 2025'!AP:AP,"SI")</f>
        <v>0</v>
      </c>
      <c r="M23" s="39">
        <f>COUNTIFS('SEPTIEMBRE 2025'!AL:AL, "&lt;38", 'SEPTIEMBRE 2025'!AL:AL, "&gt;27",'SEPTIEMBRE 2025'!AY:AY, "DISTOCICO", 'SEPTIEMBRE 2025'!AP:AP,"SI")</f>
        <v>0</v>
      </c>
      <c r="N23" s="39">
        <f>COUNTIFS('SEPTIEMBRE 2025'!AL:AL, "&gt;37",'SEPTIEMBRE 2025'!AY:AY, "DISTOCICO", 'SEPTIEMBRE 2025'!AP:AP,"SI")</f>
        <v>0</v>
      </c>
    </row>
    <row r="24" spans="2:14">
      <c r="B24" s="333" t="s">
        <v>243</v>
      </c>
      <c r="C24" s="334"/>
      <c r="D24" s="35">
        <f>SUM(I24:K24)</f>
        <v>1</v>
      </c>
      <c r="E24" s="39">
        <f t="shared" si="1"/>
        <v>0</v>
      </c>
      <c r="F24" s="39">
        <f t="shared" si="1"/>
        <v>0</v>
      </c>
      <c r="G24" s="39">
        <f t="shared" si="1"/>
        <v>1</v>
      </c>
      <c r="I24" s="36">
        <f>COUNTIFS('SEPTIEMBRE 2025'!AL:AL, "&lt;28",'SEPTIEMBRE 2025'!AY:AY, "EUTOCICO", 'SEPTIEMBRE 2025'!AN:AN,"SI")</f>
        <v>0</v>
      </c>
      <c r="J24" s="36">
        <f>COUNTIFS('SEPTIEMBRE 2025'!AL:AL, "&lt;38", 'SEPTIEMBRE 2025'!AL:AL, "&gt;27", 'SEPTIEMBRE 2025'!AN:AN,"SI",'SEPTIEMBRE 2025'!AY:AY, "EUTOCICO" )</f>
        <v>0</v>
      </c>
      <c r="K24" s="36">
        <f>COUNTIFS('SEPTIEMBRE 2025'!AL:AL, "&gt;37",'SEPTIEMBRE 2025'!AY:AY, "EUTOCICO", 'SEPTIEMBRE 2025'!AN:AN,"SI")</f>
        <v>1</v>
      </c>
      <c r="L24" s="36">
        <f>COUNTIFS('SEPTIEMBRE 2025'!AL:AL, "&lt;28",'SEPTIEMBRE 2025'!AY:AY, "DISTOCICO", 'SEPTIEMBRE 2025'!AN:AN,"SI")</f>
        <v>0</v>
      </c>
      <c r="M24" s="36">
        <f>COUNTIFS('SEPTIEMBRE 2025'!AL:AL, "&lt;38", 'SEPTIEMBRE 2025'!AL:AL, "&gt;27", 'SEPTIEMBRE 2025'!AN:AN,"SI",'SEPTIEMBRE 2025'!AY:AY, "DISTOCICO" )</f>
        <v>0</v>
      </c>
      <c r="N24" s="36">
        <f>COUNTIFS('SEPTIEMBRE 2025'!AL:AL, "&gt;37",'SEPTIEMBRE 2025'!AY:AY, "DISTOCICO", 'SEPTIEMBRE 2025'!AN:AN,"SI")</f>
        <v>0</v>
      </c>
    </row>
    <row r="25" spans="2:14">
      <c r="B25" s="335" t="s">
        <v>244</v>
      </c>
      <c r="C25" s="336"/>
      <c r="D25" s="40">
        <f>SUM(I25:K25)</f>
        <v>0</v>
      </c>
      <c r="E25" s="39">
        <f t="shared" si="1"/>
        <v>0</v>
      </c>
      <c r="F25" s="39">
        <f t="shared" si="1"/>
        <v>0</v>
      </c>
      <c r="G25" s="39">
        <f t="shared" si="1"/>
        <v>0</v>
      </c>
      <c r="I25" s="41">
        <f>COUNTIFS('SEPTIEMBRE 2025'!AL:AL, "&lt;28",'SEPTIEMBRE 2025'!AY:AY, "EUTOCICO", 'SEPTIEMBRE 2025'!AW:AW,"SI")</f>
        <v>0</v>
      </c>
      <c r="J25" s="41">
        <f>COUNTIFS('SEPTIEMBRE 2025'!AL:AL, "&lt;38", 'SEPTIEMBRE 2025'!AL:AL, "&gt;27",'SEPTIEMBRE 2025'!AW:AW,"SI",'SEPTIEMBRE 2025'!AY:AY, "EUTOCICO")</f>
        <v>0</v>
      </c>
      <c r="K25" s="41">
        <f>COUNTIFS('SEPTIEMBRE 2025'!AL:AL, "&gt;37",'SEPTIEMBRE 2025'!AY:AY, "EUTOCICO", 'SEPTIEMBRE 2025'!AW:AW,"SI")</f>
        <v>0</v>
      </c>
      <c r="L25" s="41">
        <f>COUNTIFS('SEPTIEMBRE 2025'!AL:AL, "&lt;28",'SEPTIEMBRE 2025'!AY:AY, "DISTOCICO", 'SEPTIEMBRE 2025'!AW:AW,"SI")</f>
        <v>0</v>
      </c>
      <c r="M25" s="41">
        <f>COUNTIFS('SEPTIEMBRE 2025'!AL:AL, "&lt;38", 'SEPTIEMBRE 2025'!AL:AL, "&gt;27", 'SEPTIEMBRE 2025'!AW:AW,"SI",'SEPTIEMBRE 2025'!AY:AY, "DISTOCICO")</f>
        <v>0</v>
      </c>
      <c r="N25" s="41">
        <f>COUNTIFS('SEPTIEMBRE 2025'!AL:AL, "&gt;37",'SEPTIEMBRE 2025'!AY:AY, "DISTOCICO", 'SEPTIEMBRE 2025'!AW:AW,"SI")</f>
        <v>0</v>
      </c>
    </row>
    <row r="26" spans="2:14">
      <c r="B26" s="355" t="s">
        <v>245</v>
      </c>
      <c r="C26" s="356"/>
      <c r="D26" s="38">
        <f>SUM(I26:K26)</f>
        <v>0</v>
      </c>
      <c r="E26" s="39">
        <f t="shared" si="1"/>
        <v>0</v>
      </c>
      <c r="F26" s="39">
        <f t="shared" si="1"/>
        <v>0</v>
      </c>
      <c r="G26" s="39">
        <f t="shared" si="1"/>
        <v>0</v>
      </c>
      <c r="I26" s="39">
        <v>0</v>
      </c>
      <c r="J26" s="39">
        <f>COUNTIFS('SEPTIEMBRE 2025'!AL:AL, "&lt;38", 'SEPTIEMBRE 2025'!AL:AL, "&gt;27",'SEPTIEMBRE 2025'!AY:AY, "EUTOCICO",'SEPTIEMBRE 2025'!AX:AX,"LIQUIDO")</f>
        <v>0</v>
      </c>
      <c r="K26" s="39">
        <f>COUNTIFS('SEPTIEMBRE 2025'!AL:AL, "&gt;37",'SEPTIEMBRE 2025'!AY:AY, "EUTOCICO",'SEPTIEMBRE 2025'!AX:AX,"LIQUIDO")</f>
        <v>0</v>
      </c>
      <c r="L26" s="39">
        <v>0</v>
      </c>
      <c r="M26" s="39">
        <f>COUNTIFS('SEPTIEMBRE 2025'!AL:AL, "&lt;38", 'SEPTIEMBRE 2025'!AL:AL, "&gt;27",'SEPTIEMBRE 2025'!AY:AY, "DISTOCICO",'SEPTIEMBRE 2025'!AX:AX,"LIQUIDO")</f>
        <v>0</v>
      </c>
      <c r="N26" s="39">
        <f>COUNTIFS('SEPTIEMBRE 2025'!AL:AL, "&gt;37",'SEPTIEMBRE 2025'!AY:AY, "DISTOCICO",'SEPTIEMBRE 2025'!AX:AX,"LIQUIDO")</f>
        <v>0</v>
      </c>
    </row>
    <row r="27" spans="2:14" s="76" customFormat="1">
      <c r="B27" s="361" t="s">
        <v>328</v>
      </c>
      <c r="C27" s="106" t="s">
        <v>329</v>
      </c>
      <c r="D27" s="120">
        <f>SUM(E27:G27)</f>
        <v>0</v>
      </c>
      <c r="E27" s="39">
        <f t="shared" ref="E27:G28" si="2">SUM(I27+L27)</f>
        <v>0</v>
      </c>
      <c r="F27" s="39">
        <f t="shared" si="2"/>
        <v>0</v>
      </c>
      <c r="G27" s="39">
        <f t="shared" si="2"/>
        <v>0</v>
      </c>
      <c r="I27" s="39">
        <f>COUNTIFS('SEPTIEMBRE 2025'!AL:AL, "&lt;28",'SEPTIEMBRE 2025'!AY:AY, "DISTOCICO", 'SEPTIEMBRE 2025'!BS:BS, "SI")</f>
        <v>0</v>
      </c>
      <c r="J27" s="39">
        <f>COUNTIFS('SEPTIEMBRE 2025'!BS:BS, "SI", 'SEPTIEMBRE 2025'!AY:AY, "EUTOCICO", 'SEPTIEMBRE 2025'!AL:AL, "&lt;38", 'SEPTIEMBRE 2025'!AL:AL, "&gt;27")</f>
        <v>0</v>
      </c>
      <c r="K27" s="39">
        <f>COUNTIFS('SEPTIEMBRE 2025'!BS:BS, "SI", 'SEPTIEMBRE 2025'!AY:AY, "EUTOCICO", 'SEPTIEMBRE 2025'!AL:AL, "&gt;37")</f>
        <v>0</v>
      </c>
      <c r="L27" s="39">
        <f>COUNTIFS('SEPTIEMBRE 2025'!AL:AL, "&lt;28",'SEPTIEMBRE 2025'!AY:AY, "DISTOCICO", 'SEPTIEMBRE 2025'!BS:BS, "SI")</f>
        <v>0</v>
      </c>
      <c r="M27" s="39">
        <f>COUNTIFS('SEPTIEMBRE 2025'!BS:BS, "SI", 'SEPTIEMBRE 2025'!AY:AY, "DISTOCICO", 'SEPTIEMBRE 2025'!AL:AL, "&lt;38", 'SEPTIEMBRE 2025'!AL:AL, "&gt;27")</f>
        <v>0</v>
      </c>
      <c r="N27" s="39">
        <f>COUNTIFS('SEPTIEMBRE 2025'!BS:BS, "SI", 'SEPTIEMBRE 2025'!AY:AY, "DISTOCICO", 'SEPTIEMBRE 2025'!AL:AL, "&gt;37")</f>
        <v>0</v>
      </c>
    </row>
    <row r="28" spans="2:14" s="76" customFormat="1">
      <c r="B28" s="362"/>
      <c r="C28" s="107" t="s">
        <v>330</v>
      </c>
      <c r="D28" s="121">
        <f>SUM(E28:G28)</f>
        <v>0</v>
      </c>
      <c r="E28" s="39">
        <f t="shared" si="2"/>
        <v>0</v>
      </c>
      <c r="F28" s="39">
        <f t="shared" si="2"/>
        <v>0</v>
      </c>
      <c r="G28" s="39">
        <f t="shared" si="2"/>
        <v>0</v>
      </c>
      <c r="I28" s="39">
        <f>COUNTIFS('SEPTIEMBRE 2025'!AL:AL, "&lt;28",'SEPTIEMBRE 2025'!AY:AY, "DISTOCICO", 'SEPTIEMBRE 2025'!BS:BS, "SI")</f>
        <v>0</v>
      </c>
      <c r="J28" s="39">
        <f>COUNTIFS('SEPTIEMBRE 2025'!CZ:CZ, "SI", 'SEPTIEMBRE 2025'!AY:AY, "EUTOCICO", 'SEPTIEMBRE 2025'!AL:AL, "&lt;38", 'SEPTIEMBRE 2025'!AL:AL, "&gt;27")</f>
        <v>0</v>
      </c>
      <c r="K28" s="39">
        <f>COUNTIFS('SEPTIEMBRE 2025'!CZ:CZ, "SI", 'SEPTIEMBRE 2025'!AY:AY, "EUTOCICO", 'SEPTIEMBRE 2025'!AL:AL, "&gt;37")</f>
        <v>0</v>
      </c>
      <c r="L28" s="39">
        <f>COUNTIFS('SEPTIEMBRE 2025'!AL:AL, "&lt;28",'SEPTIEMBRE 2025'!AY:AY, "DISTOCICO", 'SEPTIEMBRE 2025'!BS:BS, "SI")</f>
        <v>0</v>
      </c>
      <c r="M28" s="39">
        <f>COUNTIFS('SEPTIEMBRE 2025'!BS:BS, "SI", 'SEPTIEMBRE 2025'!AY:AY, "DISTOCICO", 'SEPTIEMBRE 2025'!AL:AL, "&lt;38", 'SEPTIEMBRE 2025'!AL:AL, "&gt;27")</f>
        <v>0</v>
      </c>
      <c r="N28" s="39">
        <f>COUNTIFS('SEPTIEMBRE 2025'!CZ:CZ, "SI", 'SEPTIEMBRE 2025'!AY:AY, "DISTOCICO", 'SEPTIEMBRE 2025'!AL:AL, "&gt;37")</f>
        <v>0</v>
      </c>
    </row>
    <row r="29" spans="2:14">
      <c r="B29" s="357" t="s">
        <v>246</v>
      </c>
      <c r="C29" s="42" t="s">
        <v>247</v>
      </c>
      <c r="D29" s="35">
        <f>SUM(E29:G29)</f>
        <v>0</v>
      </c>
      <c r="E29" s="39">
        <f>I29+L29</f>
        <v>0</v>
      </c>
      <c r="F29" s="39">
        <v>0</v>
      </c>
      <c r="G29" s="39">
        <v>0</v>
      </c>
      <c r="I29" s="33">
        <f>COUNTIFS('SEPTIEMBRE 2025'!AL:AL, "&lt;28",'SEPTIEMBRE 2025'!AY:AY, "EUTOCICO")</f>
        <v>0</v>
      </c>
      <c r="J29" s="33">
        <f>COUNTIFS('SEPTIEMBRE 2025'!AL:AL, "&lt;38", 'SEPTIEMBRE 2025'!AL:AL, "&gt;27",'SEPTIEMBRE 2025'!AY:AY, "EUTOCICO",'SEPTIEMBRE 2025'!AP:AP,"NO")</f>
        <v>0</v>
      </c>
      <c r="K29" s="33">
        <f>COUNTIFS('SEPTIEMBRE 2025'!AL:AL, "&gt;37",'SEPTIEMBRE 2025'!AY:AY, "EUTOCICO", 'SEPTIEMBRE 2025'!AP:AP,"NO")</f>
        <v>1</v>
      </c>
      <c r="L29" s="33">
        <f>COUNTIFS('SEPTIEMBRE 2025'!AL:AL, "&lt;28",'SEPTIEMBRE 2025'!AY:AY, "DISTOCICO", 'SEPTIEMBRE 2025'!AP:AP,"NO")</f>
        <v>0</v>
      </c>
      <c r="M29" s="33">
        <f>COUNTIFS('SEPTIEMBRE 2025'!AL:AL, "&lt;38", 'SEPTIEMBRE 2025'!AL:AL, "&gt;27",'SEPTIEMBRE 2025'!AY:AY, "DISTOCICO",'SEPTIEMBRE 2025'!AP:AP,"NO")</f>
        <v>0</v>
      </c>
      <c r="N29" s="33">
        <f>COUNTIFS('SEPTIEMBRE 2025'!AL:AL, "&gt;37",'SEPTIEMBRE 2025'!AY:AY, "DISTOCICO", 'SEPTIEMBRE 2025'!AP:AP,"NO")</f>
        <v>0</v>
      </c>
    </row>
    <row r="30" spans="2:14">
      <c r="B30" s="358"/>
      <c r="C30" s="43" t="s">
        <v>248</v>
      </c>
      <c r="D30" s="38">
        <f>SUM(E30:G30)</f>
        <v>103</v>
      </c>
      <c r="E30" s="39">
        <f>I30+L30</f>
        <v>0</v>
      </c>
      <c r="F30" s="39">
        <v>29</v>
      </c>
      <c r="G30" s="39">
        <v>74</v>
      </c>
      <c r="I30" s="119">
        <v>0</v>
      </c>
      <c r="J30" s="119"/>
      <c r="K30" s="119"/>
      <c r="L30" s="119">
        <v>0</v>
      </c>
      <c r="M30" s="119"/>
      <c r="N30" s="119"/>
    </row>
    <row r="31" spans="2:14">
      <c r="B31" s="366" t="s">
        <v>84</v>
      </c>
      <c r="C31" s="367"/>
      <c r="D31" s="44">
        <f>SUM(F31:G31)</f>
        <v>0</v>
      </c>
      <c r="E31" s="33">
        <v>0</v>
      </c>
      <c r="F31" s="33">
        <v>0</v>
      </c>
      <c r="G31" s="33">
        <f>COUNTIF('SEPTIEMBRE 2025'!BB:BB,"EPISIOTOMIA")</f>
        <v>0</v>
      </c>
      <c r="I31" s="33">
        <f>COUNTIFS('SEPTIEMBRE 2025'!AL:AL, "&lt;28",'SEPTIEMBRE 2025'!AY:AY, "EUTOCICO",'SEPTIEMBRE 2025'!BD:BD,"E")</f>
        <v>0</v>
      </c>
      <c r="J31" s="33">
        <f>COUNTIFS('SEPTIEMBRE 2025'!AL:AL, "&lt;38", 'SEPTIEMBRE 2025'!AL:AL, "&gt;27",'SEPTIEMBRE 2025'!AY:AY, "EUTOCICO",'SEPTIEMBRE 2025'!BD:BD,"E")</f>
        <v>0</v>
      </c>
      <c r="K31" s="33">
        <f>COUNTIFS('SEPTIEMBRE 2025'!AL:AL, "&gt;37",'SEPTIEMBRE 2025'!AY:AY, "EUTOCICO",'SEPTIEMBRE 2025'!BD:BD,"E")</f>
        <v>0</v>
      </c>
      <c r="L31" s="33">
        <f>COUNTIFS('SEPTIEMBRE 2025'!AL:AL, "&lt;28",'SEPTIEMBRE 2025'!AY:AY, "DISTOCICO",'SEPTIEMBRE 2025'!BD:BD,"E")</f>
        <v>0</v>
      </c>
      <c r="M31" s="33">
        <f>COUNTIFS('SEPTIEMBRE 2025'!AL:AL, "&lt;38", 'SEPTIEMBRE 2025'!AL:AL, "&gt;27",'SEPTIEMBRE 2025'!AY:AY, "DISTOCICO",'SEPTIEMBRE 2025'!BD:BD,"E")</f>
        <v>0</v>
      </c>
      <c r="N31" s="33">
        <f>COUNTIFS('SEPTIEMBRE 2025'!AL:AL, "&gt;37",'SEPTIEMBRE 2025'!AY:AY, "DISTOCICO",'SEPTIEMBRE 2025'!BD:BD,"E")</f>
        <v>0</v>
      </c>
    </row>
    <row r="32" spans="2:14">
      <c r="B32" s="357" t="s">
        <v>249</v>
      </c>
      <c r="C32" s="45" t="s">
        <v>250</v>
      </c>
      <c r="D32" s="46">
        <f>SUM(I32:K32)</f>
        <v>0</v>
      </c>
      <c r="E32" s="33">
        <f t="shared" ref="E32:G33" si="3">SUM(I32+L32)</f>
        <v>0</v>
      </c>
      <c r="F32" s="33">
        <f t="shared" si="3"/>
        <v>0</v>
      </c>
      <c r="G32" s="33">
        <f t="shared" si="3"/>
        <v>0</v>
      </c>
      <c r="I32" s="39">
        <v>0</v>
      </c>
      <c r="J32" s="39">
        <f>COUNTIFS('SEPTIEMBRE 2025'!AL:AL, "&lt;38", 'SEPTIEMBRE 2025'!AL:AL, "&gt;27",'SEPTIEMBRE 2025'!AY:AY, "EUTOCICO",'SEPTIEMBRE 2025'!CJ:CJ,"SI")</f>
        <v>0</v>
      </c>
      <c r="K32" s="39">
        <f>COUNTIFS('SEPTIEMBRE 2025'!AL:AL, "&gt;37",'SEPTIEMBRE 2025'!AY:AY, "EUTOCICO",'SEPTIEMBRE 2025'!CJ:CJ,"SI")</f>
        <v>0</v>
      </c>
      <c r="L32" s="39">
        <v>0</v>
      </c>
      <c r="M32" s="39">
        <f>COUNTIFS('SEPTIEMBRE 2025'!AL:AL, "&lt;38", 'SEPTIEMBRE 2025'!AL:AL, "&gt;27",'SEPTIEMBRE 2025'!AY:AY, "DISTOCICO",'SEPTIEMBRE 2025'!CJ:CJ,"SI")</f>
        <v>0</v>
      </c>
      <c r="N32" s="39">
        <f>COUNTIFS('SEPTIEMBRE 2025'!AL:AL, "&gt;37",'SEPTIEMBRE 2025'!AY:AY, "DISTOCICO",'SEPTIEMBRE 2025'!CJ:CJ,"SI")</f>
        <v>0</v>
      </c>
    </row>
    <row r="33" spans="2:16">
      <c r="B33" s="358"/>
      <c r="C33" s="37" t="s">
        <v>251</v>
      </c>
      <c r="D33" s="38">
        <f>SUM(I33:K33)</f>
        <v>1</v>
      </c>
      <c r="E33" s="33">
        <f t="shared" si="3"/>
        <v>0</v>
      </c>
      <c r="F33" s="33">
        <f t="shared" si="3"/>
        <v>0</v>
      </c>
      <c r="G33" s="33">
        <f t="shared" si="3"/>
        <v>1</v>
      </c>
      <c r="I33" s="39">
        <v>0</v>
      </c>
      <c r="J33" s="39">
        <f>COUNTIFS('SEPTIEMBRE 2025'!AL:AL, "&lt;38", 'SEPTIEMBRE 2025'!AL:AL, "&gt;27",'SEPTIEMBRE 2025'!AY:AY, "EUTOCICO",'SEPTIEMBRE 2025'!CK:CK,"SI")</f>
        <v>0</v>
      </c>
      <c r="K33" s="39">
        <f>COUNTIFS('SEPTIEMBRE 2025'!AL:AL, "&gt;37",'SEPTIEMBRE 2025'!AY:AY, "EUTOCICO",'SEPTIEMBRE 2025'!CK:CK,"SI")</f>
        <v>1</v>
      </c>
      <c r="L33" s="39">
        <v>0</v>
      </c>
      <c r="M33" s="39">
        <f>COUNTIFS('SEPTIEMBRE 2025'!AL:AL, "&lt;38", 'SEPTIEMBRE 2025'!AL:AL, "&gt;27",'SEPTIEMBRE 2025'!AY:AY, "DISTOCICO",'SEPTIEMBRE 2025'!CK:CK,"SI")</f>
        <v>0</v>
      </c>
      <c r="N33" s="39">
        <f>COUNTIFS('SEPTIEMBRE 2025'!AL:AL, "&gt;37",'SEPTIEMBRE 2025'!AY:AY, "DISTOCICO",'SEPTIEMBRE 2025'!CK:CK,"SI")</f>
        <v>0</v>
      </c>
    </row>
    <row r="35" spans="2:16">
      <c r="B35" s="47" t="s">
        <v>252</v>
      </c>
      <c r="F35" s="48"/>
      <c r="G35" s="49"/>
      <c r="H35" s="49"/>
    </row>
    <row r="36" spans="2:16">
      <c r="B36" s="287" t="s">
        <v>18</v>
      </c>
      <c r="C36" s="287" t="s">
        <v>253</v>
      </c>
      <c r="D36" s="368" t="s">
        <v>254</v>
      </c>
      <c r="E36" s="369"/>
      <c r="F36" s="370"/>
      <c r="G36" s="363" t="s">
        <v>207</v>
      </c>
      <c r="H36" s="364"/>
      <c r="J36" s="284" t="s">
        <v>353</v>
      </c>
    </row>
    <row r="37" spans="2:16" ht="21">
      <c r="B37" s="289"/>
      <c r="C37" s="289"/>
      <c r="D37" s="15" t="s">
        <v>255</v>
      </c>
      <c r="E37" s="50" t="s">
        <v>256</v>
      </c>
      <c r="F37" s="51" t="s">
        <v>257</v>
      </c>
      <c r="G37" s="52" t="s">
        <v>222</v>
      </c>
      <c r="H37" s="30" t="s">
        <v>223</v>
      </c>
      <c r="J37" s="284"/>
    </row>
    <row r="38" spans="2:16">
      <c r="B38" s="53" t="s">
        <v>258</v>
      </c>
      <c r="C38" s="35">
        <f>SUM(D38:F38)</f>
        <v>5</v>
      </c>
      <c r="D38" s="54">
        <f>COUNTIFS('SEPTIEMBRE 2025'!N:N, "&lt;20",'SEPTIEMBRE 2025'!BE:BE, "SI")</f>
        <v>0</v>
      </c>
      <c r="E38" s="55">
        <f>COUNTIFS('SEPTIEMBRE 2025'!N:N, "&gt;19",'SEPTIEMBRE 2025'!N:N, "&lt;35",'SEPTIEMBRE 2025'!BE:BE, "SI")+2</f>
        <v>2</v>
      </c>
      <c r="F38" s="56">
        <f>COUNTIFS('SEPTIEMBRE 2025'!N:N, "&gt;34",'SEPTIEMBRE 2025'!BE:BE, "SI")+3</f>
        <v>3</v>
      </c>
      <c r="G38" s="57">
        <v>0</v>
      </c>
      <c r="H38" s="58">
        <v>0</v>
      </c>
      <c r="I38" s="14" t="s">
        <v>259</v>
      </c>
      <c r="J38" s="284"/>
    </row>
    <row r="39" spans="2:16">
      <c r="B39" s="59" t="s">
        <v>260</v>
      </c>
      <c r="C39" s="38">
        <f>SUM(D39:F39)</f>
        <v>0</v>
      </c>
      <c r="D39" s="54"/>
      <c r="E39" s="55"/>
      <c r="F39" s="56"/>
      <c r="G39" s="57"/>
      <c r="H39" s="58"/>
      <c r="J39" s="284"/>
    </row>
    <row r="41" spans="2:16">
      <c r="B41" s="365" t="s">
        <v>261</v>
      </c>
      <c r="C41" s="365"/>
      <c r="D41" s="365"/>
      <c r="E41" s="365"/>
      <c r="F41" s="365"/>
      <c r="G41" s="365"/>
      <c r="H41" s="365"/>
    </row>
    <row r="44" spans="2:16" s="76" customFormat="1">
      <c r="B44" s="359" t="s">
        <v>262</v>
      </c>
      <c r="C44" s="359"/>
      <c r="D44" s="286" t="s">
        <v>263</v>
      </c>
      <c r="E44" s="286"/>
      <c r="F44" s="286"/>
      <c r="G44" s="360" t="s">
        <v>264</v>
      </c>
      <c r="J44" s="285" t="s">
        <v>322</v>
      </c>
      <c r="K44" s="285"/>
      <c r="M44" s="286" t="s">
        <v>325</v>
      </c>
      <c r="N44" s="286"/>
      <c r="O44" s="286" t="s">
        <v>326</v>
      </c>
      <c r="P44" s="286"/>
    </row>
    <row r="45" spans="2:16" ht="21">
      <c r="B45" s="359"/>
      <c r="C45" s="359"/>
      <c r="D45" s="60" t="s">
        <v>318</v>
      </c>
      <c r="E45" s="60" t="s">
        <v>319</v>
      </c>
      <c r="F45" s="60" t="s">
        <v>322</v>
      </c>
      <c r="G45" s="360"/>
      <c r="J45" s="60" t="s">
        <v>320</v>
      </c>
      <c r="K45" s="60" t="s">
        <v>321</v>
      </c>
      <c r="M45" s="31" t="s">
        <v>323</v>
      </c>
      <c r="N45" s="31" t="s">
        <v>324</v>
      </c>
      <c r="O45" s="31" t="s">
        <v>323</v>
      </c>
      <c r="P45" s="31" t="s">
        <v>324</v>
      </c>
    </row>
    <row r="46" spans="2:16">
      <c r="B46" s="61" t="s">
        <v>265</v>
      </c>
      <c r="C46" s="62" t="s">
        <v>266</v>
      </c>
      <c r="D46" s="104">
        <f>M46+O46</f>
        <v>0</v>
      </c>
      <c r="E46" s="104">
        <f>COUNTIFS('SEPTIEMBRE 2025'!BE:BE, "SI",'SEPTIEMBRE 2025'!B:B, "INSTITUCIONAL", 'SEPTIEMBRE 2025'!AP:AP,"si", 'SEPTIEMBRE 2025'!AP:AP,"SI")</f>
        <v>0</v>
      </c>
      <c r="F46" s="104">
        <f>SUM(J46:K46)</f>
        <v>0</v>
      </c>
      <c r="G46" s="104">
        <v>0</v>
      </c>
      <c r="J46" s="20">
        <f>COUNTIFS('SEPTIEMBRE 2025'!BG:BG, "SI",'SEPTIEMBRE 2025'!B:B, "INSTITUCIONAL", 'SEPTIEMBRE 2025'!AY:AY, "CES. URGENCIA")</f>
        <v>0</v>
      </c>
      <c r="K46" s="20">
        <f>COUNTIFS('SEPTIEMBRE 2025'!BG:BG, "SI",'SEPTIEMBRE 2025'!B:B, "INSTITUCIONAL",'SEPTIEMBRE 2025'!AY:AY, "CES.ELECTIVA")</f>
        <v>0</v>
      </c>
      <c r="M46" s="33">
        <f>COUNTIFS('SEPTIEMBRE 2025'!AY:AY, "EUTOCICO", 'SEPTIEMBRE 2025'!AP:AP,"NO", 'SEPTIEMBRE 2025'!BE:BE, "SI",'SEPTIEMBRE 2025'!B:B, "INSTITUCIONAL", 'SEPTIEMBRE 2025'!AP:AP,"NO")</f>
        <v>0</v>
      </c>
      <c r="N46" s="89">
        <f>COUNTIFS('SEPTIEMBRE 2025'!AY:AY, "EUTOCICO", 'SEPTIEMBRE 2025'!AP:AP,"SI", 'SEPTIEMBRE 2025'!BE:BE, "SI",'SEPTIEMBRE 2025'!B:B, "INSTITUCIONAL", 'SEPTIEMBRE 2025'!AP:AP,"NO")</f>
        <v>0</v>
      </c>
      <c r="O46" s="33">
        <f>COUNTIFS('SEPTIEMBRE 2025'!AY:AY, "DISTOCICO", 'SEPTIEMBRE 2025'!AP:AP,"NO", 'SEPTIEMBRE 2025'!BE:BE, "SI",'SEPTIEMBRE 2025'!B:B, "INSTITUCIONAL", 'SEPTIEMBRE 2025'!AP:AP,"NO")</f>
        <v>0</v>
      </c>
      <c r="P46" s="89">
        <f>COUNTIFS('SEPTIEMBRE 2025'!AY:AY, "DISTOCICO", 'SEPTIEMBRE 2025'!AP:AP,"SI", 'SEPTIEMBRE 2025'!BE:BE, "SI",'SEPTIEMBRE 2025'!B:B, "INSTITUCIONAL", 'SEPTIEMBRE 2025'!AP:AP,"NO")</f>
        <v>0</v>
      </c>
    </row>
    <row r="47" spans="2:16">
      <c r="B47" s="63"/>
      <c r="C47" s="64" t="s">
        <v>267</v>
      </c>
      <c r="D47" s="20">
        <f>M47+O47</f>
        <v>1</v>
      </c>
      <c r="E47" s="20">
        <f>N47+P47</f>
        <v>0</v>
      </c>
      <c r="F47" s="20">
        <f t="shared" ref="F47:F56" si="4">SUM(J47:K47)</f>
        <v>0</v>
      </c>
      <c r="G47" s="20">
        <v>0</v>
      </c>
      <c r="J47" s="20">
        <f>COUNTIFS('SEPTIEMBRE 2025'!BH:BH, "SI",'SEPTIEMBRE 2025'!B:B, "INSTITUCIONAL", 'SEPTIEMBRE 2025'!AY:AY, "CES. URGENCIA")</f>
        <v>0</v>
      </c>
      <c r="K47" s="20">
        <f>COUNTIFS('SEPTIEMBRE 2025'!BH:BH, "SI",'SEPTIEMBRE 2025'!B:B, "INSTITUCIONAL",'SEPTIEMBRE 2025'!AY:AY, "CES.ELECTIVA")</f>
        <v>0</v>
      </c>
      <c r="M47" s="33">
        <f>COUNTIFS('SEPTIEMBRE 2025'!BF:BF, "SI",'SEPTIEMBRE 2025'!B:B, "INSTITUCIONAL", 'SEPTIEMBRE 2025'!AP:AP,"NO", 'SEPTIEMBRE 2025'!AY:AY, "EUTOCICO")</f>
        <v>1</v>
      </c>
      <c r="N47" s="89">
        <f>COUNTIFS('SEPTIEMBRE 2025'!BF:BF, "SI",'SEPTIEMBRE 2025'!B:B, "INSTITUCIONAL", 'SEPTIEMBRE 2025'!AP:AP,"SI", 'SEPTIEMBRE 2025'!AY:AY, "EUTOCICO")</f>
        <v>0</v>
      </c>
      <c r="O47" s="33">
        <f>COUNTIFS('SEPTIEMBRE 2025'!BF:BF, "SI",'SEPTIEMBRE 2025'!B:B, "INSTITUCIONAL", 'SEPTIEMBRE 2025'!AP:AP,"NO", 'SEPTIEMBRE 2025'!AY:AY, "DISTOCICO")</f>
        <v>0</v>
      </c>
      <c r="P47" s="89">
        <f>COUNTIFS('SEPTIEMBRE 2025'!BF:BF, "SI",'SEPTIEMBRE 2025'!B:B, "INSTITUCIONAL", 'SEPTIEMBRE 2025'!AP:AP,"SI", 'SEPTIEMBRE 2025'!AY:AY, "DISTOCICO")</f>
        <v>0</v>
      </c>
    </row>
    <row r="48" spans="2:16">
      <c r="B48" s="63"/>
      <c r="C48" s="64" t="s">
        <v>167</v>
      </c>
      <c r="D48" s="20">
        <v>0</v>
      </c>
      <c r="E48" s="20">
        <v>0</v>
      </c>
      <c r="F48" s="20">
        <f t="shared" si="4"/>
        <v>0</v>
      </c>
      <c r="G48" s="20">
        <v>0</v>
      </c>
      <c r="J48" s="20">
        <f>COUNTIFS('SEPTIEMBRE 2025'!BI:BI, "SI",'SEPTIEMBRE 2025'!B:B, "INSTITUCIONAL", 'SEPTIEMBRE 2025'!AY:AY, "CES. URGENCIA")</f>
        <v>0</v>
      </c>
      <c r="K48" s="20">
        <f>COUNTIFS('SEPTIEMBRE 2025'!BI:BI, "SI",'SEPTIEMBRE 2025'!B:B, "INSTITUCIONAL",'SEPTIEMBRE 2025'!AY:AY, "CES.ELECTIVA")</f>
        <v>0</v>
      </c>
      <c r="M48" s="105">
        <f>COUNTIFS('SEPTIEMBRE 2025'!BH:BH, "SI",'SEPTIEMBRE 2025'!B:B, "INSTITUCIONAL", 'SEPTIEMBRE 2025'!AP:AP,"NO", 'SEPTIEMBRE 2025'!AY:AY, "EUTOCICO")</f>
        <v>0</v>
      </c>
      <c r="N48" s="103"/>
      <c r="O48" s="105"/>
      <c r="P48" s="103"/>
    </row>
    <row r="49" spans="2:16">
      <c r="B49" s="63"/>
      <c r="C49" s="64" t="s">
        <v>268</v>
      </c>
      <c r="D49" s="118">
        <v>0</v>
      </c>
      <c r="E49" s="118">
        <v>0</v>
      </c>
      <c r="F49" s="118">
        <f t="shared" si="4"/>
        <v>0</v>
      </c>
      <c r="G49" s="118">
        <v>0</v>
      </c>
      <c r="J49" s="118">
        <v>0</v>
      </c>
      <c r="K49" s="118">
        <v>0</v>
      </c>
      <c r="M49" s="105">
        <f>COUNTIFS('SEPTIEMBRE 2025'!AN:AN, "&lt;28",'SEPTIEMBRE 2025'!BA:BA, "EUTOCICO", 'SEPTIEMBRE 2025'!AS:AS,"SI")</f>
        <v>0</v>
      </c>
      <c r="N49" s="103">
        <v>0</v>
      </c>
      <c r="O49" s="105">
        <v>0</v>
      </c>
      <c r="P49" s="103">
        <v>0</v>
      </c>
    </row>
    <row r="50" spans="2:16">
      <c r="B50" s="37"/>
      <c r="C50" s="65" t="s">
        <v>269</v>
      </c>
      <c r="D50" s="66">
        <f>COUNTIFS('SEPTIEMBRE 2025'!BJ:BJ, "SI",'SEPTIEMBRE 2025'!B:B, "INSTITUCIONAL", 'SEPTIEMBRE 2025'!AP:AP,"NO")</f>
        <v>0</v>
      </c>
      <c r="E50" s="66">
        <f>COUNTIFS('SEPTIEMBRE 2025'!BJ:BJ, "SI",'SEPTIEMBRE 2025'!B:B, "INSTITUCIONAL", 'SEPTIEMBRE 2025'!AP:AP,"si", 'SEPTIEMBRE 2025'!AP:AP,"SI")</f>
        <v>0</v>
      </c>
      <c r="F50" s="66">
        <f>SUM(J50:K50)</f>
        <v>0</v>
      </c>
      <c r="G50" s="66">
        <v>0</v>
      </c>
      <c r="J50" s="66">
        <f>COUNTIFS('SEPTIEMBRE 2025'!BJ:BJ, "SI",'SEPTIEMBRE 2025'!B:B, "INSTITUCIONAL", 'SEPTIEMBRE 2025'!AY:AY, "CES. URGENCIA")</f>
        <v>0</v>
      </c>
      <c r="K50" s="66">
        <f>COUNTIFS('SEPTIEMBRE 2025'!BJ:BJ, "SI",'SEPTIEMBRE 2025'!B:B, "INSTITUCIONAL",'SEPTIEMBRE 2025'!AY:AY, "CES.ELECTIVA")</f>
        <v>0</v>
      </c>
      <c r="M50" s="105">
        <f>COUNTIFS('SEPTIEMBRE 2025'!AN:AN, "&lt;28",'SEPTIEMBRE 2025'!BA:BA, "EUTOCICO", 'SEPTIEMBRE 2025'!BE:BE,"SI")</f>
        <v>0</v>
      </c>
      <c r="N50" s="103"/>
      <c r="O50" s="105"/>
      <c r="P50" s="103"/>
    </row>
    <row r="51" spans="2:16">
      <c r="B51" s="67" t="s">
        <v>270</v>
      </c>
      <c r="C51" s="68"/>
      <c r="D51" s="104">
        <v>0</v>
      </c>
      <c r="E51" s="104">
        <f>COUNTIFS('SEPTIEMBRE 2025'!V:V, "SI",'SEPTIEMBRE 2025'!B:B, "INSTITUCIONAL", 'SEPTIEMBRE 2025'!AP:AP,"SI")</f>
        <v>0</v>
      </c>
      <c r="F51" s="104">
        <f t="shared" si="4"/>
        <v>0</v>
      </c>
      <c r="G51" s="104">
        <v>0</v>
      </c>
      <c r="J51" s="20">
        <f>COUNTIFS('SEPTIEMBRE 2025'!V:V, "SI",'SEPTIEMBRE 2025'!B:B, "INSTITUCIONAL", 'SEPTIEMBRE 2025'!AY:AY, "CES. URGENCIA")</f>
        <v>0</v>
      </c>
      <c r="K51" s="20">
        <f>COUNTIFS('SEPTIEMBRE 2025'!V:V, "SI",'SEPTIEMBRE 2025'!B:B, "INSTITUCIONAL",'SEPTIEMBRE 2025'!AY:AY, "CES.ELECTIVA")</f>
        <v>0</v>
      </c>
      <c r="M51" s="33">
        <v>0</v>
      </c>
      <c r="N51" s="89"/>
      <c r="O51" s="33"/>
      <c r="P51" s="89"/>
    </row>
    <row r="52" spans="2:16">
      <c r="B52" s="69" t="s">
        <v>160</v>
      </c>
      <c r="C52" s="70"/>
      <c r="D52" s="20">
        <f>COUNTIFS('SEPTIEMBRE 2025'!U:U, "SI",'SEPTIEMBRE 2025'!B:B, "INSTITUCIONAL", 'SEPTIEMBRE 2025'!AP:AP,"NO")</f>
        <v>0</v>
      </c>
      <c r="E52" s="20">
        <f>COUNTIFS('SEPTIEMBRE 2025'!U:U, "SI",'SEPTIEMBRE 2025'!B:B, "INSTITUCIONAL", 'SEPTIEMBRE 2025'!AP:AP,"SI")</f>
        <v>0</v>
      </c>
      <c r="F52" s="20">
        <f t="shared" si="4"/>
        <v>0</v>
      </c>
      <c r="G52" s="20">
        <v>0</v>
      </c>
      <c r="J52" s="20">
        <f>COUNTIFS('SEPTIEMBRE 2025'!U:U, "SI",'SEPTIEMBRE 2025'!B:B, "INSTITUCIONAL", 'SEPTIEMBRE 2025'!AY:AY, "CES. URGENCIA")</f>
        <v>0</v>
      </c>
      <c r="K52" s="20">
        <f>COUNTIFS('SEPTIEMBRE 2025'!U:U, "SI",'SEPTIEMBRE 2025'!B:B, "INSTITUCIONAL",'SEPTIEMBRE 2025'!AY:AY, "CES.ELECTIVA")</f>
        <v>0</v>
      </c>
      <c r="M52" s="105">
        <f>COUNTIFS('SEPTIEMBRE 2025'!AN:AN, "&lt;28",'SEPTIEMBRE 2025'!BA:BA, "EUTOCICO")</f>
        <v>0</v>
      </c>
      <c r="N52" s="103"/>
      <c r="O52" s="105"/>
      <c r="P52" s="103"/>
    </row>
    <row r="53" spans="2:16">
      <c r="B53" s="69" t="s">
        <v>271</v>
      </c>
      <c r="C53" s="70"/>
      <c r="D53" s="20">
        <f>COUNTIFS('SEPTIEMBRE 2025'!V:V, "SI",'SEPTIEMBRE 2025'!B:B, "INSTITUCIONAL", 'SEPTIEMBRE 2025'!AP:AP,"NO")</f>
        <v>0</v>
      </c>
      <c r="E53" s="20">
        <f>COUNTIFS('SEPTIEMBRE 2025'!V:V, "SI",'SEPTIEMBRE 2025'!B:B, "INSTITUCIONAL", 'SEPTIEMBRE 2025'!AP:AP,"SI")</f>
        <v>0</v>
      </c>
      <c r="F53" s="20">
        <f t="shared" si="4"/>
        <v>0</v>
      </c>
      <c r="G53" s="20">
        <v>0</v>
      </c>
      <c r="J53" s="20">
        <f>COUNTIFS('SEPTIEMBRE 2025'!V:V, "SI",'SEPTIEMBRE 2025'!B:B, "INSTITUCIONAL", 'SEPTIEMBRE 2025'!AY:AY, "CES. URGENCIA")</f>
        <v>0</v>
      </c>
      <c r="K53" s="20">
        <f>COUNTIFS('SEPTIEMBRE 2025'!V:V, "SI",'SEPTIEMBRE 2025'!B:B, "INSTITUCIONAL",'SEPTIEMBRE 2025'!AY:AY, "CES.ELECTIVA")</f>
        <v>0</v>
      </c>
      <c r="M53" s="105">
        <v>0</v>
      </c>
      <c r="N53" s="103"/>
      <c r="O53" s="105"/>
      <c r="P53" s="103"/>
    </row>
    <row r="54" spans="2:16">
      <c r="B54" s="72" t="s">
        <v>272</v>
      </c>
      <c r="C54" s="73"/>
      <c r="D54" s="104"/>
      <c r="E54" s="104">
        <f>COUNTIFS('SEPTIEMBRE 2025'!BI:BI, "SI",'SEPTIEMBRE 2025'!B:B, "INSTITUCIONAL", 'SEPTIEMBRE 2025'!AP:AP,"SI")</f>
        <v>0</v>
      </c>
      <c r="F54" s="104">
        <f t="shared" si="4"/>
        <v>0</v>
      </c>
      <c r="G54" s="104">
        <v>0</v>
      </c>
      <c r="J54" s="20">
        <f>COUNTIFS('SEPTIEMBRE 2025'!BI:BI, "SI",'SEPTIEMBRE 2025'!B:B, "INSTITUCIONAL", 'SEPTIEMBRE 2025'!AY:AY, "CES. URGENCIA")</f>
        <v>0</v>
      </c>
      <c r="K54" s="20">
        <f>COUNTIFS('SEPTIEMBRE 2025'!BJ:BJ, "SI",'SEPTIEMBRE 2025'!C:C, "INSTITUCIONAL",'SEPTIEMBRE 2025'!AY:AY, "CES.ELECTIVA")</f>
        <v>0</v>
      </c>
      <c r="M54" s="33">
        <f>COUNTIFS('SEPTIEMBRE 2025'!BI:BI, "SI",'SEPTIEMBRE 2025'!B:B, "INSTITUCIONAL", 'SEPTIEMBRE 2025'!AP:AP,"NO",'SEPTIEMBRE 2025'!AY:AY, "EUTOCICO")</f>
        <v>0</v>
      </c>
      <c r="N54" s="89">
        <f>COUNTIFS('SEPTIEMBRE 2025'!BI:BI, "SI",'SEPTIEMBRE 2025'!B:B, "INSTITUCIONAL", 'SEPTIEMBRE 2025'!AP:AP,"SI",'SEPTIEMBRE 2025'!AY:AY, "EUTOCICO")</f>
        <v>0</v>
      </c>
      <c r="O54" s="33">
        <f>COUNTIFS('SEPTIEMBRE 2025'!BI:BI, "SI",'SEPTIEMBRE 2025'!B:B, "INSTITUCIONAL", 'SEPTIEMBRE 2025'!AP:AP,"NO",'SEPTIEMBRE 2025'!AY:AY, "DISTOCICO")</f>
        <v>0</v>
      </c>
      <c r="P54" s="89">
        <f>COUNTIFS('SEPTIEMBRE 2025'!BI:BI, "SI",'SEPTIEMBRE 2025'!B:B, "INSTITUCIONAL", 'SEPTIEMBRE 2025'!AP:AP,"SI",'SEPTIEMBRE 2025'!AY:AY, "DISTOCICO")</f>
        <v>0</v>
      </c>
    </row>
    <row r="55" spans="2:16">
      <c r="B55" s="69" t="s">
        <v>273</v>
      </c>
      <c r="C55" s="70"/>
      <c r="D55" s="20">
        <f>COUNTIFS('SEPTIEMBRE 2025'!BJ:BJ, "SI",'SEPTIEMBRE 2025'!B:B, "INSTITUCIONAL", 'SEPTIEMBRE 2025'!AP:AP,"NO")</f>
        <v>0</v>
      </c>
      <c r="E55" s="20">
        <f>COUNTIFS('SEPTIEMBRE 2025'!BJ:BJ, "SI",'SEPTIEMBRE 2025'!B:B, "INSTITUCIONAL", 'SEPTIEMBRE 2025'!AP:AP,"SI")</f>
        <v>0</v>
      </c>
      <c r="F55" s="20">
        <f t="shared" si="4"/>
        <v>0</v>
      </c>
      <c r="G55" s="20">
        <v>0</v>
      </c>
      <c r="J55" s="20">
        <f>COUNTIFS('SEPTIEMBRE 2025'!BJ:BJ, "SI",'SEPTIEMBRE 2025'!B:B, "INSTITUCIONAL", 'SEPTIEMBRE 2025'!AY:AY, "CES. URGENCIA")</f>
        <v>0</v>
      </c>
      <c r="K55" s="20">
        <f>COUNTIFS('SEPTIEMBRE 2025'!BK:BK, "SI",'SEPTIEMBRE 2025'!C:C, "INSTITUCIONAL",'SEPTIEMBRE 2025'!AY:AY, "CES.ELECTIVA")</f>
        <v>0</v>
      </c>
      <c r="M55" s="105">
        <v>0</v>
      </c>
      <c r="N55" s="103"/>
      <c r="O55" s="105"/>
      <c r="P55" s="103"/>
    </row>
    <row r="56" spans="2:16">
      <c r="B56" s="74" t="s">
        <v>327</v>
      </c>
      <c r="C56" s="75"/>
      <c r="D56" s="71">
        <f>SUM(M56+O56)</f>
        <v>0</v>
      </c>
      <c r="E56" s="71">
        <f>SUM(N56+P56)</f>
        <v>0</v>
      </c>
      <c r="F56" s="66">
        <f t="shared" si="4"/>
        <v>0</v>
      </c>
      <c r="G56" s="66">
        <v>0</v>
      </c>
      <c r="J56" s="71">
        <f>COUNTIFS('SEPTIEMBRE 2025'!BK:BK, "SI",'SEPTIEMBRE 2025'!B:B, "INSTITUCIONAL", 'SEPTIEMBRE 2025'!AY:AY, "CES. URGENCIA")</f>
        <v>0</v>
      </c>
      <c r="K56" s="71">
        <f>COUNTIFS('SEPTIEMBRE 2025'!BL:BL, "SI",'SEPTIEMBRE 2025'!C:C, "INSTITUCIONAL",'SEPTIEMBRE 2025'!AY:AY, "CES.ELECTIVA")</f>
        <v>0</v>
      </c>
      <c r="M56" s="33">
        <f>COUNTIFS('SEPTIEMBRE 2025'!BK:BK, "SI",'SEPTIEMBRE 2025'!B:B, "INSTITUCIONAL", 'SEPTIEMBRE 2025'!AP:AP,"NO", 'SEPTIEMBRE 2025'!AY:AY, "EUTOCICO")</f>
        <v>0</v>
      </c>
      <c r="N56" s="89">
        <f>COUNTIFS('SEPTIEMBRE 2025'!BK:BK, "SI",'SEPTIEMBRE 2025'!B:B, "INSTITUCIONAL", 'SEPTIEMBRE 2025'!AP:AP,"SI", 'SEPTIEMBRE 2025'!AY:AY, "EUTOCICO")</f>
        <v>0</v>
      </c>
      <c r="O56" s="33">
        <f>COUNTIFS('SEPTIEMBRE 2025'!BK:BK, "SI",'SEPTIEMBRE 2025'!B:B, "INSTITUCIONAL", 'SEPTIEMBRE 2025'!AP:AP,"NO", 'SEPTIEMBRE 2025'!AY:AY, "DISTOCICO")</f>
        <v>0</v>
      </c>
      <c r="P56" s="89">
        <f>COUNTIFS('SEPTIEMBRE 2025'!BK:BK, "SI",'SEPTIEMBRE 2025'!B:B, "INSTITUCIONAL", 'SEPTIEMBRE 2025'!AP:AP,"NO", 'SEPTIEMBRE 2025'!AY:AY, "DISTOCICO")</f>
        <v>0</v>
      </c>
    </row>
    <row r="57" spans="2:16">
      <c r="M57" s="76"/>
    </row>
    <row r="58" spans="2:16">
      <c r="M58" s="76"/>
    </row>
    <row r="59" spans="2:16">
      <c r="M59" s="76"/>
    </row>
    <row r="62" spans="2:16">
      <c r="G62" s="14" t="s">
        <v>309</v>
      </c>
    </row>
  </sheetData>
  <sheetProtection formatCells="0" formatColumns="0" formatRows="0" insertColumns="0" insertRows="0" insertHyperlinks="0" deleteColumns="0" deleteRows="0" sort="0" autoFilter="0" pivotTables="0"/>
  <mergeCells count="67">
    <mergeCell ref="B44:C45"/>
    <mergeCell ref="D44:F44"/>
    <mergeCell ref="G44:G45"/>
    <mergeCell ref="B27:B28"/>
    <mergeCell ref="G36:H36"/>
    <mergeCell ref="B41:H41"/>
    <mergeCell ref="B31:C31"/>
    <mergeCell ref="B32:B33"/>
    <mergeCell ref="B36:B37"/>
    <mergeCell ref="C36:C37"/>
    <mergeCell ref="D36:F36"/>
    <mergeCell ref="B22:B23"/>
    <mergeCell ref="B24:C24"/>
    <mergeCell ref="B25:C25"/>
    <mergeCell ref="B26:C26"/>
    <mergeCell ref="B29:B30"/>
    <mergeCell ref="B21:C21"/>
    <mergeCell ref="B5:C5"/>
    <mergeCell ref="B6:C6"/>
    <mergeCell ref="B7:C7"/>
    <mergeCell ref="B8:C8"/>
    <mergeCell ref="B9:C9"/>
    <mergeCell ref="B10:C10"/>
    <mergeCell ref="B12:C12"/>
    <mergeCell ref="B13:C13"/>
    <mergeCell ref="B14:C14"/>
    <mergeCell ref="B15:B16"/>
    <mergeCell ref="B20:C20"/>
    <mergeCell ref="B11:C11"/>
    <mergeCell ref="I3:I4"/>
    <mergeCell ref="J3:J4"/>
    <mergeCell ref="K3:K4"/>
    <mergeCell ref="L3:L4"/>
    <mergeCell ref="N3:N4"/>
    <mergeCell ref="AE2:AE4"/>
    <mergeCell ref="I19:K19"/>
    <mergeCell ref="L19:N19"/>
    <mergeCell ref="AF2:AG3"/>
    <mergeCell ref="B2:C4"/>
    <mergeCell ref="D2:D4"/>
    <mergeCell ref="E2:H2"/>
    <mergeCell ref="I2:L2"/>
    <mergeCell ref="M2:M4"/>
    <mergeCell ref="N2:S2"/>
    <mergeCell ref="E3:E4"/>
    <mergeCell ref="F3:F4"/>
    <mergeCell ref="G3:G4"/>
    <mergeCell ref="H3:H4"/>
    <mergeCell ref="U2:X2"/>
    <mergeCell ref="Y2:Y4"/>
    <mergeCell ref="AD2:AD4"/>
    <mergeCell ref="AA2:AA4"/>
    <mergeCell ref="AB2:AB4"/>
    <mergeCell ref="AC2:AC4"/>
    <mergeCell ref="W3:X3"/>
    <mergeCell ref="J36:J39"/>
    <mergeCell ref="J44:K44"/>
    <mergeCell ref="M44:N44"/>
    <mergeCell ref="O44:P44"/>
    <mergeCell ref="Z2:Z4"/>
    <mergeCell ref="O3:O4"/>
    <mergeCell ref="P3:P4"/>
    <mergeCell ref="Q3:Q4"/>
    <mergeCell ref="R3:R4"/>
    <mergeCell ref="S3:S4"/>
    <mergeCell ref="U3:V3"/>
    <mergeCell ref="T2:T4"/>
  </mergeCells>
  <dataValidations count="4">
    <dataValidation type="whole" allowBlank="1" showInputMessage="1" showErrorMessage="1" sqref="D38:H39">
      <formula1>0</formula1>
      <formula2>10000000</formula2>
    </dataValidation>
    <dataValidation type="whole" allowBlank="1" showInputMessage="1" showErrorMessage="1" sqref="D35:E36">
      <formula1>0</formula1>
      <formula2>1E+27</formula2>
    </dataValidation>
    <dataValidation allowBlank="1" showInputMessage="1" showErrorMessage="1" error="Valor no Permitido" sqref="D2:D3 I21:K29 B2:B3 B5:B15 U2:U3 W3 N3:S3 N2 I2 I3:L3 X4:X5 W5 B29 C32:F33 G20:G33 B22 C22:C23 B31:B32 B51:B56 B38 B35:B36 C35:C39 D35:F36 Y2:Y3 Z2:AF2 I31:N31 L29:M30 K30:K31 N29:N33 K20 L21:M22 N20:N22 I30:J30 L23:N28 Y5:AG5 E6:AG16 I32:M33 D5:D16 B44 B46 G44 D45:F45 J45:K45 M46:M56 O46:O56 B24:B27 V4:V5 E5:U5 D21:F31 D31:G31"/>
    <dataValidation type="whole" operator="greaterThanOrEqual" allowBlank="1" showInputMessage="1" showErrorMessage="1" error="Valor no Permitido" sqref="D46:G56 J46:K56">
      <formula1>0</formula1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00"/>
  <sheetViews>
    <sheetView topLeftCell="A7" workbookViewId="0">
      <selection activeCell="Q10" sqref="Q10"/>
    </sheetView>
  </sheetViews>
  <sheetFormatPr baseColWidth="10" defaultRowHeight="15"/>
  <cols>
    <col min="4" max="4" width="47.140625" customWidth="1"/>
    <col min="5" max="5" width="9" bestFit="1" customWidth="1"/>
    <col min="6" max="6" width="3.5703125" bestFit="1" customWidth="1"/>
    <col min="7" max="7" width="24" customWidth="1"/>
    <col min="8" max="8" width="24.85546875" customWidth="1"/>
  </cols>
  <sheetData>
    <row r="3" spans="2:13">
      <c r="B3" s="140" t="s">
        <v>357</v>
      </c>
      <c r="C3" s="140" t="s">
        <v>0</v>
      </c>
      <c r="D3" s="140" t="s">
        <v>358</v>
      </c>
      <c r="E3" s="140" t="s">
        <v>359</v>
      </c>
      <c r="F3" s="140" t="s">
        <v>3</v>
      </c>
      <c r="G3" s="140" t="s">
        <v>106</v>
      </c>
      <c r="H3" s="140" t="s">
        <v>360</v>
      </c>
      <c r="I3" s="140" t="s">
        <v>361</v>
      </c>
      <c r="J3" s="140" t="s">
        <v>362</v>
      </c>
      <c r="K3" s="140" t="s">
        <v>363</v>
      </c>
      <c r="L3" s="140" t="s">
        <v>364</v>
      </c>
      <c r="M3" s="140" t="s">
        <v>365</v>
      </c>
    </row>
    <row r="4" spans="2:13">
      <c r="B4" s="141">
        <f>'SEPTIEMBRE 2025'!D4</f>
        <v>45901</v>
      </c>
      <c r="C4" s="142">
        <f>'SEPTIEMBRE 2025'!E4</f>
        <v>0.41388888888888892</v>
      </c>
      <c r="D4" s="89" t="str">
        <f>'SEPTIEMBRE 2025'!H4</f>
        <v>NICOLE ANGELA FLORES ZAPATA</v>
      </c>
      <c r="E4" s="89">
        <f>'SEPTIEMBRE 2025'!I4</f>
        <v>11111111</v>
      </c>
      <c r="F4" s="89">
        <f>'SEPTIEMBRE 2025'!J4</f>
        <v>0</v>
      </c>
      <c r="G4" s="89" t="str">
        <f>'SEPTIEMBRE 2025'!U4</f>
        <v>FEDERICO PUGA</v>
      </c>
      <c r="H4" s="89" t="str">
        <f>'SEPTIEMBRE 2025'!AY4</f>
        <v>EUTOCICO</v>
      </c>
      <c r="I4" s="89">
        <f>'SEPTIEMBRE 2025'!CC4</f>
        <v>3450</v>
      </c>
      <c r="J4" s="89">
        <f>'SEPTIEMBRE 2025'!CD4</f>
        <v>50</v>
      </c>
      <c r="K4" s="89">
        <f>'SEPTIEMBRE 2025'!CF4</f>
        <v>8</v>
      </c>
      <c r="L4" s="89">
        <f>'SEPTIEMBRE 2025'!CG4</f>
        <v>9</v>
      </c>
      <c r="M4" s="89">
        <f>'SEPTIEMBRE 2025'!CH4</f>
        <v>4</v>
      </c>
    </row>
    <row r="5" spans="2:13">
      <c r="B5" s="141">
        <f>'SEPTIEMBRE 2025'!D5</f>
        <v>0</v>
      </c>
      <c r="C5" s="142">
        <f>'SEPTIEMBRE 2025'!E5</f>
        <v>0</v>
      </c>
      <c r="D5" s="89">
        <f>'SEPTIEMBRE 2025'!H5</f>
        <v>0</v>
      </c>
      <c r="E5" s="89">
        <f>'SEPTIEMBRE 2025'!I5</f>
        <v>0</v>
      </c>
      <c r="F5" s="89">
        <f>'SEPTIEMBRE 2025'!J5</f>
        <v>0</v>
      </c>
      <c r="G5" s="89">
        <f>'SEPTIEMBRE 2025'!U5</f>
        <v>0</v>
      </c>
      <c r="H5" s="89" t="str">
        <f>'SEPTIEMBRE 2025'!AY5</f>
        <v>DISTOCICO</v>
      </c>
      <c r="I5" s="89">
        <f>'SEPTIEMBRE 2025'!CC5</f>
        <v>3350</v>
      </c>
      <c r="J5" s="89">
        <f>'SEPTIEMBRE 2025'!CD5</f>
        <v>50</v>
      </c>
      <c r="K5" s="89">
        <f>'SEPTIEMBRE 2025'!CF5</f>
        <v>8</v>
      </c>
      <c r="L5" s="89">
        <f>'SEPTIEMBRE 2025'!CG5</f>
        <v>9</v>
      </c>
      <c r="M5" s="89">
        <f>'SEPTIEMBRE 2025'!CH5</f>
        <v>4</v>
      </c>
    </row>
    <row r="6" spans="2:13">
      <c r="B6" s="141">
        <f>'SEPTIEMBRE 2025'!D6</f>
        <v>0</v>
      </c>
      <c r="C6" s="142">
        <f>'SEPTIEMBRE 2025'!E6</f>
        <v>0</v>
      </c>
      <c r="D6" s="89">
        <f>'SEPTIEMBRE 2025'!H6</f>
        <v>0</v>
      </c>
      <c r="E6" s="89">
        <f>'SEPTIEMBRE 2025'!I6</f>
        <v>0</v>
      </c>
      <c r="F6" s="89">
        <f>'SEPTIEMBRE 2025'!J6</f>
        <v>0</v>
      </c>
      <c r="G6" s="89">
        <f>'SEPTIEMBRE 2025'!U6</f>
        <v>0</v>
      </c>
      <c r="H6" s="89" t="str">
        <f>'SEPTIEMBRE 2025'!AY6</f>
        <v>CES. URGENCIA</v>
      </c>
      <c r="I6" s="89">
        <f>'SEPTIEMBRE 2025'!CC6</f>
        <v>0</v>
      </c>
      <c r="J6" s="89">
        <f>'SEPTIEMBRE 2025'!CD6</f>
        <v>0</v>
      </c>
      <c r="K6" s="89">
        <f>'SEPTIEMBRE 2025'!CF6</f>
        <v>0</v>
      </c>
      <c r="L6" s="89">
        <f>'SEPTIEMBRE 2025'!CG6</f>
        <v>0</v>
      </c>
      <c r="M6" s="89">
        <f>'SEPTIEMBRE 2025'!CH6</f>
        <v>0</v>
      </c>
    </row>
    <row r="7" spans="2:13">
      <c r="B7" s="141">
        <f>'SEPTIEMBRE 2025'!D7</f>
        <v>0</v>
      </c>
      <c r="C7" s="142">
        <f>'SEPTIEMBRE 2025'!E7</f>
        <v>0</v>
      </c>
      <c r="D7" s="89">
        <f>'SEPTIEMBRE 2025'!H7</f>
        <v>0</v>
      </c>
      <c r="E7" s="89">
        <f>'SEPTIEMBRE 2025'!I7</f>
        <v>0</v>
      </c>
      <c r="F7" s="89">
        <f>'SEPTIEMBRE 2025'!J7</f>
        <v>0</v>
      </c>
      <c r="G7" s="89">
        <f>'SEPTIEMBRE 2025'!U7</f>
        <v>0</v>
      </c>
      <c r="H7" s="89" t="str">
        <f>'SEPTIEMBRE 2025'!AY7</f>
        <v>CES.ELECTIVA</v>
      </c>
      <c r="I7" s="89">
        <f>'SEPTIEMBRE 2025'!CC7</f>
        <v>0</v>
      </c>
      <c r="J7" s="89">
        <f>'SEPTIEMBRE 2025'!CD7</f>
        <v>0</v>
      </c>
      <c r="K7" s="89">
        <f>'SEPTIEMBRE 2025'!CF7</f>
        <v>0</v>
      </c>
      <c r="L7" s="89">
        <f>'SEPTIEMBRE 2025'!CG7</f>
        <v>0</v>
      </c>
      <c r="M7" s="89">
        <f>'SEPTIEMBRE 2025'!CH7</f>
        <v>0</v>
      </c>
    </row>
    <row r="8" spans="2:13">
      <c r="B8" s="141">
        <f>'SEPTIEMBRE 2025'!D8</f>
        <v>0</v>
      </c>
      <c r="C8" s="142">
        <f>'SEPTIEMBRE 2025'!E8</f>
        <v>0</v>
      </c>
      <c r="D8" s="89">
        <f>'SEPTIEMBRE 2025'!H8</f>
        <v>0</v>
      </c>
      <c r="E8" s="89">
        <f>'SEPTIEMBRE 2025'!I8</f>
        <v>0</v>
      </c>
      <c r="F8" s="89">
        <f>'SEPTIEMBRE 2025'!J8</f>
        <v>0</v>
      </c>
      <c r="G8" s="89">
        <f>'SEPTIEMBRE 2025'!U8</f>
        <v>0</v>
      </c>
      <c r="H8" s="89">
        <f>'SEPTIEMBRE 2025'!AY8</f>
        <v>0</v>
      </c>
      <c r="I8" s="89">
        <f>'SEPTIEMBRE 2025'!CC8</f>
        <v>0</v>
      </c>
      <c r="J8" s="89">
        <f>'SEPTIEMBRE 2025'!CD8</f>
        <v>0</v>
      </c>
      <c r="K8" s="89">
        <f>'SEPTIEMBRE 2025'!CF8</f>
        <v>0</v>
      </c>
      <c r="L8" s="89">
        <f>'SEPTIEMBRE 2025'!CG8</f>
        <v>0</v>
      </c>
      <c r="M8" s="89">
        <f>'SEPTIEMBRE 2025'!CH8</f>
        <v>0</v>
      </c>
    </row>
    <row r="9" spans="2:13">
      <c r="B9" s="141">
        <f>'SEPTIEMBRE 2025'!D9</f>
        <v>0</v>
      </c>
      <c r="C9" s="142">
        <f>'SEPTIEMBRE 2025'!E9</f>
        <v>0</v>
      </c>
      <c r="D9" s="89">
        <f>'SEPTIEMBRE 2025'!H9</f>
        <v>0</v>
      </c>
      <c r="E9" s="89">
        <f>'SEPTIEMBRE 2025'!I9</f>
        <v>0</v>
      </c>
      <c r="F9" s="89">
        <f>'SEPTIEMBRE 2025'!J9</f>
        <v>0</v>
      </c>
      <c r="G9" s="89">
        <f>'SEPTIEMBRE 2025'!U9</f>
        <v>0</v>
      </c>
      <c r="H9" s="89">
        <f>'SEPTIEMBRE 2025'!AY9</f>
        <v>0</v>
      </c>
      <c r="I9" s="89">
        <f>'SEPTIEMBRE 2025'!CC9</f>
        <v>0</v>
      </c>
      <c r="J9" s="89">
        <f>'SEPTIEMBRE 2025'!CD9</f>
        <v>0</v>
      </c>
      <c r="K9" s="89">
        <f>'SEPTIEMBRE 2025'!CF9</f>
        <v>0</v>
      </c>
      <c r="L9" s="89">
        <f>'SEPTIEMBRE 2025'!CG9</f>
        <v>0</v>
      </c>
      <c r="M9" s="89">
        <f>'SEPTIEMBRE 2025'!CH9</f>
        <v>0</v>
      </c>
    </row>
    <row r="10" spans="2:13">
      <c r="B10" s="141">
        <f>'SEPTIEMBRE 2025'!D10</f>
        <v>0</v>
      </c>
      <c r="C10" s="142">
        <f>'SEPTIEMBRE 2025'!E10</f>
        <v>0</v>
      </c>
      <c r="D10" s="89">
        <f>'SEPTIEMBRE 2025'!H10</f>
        <v>0</v>
      </c>
      <c r="E10" s="89">
        <f>'SEPTIEMBRE 2025'!I10</f>
        <v>0</v>
      </c>
      <c r="F10" s="89">
        <f>'SEPTIEMBRE 2025'!J10</f>
        <v>0</v>
      </c>
      <c r="G10" s="89">
        <f>'SEPTIEMBRE 2025'!U10</f>
        <v>0</v>
      </c>
      <c r="H10" s="89">
        <f>'SEPTIEMBRE 2025'!AY10</f>
        <v>0</v>
      </c>
      <c r="I10" s="89">
        <f>'SEPTIEMBRE 2025'!CC10</f>
        <v>0</v>
      </c>
      <c r="J10" s="89">
        <f>'SEPTIEMBRE 2025'!CD10</f>
        <v>0</v>
      </c>
      <c r="K10" s="89">
        <f>'SEPTIEMBRE 2025'!CF10</f>
        <v>0</v>
      </c>
      <c r="L10" s="89">
        <f>'SEPTIEMBRE 2025'!CG10</f>
        <v>0</v>
      </c>
      <c r="M10" s="89">
        <f>'SEPTIEMBRE 2025'!CH10</f>
        <v>0</v>
      </c>
    </row>
    <row r="11" spans="2:13">
      <c r="B11" s="141">
        <f>'SEPTIEMBRE 2025'!D11</f>
        <v>0</v>
      </c>
      <c r="C11" s="142">
        <f>'SEPTIEMBRE 2025'!E11</f>
        <v>0</v>
      </c>
      <c r="D11" s="89">
        <f>'SEPTIEMBRE 2025'!H11</f>
        <v>0</v>
      </c>
      <c r="E11" s="89">
        <f>'SEPTIEMBRE 2025'!I11</f>
        <v>0</v>
      </c>
      <c r="F11" s="89">
        <f>'SEPTIEMBRE 2025'!J11</f>
        <v>0</v>
      </c>
      <c r="G11" s="89">
        <f>'SEPTIEMBRE 2025'!U11</f>
        <v>0</v>
      </c>
      <c r="H11" s="89">
        <f>'SEPTIEMBRE 2025'!AY11</f>
        <v>0</v>
      </c>
      <c r="I11" s="89">
        <f>'SEPTIEMBRE 2025'!CC11</f>
        <v>0</v>
      </c>
      <c r="J11" s="89">
        <f>'SEPTIEMBRE 2025'!CD11</f>
        <v>0</v>
      </c>
      <c r="K11" s="89">
        <f>'SEPTIEMBRE 2025'!CF11</f>
        <v>0</v>
      </c>
      <c r="L11" s="89">
        <f>'SEPTIEMBRE 2025'!CG11</f>
        <v>0</v>
      </c>
      <c r="M11" s="89">
        <f>'SEPTIEMBRE 2025'!CH11</f>
        <v>0</v>
      </c>
    </row>
    <row r="12" spans="2:13">
      <c r="B12" s="141">
        <f>'SEPTIEMBRE 2025'!D12</f>
        <v>0</v>
      </c>
      <c r="C12" s="142">
        <f>'SEPTIEMBRE 2025'!E12</f>
        <v>0</v>
      </c>
      <c r="D12" s="89">
        <f>'SEPTIEMBRE 2025'!H12</f>
        <v>0</v>
      </c>
      <c r="E12" s="89">
        <f>'SEPTIEMBRE 2025'!I12</f>
        <v>0</v>
      </c>
      <c r="F12" s="89">
        <f>'SEPTIEMBRE 2025'!J12</f>
        <v>0</v>
      </c>
      <c r="G12" s="89">
        <f>'SEPTIEMBRE 2025'!U12</f>
        <v>0</v>
      </c>
      <c r="H12" s="89">
        <f>'SEPTIEMBRE 2025'!AY12</f>
        <v>0</v>
      </c>
      <c r="I12" s="89">
        <f>'SEPTIEMBRE 2025'!CC12</f>
        <v>0</v>
      </c>
      <c r="J12" s="89">
        <f>'SEPTIEMBRE 2025'!CD12</f>
        <v>0</v>
      </c>
      <c r="K12" s="89">
        <f>'SEPTIEMBRE 2025'!CF12</f>
        <v>0</v>
      </c>
      <c r="L12" s="89">
        <f>'SEPTIEMBRE 2025'!CG12</f>
        <v>0</v>
      </c>
      <c r="M12" s="89">
        <f>'SEPTIEMBRE 2025'!CH12</f>
        <v>0</v>
      </c>
    </row>
    <row r="13" spans="2:13">
      <c r="B13" s="141">
        <f>'SEPTIEMBRE 2025'!D13</f>
        <v>0</v>
      </c>
      <c r="C13" s="142">
        <f>'SEPTIEMBRE 2025'!E13</f>
        <v>0</v>
      </c>
      <c r="D13" s="89">
        <f>'SEPTIEMBRE 2025'!H13</f>
        <v>0</v>
      </c>
      <c r="E13" s="89">
        <f>'SEPTIEMBRE 2025'!I13</f>
        <v>0</v>
      </c>
      <c r="F13" s="89">
        <f>'SEPTIEMBRE 2025'!J13</f>
        <v>0</v>
      </c>
      <c r="G13" s="89">
        <f>'SEPTIEMBRE 2025'!U13</f>
        <v>0</v>
      </c>
      <c r="H13" s="89">
        <f>'SEPTIEMBRE 2025'!AY13</f>
        <v>0</v>
      </c>
      <c r="I13" s="89">
        <f>'SEPTIEMBRE 2025'!CC13</f>
        <v>0</v>
      </c>
      <c r="J13" s="89">
        <f>'SEPTIEMBRE 2025'!CD13</f>
        <v>0</v>
      </c>
      <c r="K13" s="89">
        <f>'SEPTIEMBRE 2025'!CF13</f>
        <v>0</v>
      </c>
      <c r="L13" s="89">
        <f>'SEPTIEMBRE 2025'!CG13</f>
        <v>0</v>
      </c>
      <c r="M13" s="89">
        <f>'SEPTIEMBRE 2025'!CH13</f>
        <v>0</v>
      </c>
    </row>
    <row r="14" spans="2:13">
      <c r="B14" s="141">
        <f>'SEPTIEMBRE 2025'!D14</f>
        <v>0</v>
      </c>
      <c r="C14" s="142">
        <f>'SEPTIEMBRE 2025'!E14</f>
        <v>0</v>
      </c>
      <c r="D14" s="89">
        <f>'SEPTIEMBRE 2025'!H14</f>
        <v>0</v>
      </c>
      <c r="E14" s="89">
        <f>'SEPTIEMBRE 2025'!I14</f>
        <v>0</v>
      </c>
      <c r="F14" s="89">
        <f>'SEPTIEMBRE 2025'!J14</f>
        <v>0</v>
      </c>
      <c r="G14" s="89">
        <f>'SEPTIEMBRE 2025'!U14</f>
        <v>0</v>
      </c>
      <c r="H14" s="89">
        <f>'SEPTIEMBRE 2025'!AY14</f>
        <v>0</v>
      </c>
      <c r="I14" s="89">
        <f>'SEPTIEMBRE 2025'!CC14</f>
        <v>0</v>
      </c>
      <c r="J14" s="89">
        <f>'SEPTIEMBRE 2025'!CD14</f>
        <v>0</v>
      </c>
      <c r="K14" s="89">
        <f>'SEPTIEMBRE 2025'!CF14</f>
        <v>0</v>
      </c>
      <c r="L14" s="89">
        <f>'SEPTIEMBRE 2025'!CG14</f>
        <v>0</v>
      </c>
      <c r="M14" s="89">
        <f>'SEPTIEMBRE 2025'!CH14</f>
        <v>0</v>
      </c>
    </row>
    <row r="15" spans="2:13">
      <c r="B15" s="141">
        <f>'SEPTIEMBRE 2025'!D15</f>
        <v>0</v>
      </c>
      <c r="C15" s="142">
        <f>'SEPTIEMBRE 2025'!E15</f>
        <v>0</v>
      </c>
      <c r="D15" s="89">
        <f>'SEPTIEMBRE 2025'!H15</f>
        <v>0</v>
      </c>
      <c r="E15" s="89">
        <f>'SEPTIEMBRE 2025'!I15</f>
        <v>0</v>
      </c>
      <c r="F15" s="89">
        <f>'SEPTIEMBRE 2025'!J15</f>
        <v>0</v>
      </c>
      <c r="G15" s="89">
        <f>'SEPTIEMBRE 2025'!U15</f>
        <v>0</v>
      </c>
      <c r="H15" s="89">
        <f>'SEPTIEMBRE 2025'!AY15</f>
        <v>0</v>
      </c>
      <c r="I15" s="89">
        <f>'SEPTIEMBRE 2025'!CC15</f>
        <v>0</v>
      </c>
      <c r="J15" s="89">
        <f>'SEPTIEMBRE 2025'!CD15</f>
        <v>0</v>
      </c>
      <c r="K15" s="89">
        <f>'SEPTIEMBRE 2025'!CF15</f>
        <v>0</v>
      </c>
      <c r="L15" s="89">
        <f>'SEPTIEMBRE 2025'!CG15</f>
        <v>0</v>
      </c>
      <c r="M15" s="89">
        <f>'SEPTIEMBRE 2025'!CH15</f>
        <v>0</v>
      </c>
    </row>
    <row r="16" spans="2:13">
      <c r="B16" s="141">
        <f>'SEPTIEMBRE 2025'!D16</f>
        <v>0</v>
      </c>
      <c r="C16" s="142">
        <f>'SEPTIEMBRE 2025'!E16</f>
        <v>0</v>
      </c>
      <c r="D16" s="89">
        <f>'SEPTIEMBRE 2025'!H16</f>
        <v>0</v>
      </c>
      <c r="E16" s="89">
        <f>'SEPTIEMBRE 2025'!I16</f>
        <v>0</v>
      </c>
      <c r="F16" s="89">
        <f>'SEPTIEMBRE 2025'!J16</f>
        <v>0</v>
      </c>
      <c r="G16" s="89">
        <f>'SEPTIEMBRE 2025'!U16</f>
        <v>0</v>
      </c>
      <c r="H16" s="89">
        <f>'SEPTIEMBRE 2025'!AY16</f>
        <v>0</v>
      </c>
      <c r="I16" s="89">
        <f>'SEPTIEMBRE 2025'!CC16</f>
        <v>0</v>
      </c>
      <c r="J16" s="89">
        <f>'SEPTIEMBRE 2025'!CD16</f>
        <v>0</v>
      </c>
      <c r="K16" s="89">
        <f>'SEPTIEMBRE 2025'!CF16</f>
        <v>0</v>
      </c>
      <c r="L16" s="89">
        <f>'SEPTIEMBRE 2025'!CG16</f>
        <v>0</v>
      </c>
      <c r="M16" s="89">
        <f>'SEPTIEMBRE 2025'!CH16</f>
        <v>0</v>
      </c>
    </row>
    <row r="17" spans="2:13">
      <c r="B17" s="141">
        <f>'SEPTIEMBRE 2025'!D17</f>
        <v>0</v>
      </c>
      <c r="C17" s="142">
        <f>'SEPTIEMBRE 2025'!E17</f>
        <v>0</v>
      </c>
      <c r="D17" s="89">
        <f>'SEPTIEMBRE 2025'!H17</f>
        <v>0</v>
      </c>
      <c r="E17" s="89">
        <f>'SEPTIEMBRE 2025'!I17</f>
        <v>0</v>
      </c>
      <c r="F17" s="89">
        <f>'SEPTIEMBRE 2025'!J17</f>
        <v>0</v>
      </c>
      <c r="G17" s="89">
        <f>'SEPTIEMBRE 2025'!U17</f>
        <v>0</v>
      </c>
      <c r="H17" s="89">
        <f>'SEPTIEMBRE 2025'!AY17</f>
        <v>0</v>
      </c>
      <c r="I17" s="89">
        <f>'SEPTIEMBRE 2025'!CC17</f>
        <v>0</v>
      </c>
      <c r="J17" s="89">
        <f>'SEPTIEMBRE 2025'!CD17</f>
        <v>0</v>
      </c>
      <c r="K17" s="89">
        <f>'SEPTIEMBRE 2025'!CF17</f>
        <v>0</v>
      </c>
      <c r="L17" s="89">
        <f>'SEPTIEMBRE 2025'!CG17</f>
        <v>0</v>
      </c>
      <c r="M17" s="89">
        <f>'SEPTIEMBRE 2025'!CH17</f>
        <v>0</v>
      </c>
    </row>
    <row r="18" spans="2:13">
      <c r="B18" s="141">
        <f>'SEPTIEMBRE 2025'!D18</f>
        <v>0</v>
      </c>
      <c r="C18" s="142">
        <f>'SEPTIEMBRE 2025'!E18</f>
        <v>0</v>
      </c>
      <c r="D18" s="89">
        <f>'SEPTIEMBRE 2025'!H18</f>
        <v>0</v>
      </c>
      <c r="E18" s="89">
        <f>'SEPTIEMBRE 2025'!I18</f>
        <v>0</v>
      </c>
      <c r="F18" s="89">
        <f>'SEPTIEMBRE 2025'!J18</f>
        <v>0</v>
      </c>
      <c r="G18" s="89">
        <f>'SEPTIEMBRE 2025'!U18</f>
        <v>0</v>
      </c>
      <c r="H18" s="89">
        <f>'SEPTIEMBRE 2025'!AY18</f>
        <v>0</v>
      </c>
      <c r="I18" s="89">
        <f>'SEPTIEMBRE 2025'!CC18</f>
        <v>0</v>
      </c>
      <c r="J18" s="89">
        <f>'SEPTIEMBRE 2025'!CD18</f>
        <v>0</v>
      </c>
      <c r="K18" s="89">
        <f>'SEPTIEMBRE 2025'!CF18</f>
        <v>0</v>
      </c>
      <c r="L18" s="89">
        <f>'SEPTIEMBRE 2025'!CG18</f>
        <v>0</v>
      </c>
      <c r="M18" s="89">
        <f>'SEPTIEMBRE 2025'!CH18</f>
        <v>0</v>
      </c>
    </row>
    <row r="19" spans="2:13">
      <c r="B19" s="141">
        <f>'SEPTIEMBRE 2025'!D19</f>
        <v>0</v>
      </c>
      <c r="C19" s="142">
        <f>'SEPTIEMBRE 2025'!E19</f>
        <v>0</v>
      </c>
      <c r="D19" s="89">
        <f>'SEPTIEMBRE 2025'!H19</f>
        <v>0</v>
      </c>
      <c r="E19" s="89">
        <f>'SEPTIEMBRE 2025'!I19</f>
        <v>0</v>
      </c>
      <c r="F19" s="89">
        <f>'SEPTIEMBRE 2025'!J19</f>
        <v>0</v>
      </c>
      <c r="G19" s="89">
        <f>'SEPTIEMBRE 2025'!U19</f>
        <v>0</v>
      </c>
      <c r="H19" s="89">
        <f>'SEPTIEMBRE 2025'!AY19</f>
        <v>0</v>
      </c>
      <c r="I19" s="89">
        <f>'SEPTIEMBRE 2025'!CC19</f>
        <v>0</v>
      </c>
      <c r="J19" s="89">
        <f>'SEPTIEMBRE 2025'!CD19</f>
        <v>0</v>
      </c>
      <c r="K19" s="89">
        <f>'SEPTIEMBRE 2025'!CF19</f>
        <v>0</v>
      </c>
      <c r="L19" s="89">
        <f>'SEPTIEMBRE 2025'!CG19</f>
        <v>0</v>
      </c>
      <c r="M19" s="89">
        <f>'SEPTIEMBRE 2025'!CH19</f>
        <v>0</v>
      </c>
    </row>
    <row r="20" spans="2:13">
      <c r="B20" s="141">
        <f>'SEPTIEMBRE 2025'!D20</f>
        <v>0</v>
      </c>
      <c r="C20" s="142">
        <f>'SEPTIEMBRE 2025'!E20</f>
        <v>0</v>
      </c>
      <c r="D20" s="89">
        <f>'SEPTIEMBRE 2025'!H20</f>
        <v>0</v>
      </c>
      <c r="E20" s="89">
        <f>'SEPTIEMBRE 2025'!I20</f>
        <v>0</v>
      </c>
      <c r="F20" s="89">
        <f>'SEPTIEMBRE 2025'!J20</f>
        <v>0</v>
      </c>
      <c r="G20" s="89">
        <f>'SEPTIEMBRE 2025'!U20</f>
        <v>0</v>
      </c>
      <c r="H20" s="89">
        <f>'SEPTIEMBRE 2025'!AY20</f>
        <v>0</v>
      </c>
      <c r="I20" s="89">
        <f>'SEPTIEMBRE 2025'!CC20</f>
        <v>0</v>
      </c>
      <c r="J20" s="89">
        <f>'SEPTIEMBRE 2025'!CD20</f>
        <v>0</v>
      </c>
      <c r="K20" s="89">
        <f>'SEPTIEMBRE 2025'!CF20</f>
        <v>0</v>
      </c>
      <c r="L20" s="89">
        <f>'SEPTIEMBRE 2025'!CG20</f>
        <v>0</v>
      </c>
      <c r="M20" s="89">
        <f>'SEPTIEMBRE 2025'!CH20</f>
        <v>0</v>
      </c>
    </row>
    <row r="21" spans="2:13">
      <c r="B21" s="141">
        <f>'SEPTIEMBRE 2025'!D21</f>
        <v>0</v>
      </c>
      <c r="C21" s="142">
        <f>'SEPTIEMBRE 2025'!E21</f>
        <v>0</v>
      </c>
      <c r="D21" s="89">
        <f>'SEPTIEMBRE 2025'!H21</f>
        <v>0</v>
      </c>
      <c r="E21" s="89">
        <f>'SEPTIEMBRE 2025'!I21</f>
        <v>0</v>
      </c>
      <c r="F21" s="89">
        <f>'SEPTIEMBRE 2025'!J21</f>
        <v>0</v>
      </c>
      <c r="G21" s="89">
        <f>'SEPTIEMBRE 2025'!U21</f>
        <v>0</v>
      </c>
      <c r="H21" s="89">
        <f>'SEPTIEMBRE 2025'!AY21</f>
        <v>0</v>
      </c>
      <c r="I21" s="89">
        <f>'SEPTIEMBRE 2025'!CC21</f>
        <v>0</v>
      </c>
      <c r="J21" s="89">
        <f>'SEPTIEMBRE 2025'!CD21</f>
        <v>0</v>
      </c>
      <c r="K21" s="89">
        <f>'SEPTIEMBRE 2025'!CF21</f>
        <v>0</v>
      </c>
      <c r="L21" s="89">
        <f>'SEPTIEMBRE 2025'!CG21</f>
        <v>0</v>
      </c>
      <c r="M21" s="89">
        <f>'SEPTIEMBRE 2025'!CH21</f>
        <v>0</v>
      </c>
    </row>
    <row r="22" spans="2:13">
      <c r="B22" s="141">
        <f>'SEPTIEMBRE 2025'!D22</f>
        <v>0</v>
      </c>
      <c r="C22" s="142">
        <f>'SEPTIEMBRE 2025'!E22</f>
        <v>0</v>
      </c>
      <c r="D22" s="89">
        <f>'SEPTIEMBRE 2025'!H22</f>
        <v>0</v>
      </c>
      <c r="E22" s="89">
        <f>'SEPTIEMBRE 2025'!I22</f>
        <v>0</v>
      </c>
      <c r="F22" s="89">
        <f>'SEPTIEMBRE 2025'!J22</f>
        <v>0</v>
      </c>
      <c r="G22" s="89">
        <f>'SEPTIEMBRE 2025'!U22</f>
        <v>0</v>
      </c>
      <c r="H22" s="89">
        <f>'SEPTIEMBRE 2025'!AY22</f>
        <v>0</v>
      </c>
      <c r="I22" s="89">
        <f>'SEPTIEMBRE 2025'!CC22</f>
        <v>0</v>
      </c>
      <c r="J22" s="89">
        <f>'SEPTIEMBRE 2025'!CD22</f>
        <v>0</v>
      </c>
      <c r="K22" s="89">
        <f>'SEPTIEMBRE 2025'!CF22</f>
        <v>0</v>
      </c>
      <c r="L22" s="89">
        <f>'SEPTIEMBRE 2025'!CG22</f>
        <v>0</v>
      </c>
      <c r="M22" s="89">
        <f>'SEPTIEMBRE 2025'!CH22</f>
        <v>0</v>
      </c>
    </row>
    <row r="23" spans="2:13">
      <c r="B23" s="141">
        <f>'SEPTIEMBRE 2025'!D23</f>
        <v>0</v>
      </c>
      <c r="C23" s="142">
        <f>'SEPTIEMBRE 2025'!E23</f>
        <v>0</v>
      </c>
      <c r="D23" s="89">
        <f>'SEPTIEMBRE 2025'!H23</f>
        <v>0</v>
      </c>
      <c r="E23" s="89">
        <f>'SEPTIEMBRE 2025'!I23</f>
        <v>0</v>
      </c>
      <c r="F23" s="89">
        <f>'SEPTIEMBRE 2025'!J23</f>
        <v>0</v>
      </c>
      <c r="G23" s="89">
        <f>'SEPTIEMBRE 2025'!U23</f>
        <v>0</v>
      </c>
      <c r="H23" s="89">
        <f>'SEPTIEMBRE 2025'!AY23</f>
        <v>0</v>
      </c>
      <c r="I23" s="89">
        <f>'SEPTIEMBRE 2025'!CC23</f>
        <v>0</v>
      </c>
      <c r="J23" s="89">
        <f>'SEPTIEMBRE 2025'!CD23</f>
        <v>0</v>
      </c>
      <c r="K23" s="89">
        <f>'SEPTIEMBRE 2025'!CF23</f>
        <v>0</v>
      </c>
      <c r="L23" s="89">
        <f>'SEPTIEMBRE 2025'!CG23</f>
        <v>0</v>
      </c>
      <c r="M23" s="89">
        <f>'SEPTIEMBRE 2025'!CH23</f>
        <v>0</v>
      </c>
    </row>
    <row r="24" spans="2:13">
      <c r="B24" s="141">
        <f>'SEPTIEMBRE 2025'!D24</f>
        <v>0</v>
      </c>
      <c r="C24" s="142">
        <f>'SEPTIEMBRE 2025'!E24</f>
        <v>0</v>
      </c>
      <c r="D24" s="89">
        <f>'SEPTIEMBRE 2025'!H24</f>
        <v>0</v>
      </c>
      <c r="E24" s="89">
        <f>'SEPTIEMBRE 2025'!I24</f>
        <v>0</v>
      </c>
      <c r="F24" s="89">
        <f>'SEPTIEMBRE 2025'!J24</f>
        <v>0</v>
      </c>
      <c r="G24" s="89">
        <f>'SEPTIEMBRE 2025'!U24</f>
        <v>0</v>
      </c>
      <c r="H24" s="89">
        <f>'SEPTIEMBRE 2025'!AY24</f>
        <v>0</v>
      </c>
      <c r="I24" s="89">
        <f>'SEPTIEMBRE 2025'!CC24</f>
        <v>0</v>
      </c>
      <c r="J24" s="89">
        <f>'SEPTIEMBRE 2025'!CD24</f>
        <v>0</v>
      </c>
      <c r="K24" s="89">
        <f>'SEPTIEMBRE 2025'!CF24</f>
        <v>0</v>
      </c>
      <c r="L24" s="89">
        <f>'SEPTIEMBRE 2025'!CG24</f>
        <v>0</v>
      </c>
      <c r="M24" s="89">
        <f>'SEPTIEMBRE 2025'!CH24</f>
        <v>0</v>
      </c>
    </row>
    <row r="25" spans="2:13">
      <c r="B25" s="141">
        <f>'SEPTIEMBRE 2025'!D25</f>
        <v>0</v>
      </c>
      <c r="C25" s="142">
        <f>'SEPTIEMBRE 2025'!E25</f>
        <v>0</v>
      </c>
      <c r="D25" s="89">
        <f>'SEPTIEMBRE 2025'!H25</f>
        <v>0</v>
      </c>
      <c r="E25" s="89">
        <f>'SEPTIEMBRE 2025'!I25</f>
        <v>0</v>
      </c>
      <c r="F25" s="89">
        <f>'SEPTIEMBRE 2025'!J25</f>
        <v>0</v>
      </c>
      <c r="G25" s="89">
        <f>'SEPTIEMBRE 2025'!U25</f>
        <v>0</v>
      </c>
      <c r="H25" s="89">
        <f>'SEPTIEMBRE 2025'!AY25</f>
        <v>0</v>
      </c>
      <c r="I25" s="89">
        <f>'SEPTIEMBRE 2025'!CC25</f>
        <v>0</v>
      </c>
      <c r="J25" s="89">
        <f>'SEPTIEMBRE 2025'!CD25</f>
        <v>0</v>
      </c>
      <c r="K25" s="89">
        <f>'SEPTIEMBRE 2025'!CF25</f>
        <v>0</v>
      </c>
      <c r="L25" s="89">
        <f>'SEPTIEMBRE 2025'!CG25</f>
        <v>0</v>
      </c>
      <c r="M25" s="89">
        <f>'SEPTIEMBRE 2025'!CH25</f>
        <v>0</v>
      </c>
    </row>
    <row r="26" spans="2:13">
      <c r="B26" s="141">
        <f>'SEPTIEMBRE 2025'!D26</f>
        <v>0</v>
      </c>
      <c r="C26" s="142">
        <f>'SEPTIEMBRE 2025'!E26</f>
        <v>0</v>
      </c>
      <c r="D26" s="89">
        <f>'SEPTIEMBRE 2025'!H26</f>
        <v>0</v>
      </c>
      <c r="E26" s="89">
        <f>'SEPTIEMBRE 2025'!I26</f>
        <v>0</v>
      </c>
      <c r="F26" s="89">
        <f>'SEPTIEMBRE 2025'!J26</f>
        <v>0</v>
      </c>
      <c r="G26" s="89">
        <f>'SEPTIEMBRE 2025'!U26</f>
        <v>0</v>
      </c>
      <c r="H26" s="89">
        <f>'SEPTIEMBRE 2025'!AY26</f>
        <v>0</v>
      </c>
      <c r="I26" s="89">
        <f>'SEPTIEMBRE 2025'!CC26</f>
        <v>0</v>
      </c>
      <c r="J26" s="89">
        <f>'SEPTIEMBRE 2025'!CD26</f>
        <v>0</v>
      </c>
      <c r="K26" s="89">
        <f>'SEPTIEMBRE 2025'!CF26</f>
        <v>0</v>
      </c>
      <c r="L26" s="89">
        <f>'SEPTIEMBRE 2025'!CG26</f>
        <v>0</v>
      </c>
      <c r="M26" s="89">
        <f>'SEPTIEMBRE 2025'!CH26</f>
        <v>0</v>
      </c>
    </row>
    <row r="27" spans="2:13">
      <c r="B27" s="141">
        <f>'SEPTIEMBRE 2025'!D27</f>
        <v>0</v>
      </c>
      <c r="C27" s="142">
        <f>'SEPTIEMBRE 2025'!E27</f>
        <v>0</v>
      </c>
      <c r="D27" s="89">
        <f>'SEPTIEMBRE 2025'!H27</f>
        <v>0</v>
      </c>
      <c r="E27" s="89">
        <f>'SEPTIEMBRE 2025'!I27</f>
        <v>0</v>
      </c>
      <c r="F27" s="89">
        <f>'SEPTIEMBRE 2025'!J27</f>
        <v>0</v>
      </c>
      <c r="G27" s="89">
        <f>'SEPTIEMBRE 2025'!U27</f>
        <v>0</v>
      </c>
      <c r="H27" s="89">
        <f>'SEPTIEMBRE 2025'!AY27</f>
        <v>0</v>
      </c>
      <c r="I27" s="89">
        <f>'SEPTIEMBRE 2025'!CC27</f>
        <v>0</v>
      </c>
      <c r="J27" s="89">
        <f>'SEPTIEMBRE 2025'!CD27</f>
        <v>0</v>
      </c>
      <c r="K27" s="89">
        <f>'SEPTIEMBRE 2025'!CF27</f>
        <v>0</v>
      </c>
      <c r="L27" s="89">
        <f>'SEPTIEMBRE 2025'!CG27</f>
        <v>0</v>
      </c>
      <c r="M27" s="89">
        <f>'SEPTIEMBRE 2025'!CH27</f>
        <v>0</v>
      </c>
    </row>
    <row r="28" spans="2:13">
      <c r="B28" s="141">
        <f>'SEPTIEMBRE 2025'!D28</f>
        <v>0</v>
      </c>
      <c r="C28" s="142">
        <f>'SEPTIEMBRE 2025'!E28</f>
        <v>0</v>
      </c>
      <c r="D28" s="89">
        <f>'SEPTIEMBRE 2025'!H28</f>
        <v>0</v>
      </c>
      <c r="E28" s="89">
        <f>'SEPTIEMBRE 2025'!I28</f>
        <v>0</v>
      </c>
      <c r="F28" s="89">
        <f>'SEPTIEMBRE 2025'!J28</f>
        <v>0</v>
      </c>
      <c r="G28" s="89">
        <f>'SEPTIEMBRE 2025'!U28</f>
        <v>0</v>
      </c>
      <c r="H28" s="89">
        <f>'SEPTIEMBRE 2025'!AY28</f>
        <v>0</v>
      </c>
      <c r="I28" s="89">
        <f>'SEPTIEMBRE 2025'!CC28</f>
        <v>0</v>
      </c>
      <c r="J28" s="89">
        <f>'SEPTIEMBRE 2025'!CD28</f>
        <v>0</v>
      </c>
      <c r="K28" s="89">
        <f>'SEPTIEMBRE 2025'!CF28</f>
        <v>0</v>
      </c>
      <c r="L28" s="89">
        <f>'SEPTIEMBRE 2025'!CG28</f>
        <v>0</v>
      </c>
      <c r="M28" s="89">
        <f>'SEPTIEMBRE 2025'!CH28</f>
        <v>0</v>
      </c>
    </row>
    <row r="29" spans="2:13">
      <c r="B29" s="141">
        <f>'SEPTIEMBRE 2025'!D29</f>
        <v>0</v>
      </c>
      <c r="C29" s="142">
        <f>'SEPTIEMBRE 2025'!E29</f>
        <v>0</v>
      </c>
      <c r="D29" s="89">
        <f>'SEPTIEMBRE 2025'!H29</f>
        <v>0</v>
      </c>
      <c r="E29" s="89">
        <f>'SEPTIEMBRE 2025'!I29</f>
        <v>0</v>
      </c>
      <c r="F29" s="89">
        <f>'SEPTIEMBRE 2025'!J29</f>
        <v>0</v>
      </c>
      <c r="G29" s="89">
        <f>'SEPTIEMBRE 2025'!U29</f>
        <v>0</v>
      </c>
      <c r="H29" s="89">
        <f>'SEPTIEMBRE 2025'!AY29</f>
        <v>0</v>
      </c>
      <c r="I29" s="89">
        <f>'SEPTIEMBRE 2025'!CC29</f>
        <v>0</v>
      </c>
      <c r="J29" s="89">
        <f>'SEPTIEMBRE 2025'!CD29</f>
        <v>0</v>
      </c>
      <c r="K29" s="89">
        <f>'SEPTIEMBRE 2025'!CF29</f>
        <v>0</v>
      </c>
      <c r="L29" s="89">
        <f>'SEPTIEMBRE 2025'!CG29</f>
        <v>0</v>
      </c>
      <c r="M29" s="89">
        <f>'SEPTIEMBRE 2025'!CH29</f>
        <v>0</v>
      </c>
    </row>
    <row r="30" spans="2:13">
      <c r="B30" s="141">
        <f>'SEPTIEMBRE 2025'!D30</f>
        <v>0</v>
      </c>
      <c r="C30" s="142">
        <f>'SEPTIEMBRE 2025'!E30</f>
        <v>0</v>
      </c>
      <c r="D30" s="89">
        <f>'SEPTIEMBRE 2025'!H30</f>
        <v>0</v>
      </c>
      <c r="E30" s="89">
        <f>'SEPTIEMBRE 2025'!I30</f>
        <v>0</v>
      </c>
      <c r="F30" s="89">
        <f>'SEPTIEMBRE 2025'!J30</f>
        <v>0</v>
      </c>
      <c r="G30" s="89">
        <f>'SEPTIEMBRE 2025'!U30</f>
        <v>0</v>
      </c>
      <c r="H30" s="89">
        <f>'SEPTIEMBRE 2025'!AY30</f>
        <v>0</v>
      </c>
      <c r="I30" s="89">
        <f>'SEPTIEMBRE 2025'!CC30</f>
        <v>0</v>
      </c>
      <c r="J30" s="89">
        <f>'SEPTIEMBRE 2025'!CD30</f>
        <v>0</v>
      </c>
      <c r="K30" s="89">
        <f>'SEPTIEMBRE 2025'!CF30</f>
        <v>0</v>
      </c>
      <c r="L30" s="89">
        <f>'SEPTIEMBRE 2025'!CG30</f>
        <v>0</v>
      </c>
      <c r="M30" s="89">
        <f>'SEPTIEMBRE 2025'!CH30</f>
        <v>0</v>
      </c>
    </row>
    <row r="31" spans="2:13">
      <c r="B31" s="141">
        <f>'SEPTIEMBRE 2025'!D31</f>
        <v>0</v>
      </c>
      <c r="C31" s="142">
        <f>'SEPTIEMBRE 2025'!E31</f>
        <v>0</v>
      </c>
      <c r="D31" s="89">
        <f>'SEPTIEMBRE 2025'!H31</f>
        <v>0</v>
      </c>
      <c r="E31" s="89">
        <f>'SEPTIEMBRE 2025'!I31</f>
        <v>0</v>
      </c>
      <c r="F31" s="89">
        <f>'SEPTIEMBRE 2025'!J31</f>
        <v>0</v>
      </c>
      <c r="G31" s="89">
        <f>'SEPTIEMBRE 2025'!U31</f>
        <v>0</v>
      </c>
      <c r="H31" s="89">
        <f>'SEPTIEMBRE 2025'!AY31</f>
        <v>0</v>
      </c>
      <c r="I31" s="89">
        <f>'SEPTIEMBRE 2025'!CC31</f>
        <v>0</v>
      </c>
      <c r="J31" s="89">
        <f>'SEPTIEMBRE 2025'!CD31</f>
        <v>0</v>
      </c>
      <c r="K31" s="89">
        <f>'SEPTIEMBRE 2025'!CF31</f>
        <v>0</v>
      </c>
      <c r="L31" s="89">
        <f>'SEPTIEMBRE 2025'!CG31</f>
        <v>0</v>
      </c>
      <c r="M31" s="89">
        <f>'SEPTIEMBRE 2025'!CH31</f>
        <v>0</v>
      </c>
    </row>
    <row r="32" spans="2:13">
      <c r="B32" s="141">
        <f>'SEPTIEMBRE 2025'!D32</f>
        <v>0</v>
      </c>
      <c r="C32" s="142">
        <f>'SEPTIEMBRE 2025'!E32</f>
        <v>0</v>
      </c>
      <c r="D32" s="89">
        <f>'SEPTIEMBRE 2025'!H32</f>
        <v>0</v>
      </c>
      <c r="E32" s="89">
        <f>'SEPTIEMBRE 2025'!I32</f>
        <v>0</v>
      </c>
      <c r="F32" s="89">
        <f>'SEPTIEMBRE 2025'!J32</f>
        <v>0</v>
      </c>
      <c r="G32" s="89">
        <f>'SEPTIEMBRE 2025'!U32</f>
        <v>0</v>
      </c>
      <c r="H32" s="89">
        <f>'SEPTIEMBRE 2025'!AY32</f>
        <v>0</v>
      </c>
      <c r="I32" s="89">
        <f>'SEPTIEMBRE 2025'!CC32</f>
        <v>0</v>
      </c>
      <c r="J32" s="89">
        <f>'SEPTIEMBRE 2025'!CD32</f>
        <v>0</v>
      </c>
      <c r="K32" s="89">
        <f>'SEPTIEMBRE 2025'!CF32</f>
        <v>0</v>
      </c>
      <c r="L32" s="89">
        <f>'SEPTIEMBRE 2025'!CG32</f>
        <v>0</v>
      </c>
      <c r="M32" s="89">
        <f>'SEPTIEMBRE 2025'!CH32</f>
        <v>0</v>
      </c>
    </row>
    <row r="33" spans="2:13">
      <c r="B33" s="141">
        <f>'SEPTIEMBRE 2025'!D33</f>
        <v>0</v>
      </c>
      <c r="C33" s="142">
        <f>'SEPTIEMBRE 2025'!E33</f>
        <v>0</v>
      </c>
      <c r="D33" s="89">
        <f>'SEPTIEMBRE 2025'!H33</f>
        <v>0</v>
      </c>
      <c r="E33" s="89">
        <f>'SEPTIEMBRE 2025'!I33</f>
        <v>0</v>
      </c>
      <c r="F33" s="89">
        <f>'SEPTIEMBRE 2025'!J33</f>
        <v>0</v>
      </c>
      <c r="G33" s="89">
        <f>'SEPTIEMBRE 2025'!U33</f>
        <v>0</v>
      </c>
      <c r="H33" s="89">
        <f>'SEPTIEMBRE 2025'!AY33</f>
        <v>0</v>
      </c>
      <c r="I33" s="89">
        <f>'SEPTIEMBRE 2025'!CC33</f>
        <v>0</v>
      </c>
      <c r="J33" s="89">
        <f>'SEPTIEMBRE 2025'!CD33</f>
        <v>0</v>
      </c>
      <c r="K33" s="89">
        <f>'SEPTIEMBRE 2025'!CF33</f>
        <v>0</v>
      </c>
      <c r="L33" s="89">
        <f>'SEPTIEMBRE 2025'!CG33</f>
        <v>0</v>
      </c>
      <c r="M33" s="89">
        <f>'SEPTIEMBRE 2025'!CH33</f>
        <v>0</v>
      </c>
    </row>
    <row r="34" spans="2:13">
      <c r="B34" s="141">
        <f>'SEPTIEMBRE 2025'!D34</f>
        <v>0</v>
      </c>
      <c r="C34" s="142">
        <f>'SEPTIEMBRE 2025'!E34</f>
        <v>0</v>
      </c>
      <c r="D34" s="89">
        <f>'SEPTIEMBRE 2025'!H34</f>
        <v>0</v>
      </c>
      <c r="E34" s="89">
        <f>'SEPTIEMBRE 2025'!I34</f>
        <v>0</v>
      </c>
      <c r="F34" s="89">
        <f>'SEPTIEMBRE 2025'!J34</f>
        <v>0</v>
      </c>
      <c r="G34" s="89">
        <f>'SEPTIEMBRE 2025'!U34</f>
        <v>0</v>
      </c>
      <c r="H34" s="89">
        <f>'SEPTIEMBRE 2025'!AY34</f>
        <v>0</v>
      </c>
      <c r="I34" s="89">
        <f>'SEPTIEMBRE 2025'!CC34</f>
        <v>0</v>
      </c>
      <c r="J34" s="89">
        <f>'SEPTIEMBRE 2025'!CD34</f>
        <v>0</v>
      </c>
      <c r="K34" s="89">
        <f>'SEPTIEMBRE 2025'!CF34</f>
        <v>0</v>
      </c>
      <c r="L34" s="89">
        <f>'SEPTIEMBRE 2025'!CG34</f>
        <v>0</v>
      </c>
      <c r="M34" s="89">
        <f>'SEPTIEMBRE 2025'!CH34</f>
        <v>0</v>
      </c>
    </row>
    <row r="35" spans="2:13">
      <c r="B35" s="141">
        <f>'SEPTIEMBRE 2025'!D35</f>
        <v>0</v>
      </c>
      <c r="C35" s="142">
        <f>'SEPTIEMBRE 2025'!E35</f>
        <v>0</v>
      </c>
      <c r="D35" s="89">
        <f>'SEPTIEMBRE 2025'!H35</f>
        <v>0</v>
      </c>
      <c r="E35" s="89">
        <f>'SEPTIEMBRE 2025'!I35</f>
        <v>0</v>
      </c>
      <c r="F35" s="89">
        <f>'SEPTIEMBRE 2025'!J35</f>
        <v>0</v>
      </c>
      <c r="G35" s="89">
        <f>'SEPTIEMBRE 2025'!U35</f>
        <v>0</v>
      </c>
      <c r="H35" s="89">
        <f>'SEPTIEMBRE 2025'!AY35</f>
        <v>0</v>
      </c>
      <c r="I35" s="89">
        <f>'SEPTIEMBRE 2025'!CC35</f>
        <v>0</v>
      </c>
      <c r="J35" s="89">
        <f>'SEPTIEMBRE 2025'!CD35</f>
        <v>0</v>
      </c>
      <c r="K35" s="89">
        <f>'SEPTIEMBRE 2025'!CF35</f>
        <v>0</v>
      </c>
      <c r="L35" s="89">
        <f>'SEPTIEMBRE 2025'!CG35</f>
        <v>0</v>
      </c>
      <c r="M35" s="89">
        <f>'SEPTIEMBRE 2025'!CH35</f>
        <v>0</v>
      </c>
    </row>
    <row r="36" spans="2:13">
      <c r="B36" s="141">
        <f>'SEPTIEMBRE 2025'!D36</f>
        <v>0</v>
      </c>
      <c r="C36" s="142">
        <f>'SEPTIEMBRE 2025'!E36</f>
        <v>0</v>
      </c>
      <c r="D36" s="89">
        <f>'SEPTIEMBRE 2025'!H36</f>
        <v>0</v>
      </c>
      <c r="E36" s="89">
        <f>'SEPTIEMBRE 2025'!I36</f>
        <v>0</v>
      </c>
      <c r="F36" s="89">
        <f>'SEPTIEMBRE 2025'!J36</f>
        <v>0</v>
      </c>
      <c r="G36" s="89">
        <f>'SEPTIEMBRE 2025'!U36</f>
        <v>0</v>
      </c>
      <c r="H36" s="89">
        <f>'SEPTIEMBRE 2025'!AY36</f>
        <v>0</v>
      </c>
      <c r="I36" s="89">
        <f>'SEPTIEMBRE 2025'!CC36</f>
        <v>0</v>
      </c>
      <c r="J36" s="89">
        <f>'SEPTIEMBRE 2025'!CD36</f>
        <v>0</v>
      </c>
      <c r="K36" s="89">
        <f>'SEPTIEMBRE 2025'!CF36</f>
        <v>0</v>
      </c>
      <c r="L36" s="89">
        <f>'SEPTIEMBRE 2025'!CG36</f>
        <v>0</v>
      </c>
      <c r="M36" s="89">
        <f>'SEPTIEMBRE 2025'!CH36</f>
        <v>0</v>
      </c>
    </row>
    <row r="37" spans="2:13">
      <c r="B37" s="141">
        <f>'SEPTIEMBRE 2025'!D37</f>
        <v>0</v>
      </c>
      <c r="C37" s="142">
        <f>'SEPTIEMBRE 2025'!E37</f>
        <v>0</v>
      </c>
      <c r="D37" s="89">
        <f>'SEPTIEMBRE 2025'!H37</f>
        <v>0</v>
      </c>
      <c r="E37" s="89">
        <f>'SEPTIEMBRE 2025'!I37</f>
        <v>0</v>
      </c>
      <c r="F37" s="89">
        <f>'SEPTIEMBRE 2025'!J37</f>
        <v>0</v>
      </c>
      <c r="G37" s="89">
        <f>'SEPTIEMBRE 2025'!U37</f>
        <v>0</v>
      </c>
      <c r="H37" s="89">
        <f>'SEPTIEMBRE 2025'!AY37</f>
        <v>0</v>
      </c>
      <c r="I37" s="89">
        <f>'SEPTIEMBRE 2025'!CC37</f>
        <v>0</v>
      </c>
      <c r="J37" s="89">
        <f>'SEPTIEMBRE 2025'!CD37</f>
        <v>0</v>
      </c>
      <c r="K37" s="89">
        <f>'SEPTIEMBRE 2025'!CF37</f>
        <v>0</v>
      </c>
      <c r="L37" s="89">
        <f>'SEPTIEMBRE 2025'!CG37</f>
        <v>0</v>
      </c>
      <c r="M37" s="89">
        <f>'SEPTIEMBRE 2025'!CH37</f>
        <v>0</v>
      </c>
    </row>
    <row r="38" spans="2:13">
      <c r="B38" s="141">
        <f>'SEPTIEMBRE 2025'!D38</f>
        <v>0</v>
      </c>
      <c r="C38" s="142">
        <f>'SEPTIEMBRE 2025'!E38</f>
        <v>0</v>
      </c>
      <c r="D38" s="89">
        <f>'SEPTIEMBRE 2025'!H38</f>
        <v>0</v>
      </c>
      <c r="E38" s="89">
        <f>'SEPTIEMBRE 2025'!I38</f>
        <v>0</v>
      </c>
      <c r="F38" s="89">
        <f>'SEPTIEMBRE 2025'!J38</f>
        <v>0</v>
      </c>
      <c r="G38" s="89">
        <f>'SEPTIEMBRE 2025'!U38</f>
        <v>0</v>
      </c>
      <c r="H38" s="89">
        <f>'SEPTIEMBRE 2025'!AY38</f>
        <v>0</v>
      </c>
      <c r="I38" s="89">
        <f>'SEPTIEMBRE 2025'!CC38</f>
        <v>0</v>
      </c>
      <c r="J38" s="89">
        <f>'SEPTIEMBRE 2025'!CD38</f>
        <v>0</v>
      </c>
      <c r="K38" s="89">
        <f>'SEPTIEMBRE 2025'!CF38</f>
        <v>0</v>
      </c>
      <c r="L38" s="89">
        <f>'SEPTIEMBRE 2025'!CG38</f>
        <v>0</v>
      </c>
      <c r="M38" s="89">
        <f>'SEPTIEMBRE 2025'!CH38</f>
        <v>0</v>
      </c>
    </row>
    <row r="39" spans="2:13">
      <c r="B39" s="141">
        <f>'SEPTIEMBRE 2025'!D39</f>
        <v>0</v>
      </c>
      <c r="C39" s="142">
        <f>'SEPTIEMBRE 2025'!E39</f>
        <v>0</v>
      </c>
      <c r="D39" s="89">
        <f>'SEPTIEMBRE 2025'!H39</f>
        <v>0</v>
      </c>
      <c r="E39" s="89">
        <f>'SEPTIEMBRE 2025'!I39</f>
        <v>0</v>
      </c>
      <c r="F39" s="89">
        <f>'SEPTIEMBRE 2025'!J39</f>
        <v>0</v>
      </c>
      <c r="G39" s="89">
        <f>'SEPTIEMBRE 2025'!U39</f>
        <v>0</v>
      </c>
      <c r="H39" s="89">
        <f>'SEPTIEMBRE 2025'!AY41</f>
        <v>0</v>
      </c>
      <c r="I39" s="89">
        <f>'SEPTIEMBRE 2025'!CC39</f>
        <v>0</v>
      </c>
      <c r="J39" s="89">
        <f>'SEPTIEMBRE 2025'!CD39</f>
        <v>0</v>
      </c>
      <c r="K39" s="89">
        <f>'SEPTIEMBRE 2025'!CF39</f>
        <v>0</v>
      </c>
      <c r="L39" s="89">
        <f>'SEPTIEMBRE 2025'!CG39</f>
        <v>0</v>
      </c>
      <c r="M39" s="89">
        <f>'SEPTIEMBRE 2025'!CH39</f>
        <v>0</v>
      </c>
    </row>
    <row r="40" spans="2:13">
      <c r="B40" s="141">
        <f>'SEPTIEMBRE 2025'!D40</f>
        <v>0</v>
      </c>
      <c r="C40" s="142">
        <f>'SEPTIEMBRE 2025'!E40</f>
        <v>0</v>
      </c>
      <c r="D40" s="89">
        <f>'SEPTIEMBRE 2025'!H40</f>
        <v>0</v>
      </c>
      <c r="E40" s="89">
        <f>'SEPTIEMBRE 2025'!I40</f>
        <v>0</v>
      </c>
      <c r="F40" s="89">
        <f>'SEPTIEMBRE 2025'!J40</f>
        <v>0</v>
      </c>
      <c r="G40" s="89">
        <f>'SEPTIEMBRE 2025'!U40</f>
        <v>0</v>
      </c>
      <c r="H40" s="89">
        <f>'SEPTIEMBRE 2025'!AY40</f>
        <v>0</v>
      </c>
      <c r="I40" s="89">
        <f>'SEPTIEMBRE 2025'!CC40</f>
        <v>0</v>
      </c>
      <c r="J40" s="89">
        <f>'SEPTIEMBRE 2025'!CD40</f>
        <v>0</v>
      </c>
      <c r="K40" s="89">
        <f>'SEPTIEMBRE 2025'!CF40</f>
        <v>0</v>
      </c>
      <c r="L40" s="89">
        <f>'SEPTIEMBRE 2025'!CG40</f>
        <v>0</v>
      </c>
      <c r="M40" s="89">
        <f>'SEPTIEMBRE 2025'!CH40</f>
        <v>0</v>
      </c>
    </row>
    <row r="41" spans="2:13">
      <c r="B41" s="141">
        <f>'SEPTIEMBRE 2025'!D41</f>
        <v>0</v>
      </c>
      <c r="C41" s="142">
        <f>'SEPTIEMBRE 2025'!E41</f>
        <v>0</v>
      </c>
      <c r="D41" s="89">
        <f>'SEPTIEMBRE 2025'!H41</f>
        <v>0</v>
      </c>
      <c r="E41" s="89">
        <f>'SEPTIEMBRE 2025'!I41</f>
        <v>0</v>
      </c>
      <c r="F41" s="89">
        <f>'SEPTIEMBRE 2025'!J41</f>
        <v>0</v>
      </c>
      <c r="G41" s="89">
        <f>'SEPTIEMBRE 2025'!U41</f>
        <v>0</v>
      </c>
      <c r="H41" s="89" t="e">
        <f>'SEPTIEMBRE 2025'!#REF!</f>
        <v>#REF!</v>
      </c>
      <c r="I41" s="89">
        <f>'SEPTIEMBRE 2025'!CC41</f>
        <v>0</v>
      </c>
      <c r="J41" s="89">
        <f>'SEPTIEMBRE 2025'!CD41</f>
        <v>0</v>
      </c>
      <c r="K41" s="89">
        <f>'SEPTIEMBRE 2025'!CF41</f>
        <v>0</v>
      </c>
      <c r="L41" s="89">
        <f>'SEPTIEMBRE 2025'!CG41</f>
        <v>0</v>
      </c>
      <c r="M41" s="89">
        <f>'SEPTIEMBRE 2025'!CH41</f>
        <v>0</v>
      </c>
    </row>
    <row r="42" spans="2:13">
      <c r="B42" s="141">
        <f>'SEPTIEMBRE 2025'!D42</f>
        <v>0</v>
      </c>
      <c r="C42" s="142">
        <f>'SEPTIEMBRE 2025'!E42</f>
        <v>0</v>
      </c>
      <c r="D42" s="89">
        <f>'SEPTIEMBRE 2025'!H42</f>
        <v>0</v>
      </c>
      <c r="E42" s="89">
        <f>'SEPTIEMBRE 2025'!I42</f>
        <v>0</v>
      </c>
      <c r="F42" s="89">
        <f>'SEPTIEMBRE 2025'!J42</f>
        <v>0</v>
      </c>
      <c r="G42" s="89">
        <f>'SEPTIEMBRE 2025'!U42</f>
        <v>0</v>
      </c>
      <c r="H42" s="89">
        <f>'SEPTIEMBRE 2025'!AY42</f>
        <v>0</v>
      </c>
      <c r="I42" s="89">
        <f>'SEPTIEMBRE 2025'!CC42</f>
        <v>0</v>
      </c>
      <c r="J42" s="89">
        <f>'SEPTIEMBRE 2025'!CD42</f>
        <v>0</v>
      </c>
      <c r="K42" s="89">
        <f>'SEPTIEMBRE 2025'!CF42</f>
        <v>0</v>
      </c>
      <c r="L42" s="89">
        <f>'SEPTIEMBRE 2025'!CG42</f>
        <v>0</v>
      </c>
      <c r="M42" s="89">
        <f>'SEPTIEMBRE 2025'!CH42</f>
        <v>0</v>
      </c>
    </row>
    <row r="43" spans="2:13">
      <c r="B43" s="141">
        <f>'SEPTIEMBRE 2025'!D43</f>
        <v>0</v>
      </c>
      <c r="C43" s="142">
        <f>'SEPTIEMBRE 2025'!E43</f>
        <v>0</v>
      </c>
      <c r="D43" s="89">
        <f>'SEPTIEMBRE 2025'!H43</f>
        <v>0</v>
      </c>
      <c r="E43" s="89">
        <f>'SEPTIEMBRE 2025'!I43</f>
        <v>0</v>
      </c>
      <c r="F43" s="89">
        <f>'SEPTIEMBRE 2025'!J43</f>
        <v>0</v>
      </c>
      <c r="G43" s="89">
        <f>'SEPTIEMBRE 2025'!U43</f>
        <v>0</v>
      </c>
      <c r="H43" s="89">
        <f>'SEPTIEMBRE 2025'!AY43</f>
        <v>0</v>
      </c>
      <c r="I43" s="89">
        <f>'SEPTIEMBRE 2025'!CC43</f>
        <v>0</v>
      </c>
      <c r="J43" s="89">
        <f>'SEPTIEMBRE 2025'!CD43</f>
        <v>0</v>
      </c>
      <c r="K43" s="89">
        <f>'SEPTIEMBRE 2025'!CF43</f>
        <v>0</v>
      </c>
      <c r="L43" s="89">
        <f>'SEPTIEMBRE 2025'!CG43</f>
        <v>0</v>
      </c>
      <c r="M43" s="89">
        <f>'SEPTIEMBRE 2025'!CH43</f>
        <v>0</v>
      </c>
    </row>
    <row r="44" spans="2:13">
      <c r="B44" s="141">
        <f>'SEPTIEMBRE 2025'!D44</f>
        <v>0</v>
      </c>
      <c r="C44" s="142">
        <f>'SEPTIEMBRE 2025'!E44</f>
        <v>0</v>
      </c>
      <c r="D44" s="89">
        <f>'SEPTIEMBRE 2025'!H44</f>
        <v>0</v>
      </c>
      <c r="E44" s="89">
        <f>'SEPTIEMBRE 2025'!I44</f>
        <v>0</v>
      </c>
      <c r="F44" s="89">
        <f>'SEPTIEMBRE 2025'!J44</f>
        <v>0</v>
      </c>
      <c r="G44" s="89">
        <f>'SEPTIEMBRE 2025'!U44</f>
        <v>0</v>
      </c>
      <c r="H44" s="89">
        <f>'SEPTIEMBRE 2025'!AY44</f>
        <v>0</v>
      </c>
      <c r="I44" s="89">
        <f>'SEPTIEMBRE 2025'!CC44</f>
        <v>0</v>
      </c>
      <c r="J44" s="89">
        <f>'SEPTIEMBRE 2025'!CD44</f>
        <v>0</v>
      </c>
      <c r="K44" s="89">
        <f>'SEPTIEMBRE 2025'!CF44</f>
        <v>0</v>
      </c>
      <c r="L44" s="89">
        <f>'SEPTIEMBRE 2025'!CG44</f>
        <v>0</v>
      </c>
      <c r="M44" s="89">
        <f>'SEPTIEMBRE 2025'!CH44</f>
        <v>0</v>
      </c>
    </row>
    <row r="45" spans="2:13">
      <c r="B45" s="141">
        <f>'SEPTIEMBRE 2025'!D45</f>
        <v>0</v>
      </c>
      <c r="C45" s="142">
        <f>'SEPTIEMBRE 2025'!E45</f>
        <v>0</v>
      </c>
      <c r="D45" s="89">
        <f>'SEPTIEMBRE 2025'!H45</f>
        <v>0</v>
      </c>
      <c r="E45" s="89">
        <f>'SEPTIEMBRE 2025'!I45</f>
        <v>0</v>
      </c>
      <c r="F45" s="89">
        <f>'SEPTIEMBRE 2025'!J45</f>
        <v>0</v>
      </c>
      <c r="G45" s="89">
        <f>'SEPTIEMBRE 2025'!U45</f>
        <v>0</v>
      </c>
      <c r="H45" s="89">
        <f>'SEPTIEMBRE 2025'!AY45</f>
        <v>0</v>
      </c>
      <c r="I45" s="89">
        <f>'SEPTIEMBRE 2025'!CC45</f>
        <v>0</v>
      </c>
      <c r="J45" s="89">
        <f>'SEPTIEMBRE 2025'!CD45</f>
        <v>0</v>
      </c>
      <c r="K45" s="89">
        <f>'SEPTIEMBRE 2025'!CF45</f>
        <v>0</v>
      </c>
      <c r="L45" s="89">
        <f>'SEPTIEMBRE 2025'!CG45</f>
        <v>0</v>
      </c>
      <c r="M45" s="89">
        <f>'SEPTIEMBRE 2025'!CH45</f>
        <v>0</v>
      </c>
    </row>
    <row r="46" spans="2:13">
      <c r="B46" s="141">
        <f>'SEPTIEMBRE 2025'!D46</f>
        <v>0</v>
      </c>
      <c r="C46" s="142">
        <f>'SEPTIEMBRE 2025'!E46</f>
        <v>0</v>
      </c>
      <c r="D46" s="89">
        <f>'SEPTIEMBRE 2025'!H46</f>
        <v>0</v>
      </c>
      <c r="E46" s="89">
        <f>'SEPTIEMBRE 2025'!I46</f>
        <v>0</v>
      </c>
      <c r="F46" s="89">
        <f>'SEPTIEMBRE 2025'!J46</f>
        <v>0</v>
      </c>
      <c r="G46" s="89">
        <f>'SEPTIEMBRE 2025'!U46</f>
        <v>0</v>
      </c>
      <c r="H46" s="89">
        <f>'SEPTIEMBRE 2025'!AY46</f>
        <v>0</v>
      </c>
      <c r="I46" s="89">
        <f>'SEPTIEMBRE 2025'!CC46</f>
        <v>0</v>
      </c>
      <c r="J46" s="89">
        <f>'SEPTIEMBRE 2025'!CD46</f>
        <v>0</v>
      </c>
      <c r="K46" s="89">
        <f>'SEPTIEMBRE 2025'!CF46</f>
        <v>0</v>
      </c>
      <c r="L46" s="89">
        <f>'SEPTIEMBRE 2025'!CG46</f>
        <v>0</v>
      </c>
      <c r="M46" s="89">
        <f>'SEPTIEMBRE 2025'!CH46</f>
        <v>0</v>
      </c>
    </row>
    <row r="47" spans="2:13">
      <c r="B47" s="141">
        <f>'SEPTIEMBRE 2025'!D47</f>
        <v>0</v>
      </c>
      <c r="C47" s="142">
        <f>'SEPTIEMBRE 2025'!E47</f>
        <v>0</v>
      </c>
      <c r="D47" s="89">
        <f>'SEPTIEMBRE 2025'!H47</f>
        <v>0</v>
      </c>
      <c r="E47" s="89">
        <f>'SEPTIEMBRE 2025'!I47</f>
        <v>0</v>
      </c>
      <c r="F47" s="89">
        <f>'SEPTIEMBRE 2025'!J47</f>
        <v>0</v>
      </c>
      <c r="G47" s="89">
        <f>'SEPTIEMBRE 2025'!U47</f>
        <v>0</v>
      </c>
      <c r="H47" s="89">
        <f>'SEPTIEMBRE 2025'!AY47</f>
        <v>0</v>
      </c>
      <c r="I47" s="89">
        <f>'SEPTIEMBRE 2025'!CC47</f>
        <v>0</v>
      </c>
      <c r="J47" s="89">
        <f>'SEPTIEMBRE 2025'!CD47</f>
        <v>0</v>
      </c>
      <c r="K47" s="89">
        <f>'SEPTIEMBRE 2025'!CF47</f>
        <v>0</v>
      </c>
      <c r="L47" s="89">
        <f>'SEPTIEMBRE 2025'!CG47</f>
        <v>0</v>
      </c>
      <c r="M47" s="89">
        <f>'SEPTIEMBRE 2025'!CH47</f>
        <v>0</v>
      </c>
    </row>
    <row r="48" spans="2:13">
      <c r="B48" s="141">
        <f>'SEPTIEMBRE 2025'!D48</f>
        <v>0</v>
      </c>
      <c r="C48" s="142">
        <f>'SEPTIEMBRE 2025'!E48</f>
        <v>0</v>
      </c>
      <c r="D48" s="89">
        <f>'SEPTIEMBRE 2025'!H48</f>
        <v>0</v>
      </c>
      <c r="E48" s="89">
        <f>'SEPTIEMBRE 2025'!I48</f>
        <v>0</v>
      </c>
      <c r="F48" s="89">
        <f>'SEPTIEMBRE 2025'!J48</f>
        <v>0</v>
      </c>
      <c r="G48" s="89">
        <f>'SEPTIEMBRE 2025'!U48</f>
        <v>0</v>
      </c>
      <c r="H48" s="89">
        <f>'SEPTIEMBRE 2025'!AY48</f>
        <v>0</v>
      </c>
      <c r="I48" s="89">
        <f>'SEPTIEMBRE 2025'!CC48</f>
        <v>0</v>
      </c>
      <c r="J48" s="89">
        <f>'SEPTIEMBRE 2025'!CD48</f>
        <v>0</v>
      </c>
      <c r="K48" s="89">
        <f>'SEPTIEMBRE 2025'!CF48</f>
        <v>0</v>
      </c>
      <c r="L48" s="89">
        <f>'SEPTIEMBRE 2025'!CG48</f>
        <v>0</v>
      </c>
      <c r="M48" s="89">
        <f>'SEPTIEMBRE 2025'!CH48</f>
        <v>0</v>
      </c>
    </row>
    <row r="49" spans="2:13">
      <c r="B49" s="141">
        <f>'SEPTIEMBRE 2025'!D49</f>
        <v>0</v>
      </c>
      <c r="C49" s="142">
        <f>'SEPTIEMBRE 2025'!E49</f>
        <v>0</v>
      </c>
      <c r="D49" s="89">
        <f>'SEPTIEMBRE 2025'!H49</f>
        <v>0</v>
      </c>
      <c r="E49" s="89">
        <f>'SEPTIEMBRE 2025'!I49</f>
        <v>0</v>
      </c>
      <c r="F49" s="89">
        <f>'SEPTIEMBRE 2025'!J49</f>
        <v>0</v>
      </c>
      <c r="G49" s="89">
        <f>'SEPTIEMBRE 2025'!U49</f>
        <v>0</v>
      </c>
      <c r="H49" s="89">
        <f>'SEPTIEMBRE 2025'!AY49</f>
        <v>0</v>
      </c>
      <c r="I49" s="89">
        <f>'SEPTIEMBRE 2025'!CC49</f>
        <v>0</v>
      </c>
      <c r="J49" s="89">
        <f>'SEPTIEMBRE 2025'!CD49</f>
        <v>0</v>
      </c>
      <c r="K49" s="89">
        <f>'SEPTIEMBRE 2025'!CF49</f>
        <v>0</v>
      </c>
      <c r="L49" s="89">
        <f>'SEPTIEMBRE 2025'!CG49</f>
        <v>0</v>
      </c>
      <c r="M49" s="89">
        <f>'SEPTIEMBRE 2025'!CH49</f>
        <v>0</v>
      </c>
    </row>
    <row r="50" spans="2:13">
      <c r="B50" s="141">
        <f>'SEPTIEMBRE 2025'!D50</f>
        <v>0</v>
      </c>
      <c r="C50" s="142">
        <f>'SEPTIEMBRE 2025'!E50</f>
        <v>0</v>
      </c>
      <c r="D50" s="89">
        <f>'SEPTIEMBRE 2025'!H50</f>
        <v>0</v>
      </c>
      <c r="E50" s="89">
        <f>'SEPTIEMBRE 2025'!I50</f>
        <v>0</v>
      </c>
      <c r="F50" s="89">
        <f>'SEPTIEMBRE 2025'!J50</f>
        <v>0</v>
      </c>
      <c r="G50" s="89">
        <f>'SEPTIEMBRE 2025'!U50</f>
        <v>0</v>
      </c>
      <c r="H50" s="89">
        <f>'SEPTIEMBRE 2025'!AY50</f>
        <v>0</v>
      </c>
      <c r="I50" s="89">
        <f>'SEPTIEMBRE 2025'!CC50</f>
        <v>0</v>
      </c>
      <c r="J50" s="89">
        <f>'SEPTIEMBRE 2025'!CD50</f>
        <v>0</v>
      </c>
      <c r="K50" s="89">
        <f>'SEPTIEMBRE 2025'!CF50</f>
        <v>0</v>
      </c>
      <c r="L50" s="89">
        <f>'SEPTIEMBRE 2025'!CG50</f>
        <v>0</v>
      </c>
      <c r="M50" s="89">
        <f>'SEPTIEMBRE 2025'!CH50</f>
        <v>0</v>
      </c>
    </row>
    <row r="51" spans="2:13">
      <c r="B51" s="141">
        <f>'SEPTIEMBRE 2025'!D51</f>
        <v>0</v>
      </c>
      <c r="C51" s="142">
        <f>'SEPTIEMBRE 2025'!E51</f>
        <v>0</v>
      </c>
      <c r="D51" s="89">
        <f>'SEPTIEMBRE 2025'!H51</f>
        <v>0</v>
      </c>
      <c r="E51" s="89">
        <f>'SEPTIEMBRE 2025'!I51</f>
        <v>0</v>
      </c>
      <c r="F51" s="89">
        <f>'SEPTIEMBRE 2025'!J51</f>
        <v>0</v>
      </c>
      <c r="G51" s="89">
        <f>'SEPTIEMBRE 2025'!U51</f>
        <v>0</v>
      </c>
      <c r="H51" s="89">
        <f>'SEPTIEMBRE 2025'!AY51</f>
        <v>0</v>
      </c>
      <c r="I51" s="89">
        <f>'SEPTIEMBRE 2025'!CC51</f>
        <v>0</v>
      </c>
      <c r="J51" s="89">
        <f>'SEPTIEMBRE 2025'!CD51</f>
        <v>0</v>
      </c>
      <c r="K51" s="89">
        <f>'SEPTIEMBRE 2025'!CF51</f>
        <v>0</v>
      </c>
      <c r="L51" s="89">
        <f>'SEPTIEMBRE 2025'!CG51</f>
        <v>0</v>
      </c>
      <c r="M51" s="89">
        <f>'SEPTIEMBRE 2025'!CH51</f>
        <v>0</v>
      </c>
    </row>
    <row r="52" spans="2:13">
      <c r="B52" s="141">
        <f>'SEPTIEMBRE 2025'!D52</f>
        <v>0</v>
      </c>
      <c r="C52" s="142">
        <f>'SEPTIEMBRE 2025'!E52</f>
        <v>0</v>
      </c>
      <c r="D52" s="89">
        <f>'SEPTIEMBRE 2025'!H52</f>
        <v>0</v>
      </c>
      <c r="E52" s="89">
        <f>'SEPTIEMBRE 2025'!I52</f>
        <v>0</v>
      </c>
      <c r="F52" s="89">
        <f>'SEPTIEMBRE 2025'!J52</f>
        <v>0</v>
      </c>
      <c r="G52" s="89">
        <f>'SEPTIEMBRE 2025'!U52</f>
        <v>0</v>
      </c>
      <c r="H52" s="89">
        <f>'SEPTIEMBRE 2025'!AY52</f>
        <v>0</v>
      </c>
      <c r="I52" s="89">
        <f>'SEPTIEMBRE 2025'!CC52</f>
        <v>0</v>
      </c>
      <c r="J52" s="89">
        <f>'SEPTIEMBRE 2025'!CD52</f>
        <v>0</v>
      </c>
      <c r="K52" s="89">
        <f>'SEPTIEMBRE 2025'!CF52</f>
        <v>0</v>
      </c>
      <c r="L52" s="89">
        <f>'SEPTIEMBRE 2025'!CG52</f>
        <v>0</v>
      </c>
      <c r="M52" s="89">
        <f>'SEPTIEMBRE 2025'!CH52</f>
        <v>0</v>
      </c>
    </row>
    <row r="53" spans="2:13">
      <c r="B53" s="141">
        <f>'SEPTIEMBRE 2025'!D53</f>
        <v>0</v>
      </c>
      <c r="C53" s="142">
        <f>'SEPTIEMBRE 2025'!E53</f>
        <v>0</v>
      </c>
      <c r="D53" s="89">
        <f>'SEPTIEMBRE 2025'!H53</f>
        <v>0</v>
      </c>
      <c r="E53" s="89">
        <f>'SEPTIEMBRE 2025'!I53</f>
        <v>0</v>
      </c>
      <c r="F53" s="89">
        <f>'SEPTIEMBRE 2025'!J53</f>
        <v>0</v>
      </c>
      <c r="G53" s="89">
        <f>'SEPTIEMBRE 2025'!U53</f>
        <v>0</v>
      </c>
      <c r="H53" s="89">
        <f>'SEPTIEMBRE 2025'!AY53</f>
        <v>0</v>
      </c>
      <c r="I53" s="89">
        <f>'SEPTIEMBRE 2025'!CC53</f>
        <v>0</v>
      </c>
      <c r="J53" s="89">
        <f>'SEPTIEMBRE 2025'!CD53</f>
        <v>0</v>
      </c>
      <c r="K53" s="89">
        <f>'SEPTIEMBRE 2025'!CF53</f>
        <v>0</v>
      </c>
      <c r="L53" s="89">
        <f>'SEPTIEMBRE 2025'!CG53</f>
        <v>0</v>
      </c>
      <c r="M53" s="89">
        <f>'SEPTIEMBRE 2025'!CH53</f>
        <v>0</v>
      </c>
    </row>
    <row r="54" spans="2:13">
      <c r="B54" s="141">
        <f>'SEPTIEMBRE 2025'!D54</f>
        <v>0</v>
      </c>
      <c r="C54" s="142">
        <f>'SEPTIEMBRE 2025'!E54</f>
        <v>0</v>
      </c>
      <c r="D54" s="89">
        <f>'SEPTIEMBRE 2025'!H54</f>
        <v>0</v>
      </c>
      <c r="E54" s="89">
        <f>'SEPTIEMBRE 2025'!I54</f>
        <v>0</v>
      </c>
      <c r="F54" s="89">
        <f>'SEPTIEMBRE 2025'!J54</f>
        <v>0</v>
      </c>
      <c r="G54" s="89">
        <f>'SEPTIEMBRE 2025'!U54</f>
        <v>0</v>
      </c>
      <c r="H54" s="89">
        <f>'SEPTIEMBRE 2025'!AY54</f>
        <v>0</v>
      </c>
      <c r="I54" s="89">
        <f>'SEPTIEMBRE 2025'!CC54</f>
        <v>0</v>
      </c>
      <c r="J54" s="89">
        <f>'SEPTIEMBRE 2025'!CD54</f>
        <v>0</v>
      </c>
      <c r="K54" s="89">
        <f>'SEPTIEMBRE 2025'!CF54</f>
        <v>0</v>
      </c>
      <c r="L54" s="89">
        <f>'SEPTIEMBRE 2025'!CG54</f>
        <v>0</v>
      </c>
      <c r="M54" s="89">
        <f>'SEPTIEMBRE 2025'!CH54</f>
        <v>0</v>
      </c>
    </row>
    <row r="55" spans="2:13">
      <c r="B55" s="141">
        <f>'SEPTIEMBRE 2025'!I56</f>
        <v>0</v>
      </c>
      <c r="C55" s="142">
        <f>'SEPTIEMBRE 2025'!J56</f>
        <v>0</v>
      </c>
      <c r="D55" s="89">
        <f>'SEPTIEMBRE 2025'!M56</f>
        <v>0</v>
      </c>
      <c r="E55" s="89">
        <f>'SEPTIEMBRE 2025'!N56</f>
        <v>0</v>
      </c>
      <c r="F55" s="89">
        <f>'SEPTIEMBRE 2025'!O56</f>
        <v>0</v>
      </c>
      <c r="G55" s="89">
        <f>'SEPTIEMBRE 2025'!Z56</f>
        <v>0</v>
      </c>
      <c r="H55" s="89">
        <f>'SEPTIEMBRE 2025'!BD56</f>
        <v>0</v>
      </c>
      <c r="I55" s="89">
        <f>'SEPTIEMBRE 2025'!CH56</f>
        <v>0</v>
      </c>
      <c r="J55" s="89">
        <f>'SEPTIEMBRE 2025'!CI56</f>
        <v>0</v>
      </c>
      <c r="K55" s="89">
        <f>'SEPTIEMBRE 2025'!CK56</f>
        <v>0</v>
      </c>
      <c r="L55" s="89">
        <f>'SEPTIEMBRE 2025'!CL56</f>
        <v>0</v>
      </c>
      <c r="M55" s="89">
        <f>'SEPTIEMBRE 2025'!CM56</f>
        <v>0</v>
      </c>
    </row>
    <row r="56" spans="2:13">
      <c r="B56" s="141">
        <f>'SEPTIEMBRE 2025'!I57</f>
        <v>0</v>
      </c>
      <c r="C56" s="142">
        <f>'SEPTIEMBRE 2025'!J57</f>
        <v>0</v>
      </c>
      <c r="D56" s="89">
        <f>'SEPTIEMBRE 2025'!M57</f>
        <v>0</v>
      </c>
      <c r="E56" s="89">
        <f>'SEPTIEMBRE 2025'!N57</f>
        <v>0</v>
      </c>
      <c r="F56" s="89">
        <f>'SEPTIEMBRE 2025'!O57</f>
        <v>0</v>
      </c>
      <c r="G56" s="89">
        <f>'SEPTIEMBRE 2025'!Z57</f>
        <v>0</v>
      </c>
      <c r="H56" s="89">
        <f>'SEPTIEMBRE 2025'!BD57</f>
        <v>0</v>
      </c>
      <c r="I56" s="89">
        <f>'SEPTIEMBRE 2025'!CH57</f>
        <v>0</v>
      </c>
      <c r="J56" s="89">
        <f>'SEPTIEMBRE 2025'!CI57</f>
        <v>0</v>
      </c>
      <c r="K56" s="89">
        <f>'SEPTIEMBRE 2025'!CK57</f>
        <v>0</v>
      </c>
      <c r="L56" s="89">
        <f>'SEPTIEMBRE 2025'!CL57</f>
        <v>0</v>
      </c>
      <c r="M56" s="89">
        <f>'SEPTIEMBRE 2025'!CM57</f>
        <v>0</v>
      </c>
    </row>
    <row r="57" spans="2:13">
      <c r="B57" s="141" t="e">
        <f>'SEPTIEMBRE 2025'!#REF!</f>
        <v>#REF!</v>
      </c>
      <c r="C57" s="142" t="e">
        <f>'SEPTIEMBRE 2025'!#REF!</f>
        <v>#REF!</v>
      </c>
      <c r="D57" s="89" t="e">
        <f>'SEPTIEMBRE 2025'!#REF!</f>
        <v>#REF!</v>
      </c>
      <c r="E57" s="89" t="e">
        <f>'SEPTIEMBRE 2025'!#REF!</f>
        <v>#REF!</v>
      </c>
      <c r="F57" s="89" t="e">
        <f>'SEPTIEMBRE 2025'!#REF!</f>
        <v>#REF!</v>
      </c>
      <c r="G57" s="89" t="e">
        <f>'SEPTIEMBRE 2025'!#REF!</f>
        <v>#REF!</v>
      </c>
      <c r="H57" s="89" t="e">
        <f>'SEPTIEMBRE 2025'!#REF!</f>
        <v>#REF!</v>
      </c>
      <c r="I57" s="89" t="e">
        <f>'SEPTIEMBRE 2025'!#REF!</f>
        <v>#REF!</v>
      </c>
      <c r="J57" s="89" t="e">
        <f>'SEPTIEMBRE 2025'!#REF!</f>
        <v>#REF!</v>
      </c>
      <c r="K57" s="89" t="e">
        <f>'SEPTIEMBRE 2025'!#REF!</f>
        <v>#REF!</v>
      </c>
      <c r="L57" s="89" t="e">
        <f>'SEPTIEMBRE 2025'!#REF!</f>
        <v>#REF!</v>
      </c>
      <c r="M57" s="89" t="e">
        <f>'SEPTIEMBRE 2025'!#REF!</f>
        <v>#REF!</v>
      </c>
    </row>
    <row r="58" spans="2:13">
      <c r="B58" s="141">
        <f>'SEPTIEMBRE 2025'!D58</f>
        <v>0</v>
      </c>
      <c r="C58" s="142">
        <f>'SEPTIEMBRE 2025'!E58</f>
        <v>0</v>
      </c>
      <c r="D58" s="89">
        <f>'SEPTIEMBRE 2025'!H58</f>
        <v>0</v>
      </c>
      <c r="E58" s="89">
        <f>'SEPTIEMBRE 2025'!I58</f>
        <v>0</v>
      </c>
      <c r="F58" s="89">
        <f>'SEPTIEMBRE 2025'!J58</f>
        <v>0</v>
      </c>
      <c r="G58" s="89">
        <f>'SEPTIEMBRE 2025'!U58</f>
        <v>0</v>
      </c>
      <c r="H58" s="89">
        <f>'SEPTIEMBRE 2025'!AY58</f>
        <v>0</v>
      </c>
      <c r="I58" s="89">
        <f>'SEPTIEMBRE 2025'!CC58</f>
        <v>0</v>
      </c>
      <c r="J58" s="89">
        <f>'SEPTIEMBRE 2025'!CD58</f>
        <v>0</v>
      </c>
      <c r="K58" s="89">
        <f>'SEPTIEMBRE 2025'!CF58</f>
        <v>0</v>
      </c>
      <c r="L58" s="89">
        <f>'SEPTIEMBRE 2025'!CG58</f>
        <v>0</v>
      </c>
      <c r="M58" s="89">
        <f>'SEPTIEMBRE 2025'!CH58</f>
        <v>0</v>
      </c>
    </row>
    <row r="59" spans="2:13">
      <c r="B59" s="141">
        <f>'SEPTIEMBRE 2025'!D59</f>
        <v>0</v>
      </c>
      <c r="C59" s="142">
        <f>'SEPTIEMBRE 2025'!E59</f>
        <v>0</v>
      </c>
      <c r="D59" s="89">
        <f>'SEPTIEMBRE 2025'!H59</f>
        <v>0</v>
      </c>
      <c r="E59" s="89">
        <f>'SEPTIEMBRE 2025'!I59</f>
        <v>0</v>
      </c>
      <c r="F59" s="89">
        <f>'SEPTIEMBRE 2025'!J59</f>
        <v>0</v>
      </c>
      <c r="G59" s="89">
        <f>'SEPTIEMBRE 2025'!U59</f>
        <v>0</v>
      </c>
      <c r="H59" s="89">
        <f>'SEPTIEMBRE 2025'!AY59</f>
        <v>0</v>
      </c>
      <c r="I59" s="89">
        <f>'SEPTIEMBRE 2025'!CC59</f>
        <v>0</v>
      </c>
      <c r="J59" s="89">
        <f>'SEPTIEMBRE 2025'!CD59</f>
        <v>0</v>
      </c>
      <c r="K59" s="89">
        <f>'SEPTIEMBRE 2025'!CF59</f>
        <v>0</v>
      </c>
      <c r="L59" s="89">
        <f>'SEPTIEMBRE 2025'!CG59</f>
        <v>0</v>
      </c>
      <c r="M59" s="89">
        <f>'SEPTIEMBRE 2025'!CH59</f>
        <v>0</v>
      </c>
    </row>
    <row r="60" spans="2:13">
      <c r="B60" s="141">
        <f>'SEPTIEMBRE 2025'!D60</f>
        <v>0</v>
      </c>
      <c r="C60" s="142">
        <f>'SEPTIEMBRE 2025'!E60</f>
        <v>0</v>
      </c>
      <c r="D60" s="89">
        <f>'SEPTIEMBRE 2025'!H60</f>
        <v>0</v>
      </c>
      <c r="E60" s="89">
        <f>'SEPTIEMBRE 2025'!I60</f>
        <v>0</v>
      </c>
      <c r="F60" s="89">
        <f>'SEPTIEMBRE 2025'!J60</f>
        <v>0</v>
      </c>
      <c r="G60" s="89">
        <f>'SEPTIEMBRE 2025'!U60</f>
        <v>0</v>
      </c>
      <c r="H60" s="89">
        <f>'SEPTIEMBRE 2025'!AY60</f>
        <v>0</v>
      </c>
      <c r="I60" s="89">
        <f>'SEPTIEMBRE 2025'!CC60</f>
        <v>0</v>
      </c>
      <c r="J60" s="89">
        <f>'SEPTIEMBRE 2025'!CD60</f>
        <v>0</v>
      </c>
      <c r="K60" s="89">
        <f>'SEPTIEMBRE 2025'!CF60</f>
        <v>0</v>
      </c>
      <c r="L60" s="89">
        <f>'SEPTIEMBRE 2025'!CG60</f>
        <v>0</v>
      </c>
      <c r="M60" s="89">
        <f>'SEPTIEMBRE 2025'!CH60</f>
        <v>0</v>
      </c>
    </row>
    <row r="61" spans="2:13">
      <c r="B61" s="141">
        <f>'SEPTIEMBRE 2025'!D61</f>
        <v>0</v>
      </c>
      <c r="C61" s="142">
        <f>'SEPTIEMBRE 2025'!E61</f>
        <v>0</v>
      </c>
      <c r="D61" s="89">
        <f>'SEPTIEMBRE 2025'!H61</f>
        <v>0</v>
      </c>
      <c r="E61" s="89">
        <f>'SEPTIEMBRE 2025'!I61</f>
        <v>0</v>
      </c>
      <c r="F61" s="89">
        <f>'SEPTIEMBRE 2025'!J61</f>
        <v>0</v>
      </c>
      <c r="G61" s="89">
        <f>'SEPTIEMBRE 2025'!U61</f>
        <v>0</v>
      </c>
      <c r="H61" s="89">
        <f>'SEPTIEMBRE 2025'!AY61</f>
        <v>0</v>
      </c>
      <c r="I61" s="89">
        <f>'SEPTIEMBRE 2025'!CC61</f>
        <v>0</v>
      </c>
      <c r="J61" s="89">
        <f>'SEPTIEMBRE 2025'!CD61</f>
        <v>0</v>
      </c>
      <c r="K61" s="89">
        <f>'SEPTIEMBRE 2025'!CF61</f>
        <v>0</v>
      </c>
      <c r="L61" s="89">
        <f>'SEPTIEMBRE 2025'!CG61</f>
        <v>0</v>
      </c>
      <c r="M61" s="89">
        <f>'SEPTIEMBRE 2025'!CH61</f>
        <v>0</v>
      </c>
    </row>
    <row r="62" spans="2:13">
      <c r="B62" s="141">
        <f>'SEPTIEMBRE 2025'!D62</f>
        <v>0</v>
      </c>
      <c r="C62" s="142">
        <f>'SEPTIEMBRE 2025'!E62</f>
        <v>0</v>
      </c>
      <c r="D62" s="89">
        <f>'SEPTIEMBRE 2025'!H62</f>
        <v>0</v>
      </c>
      <c r="E62" s="89">
        <f>'SEPTIEMBRE 2025'!I62</f>
        <v>0</v>
      </c>
      <c r="F62" s="89">
        <f>'SEPTIEMBRE 2025'!J62</f>
        <v>0</v>
      </c>
      <c r="G62" s="89">
        <f>'SEPTIEMBRE 2025'!U62</f>
        <v>0</v>
      </c>
      <c r="H62" s="89">
        <f>'SEPTIEMBRE 2025'!AY62</f>
        <v>0</v>
      </c>
      <c r="I62" s="89">
        <f>'SEPTIEMBRE 2025'!CC62</f>
        <v>0</v>
      </c>
      <c r="J62" s="89">
        <f>'SEPTIEMBRE 2025'!CD62</f>
        <v>0</v>
      </c>
      <c r="K62" s="89">
        <f>'SEPTIEMBRE 2025'!CF62</f>
        <v>0</v>
      </c>
      <c r="L62" s="89">
        <f>'SEPTIEMBRE 2025'!CG62</f>
        <v>0</v>
      </c>
      <c r="M62" s="89">
        <f>'SEPTIEMBRE 2025'!CH62</f>
        <v>0</v>
      </c>
    </row>
    <row r="63" spans="2:13">
      <c r="B63" s="141">
        <f>'SEPTIEMBRE 2025'!D63</f>
        <v>0</v>
      </c>
      <c r="C63" s="142">
        <f>'SEPTIEMBRE 2025'!E63</f>
        <v>0</v>
      </c>
      <c r="D63" s="89">
        <f>'SEPTIEMBRE 2025'!H63</f>
        <v>0</v>
      </c>
      <c r="E63" s="89">
        <f>'SEPTIEMBRE 2025'!I63</f>
        <v>0</v>
      </c>
      <c r="F63" s="89">
        <f>'SEPTIEMBRE 2025'!J63</f>
        <v>0</v>
      </c>
      <c r="G63" s="89">
        <f>'SEPTIEMBRE 2025'!U63</f>
        <v>0</v>
      </c>
      <c r="H63" s="89">
        <f>'SEPTIEMBRE 2025'!AY63</f>
        <v>0</v>
      </c>
      <c r="I63" s="89">
        <f>'SEPTIEMBRE 2025'!CC63</f>
        <v>0</v>
      </c>
      <c r="J63" s="89">
        <f>'SEPTIEMBRE 2025'!CD63</f>
        <v>0</v>
      </c>
      <c r="K63" s="89">
        <f>'SEPTIEMBRE 2025'!CF63</f>
        <v>0</v>
      </c>
      <c r="L63" s="89">
        <f>'SEPTIEMBRE 2025'!CG63</f>
        <v>0</v>
      </c>
      <c r="M63" s="89">
        <f>'SEPTIEMBRE 2025'!CH63</f>
        <v>0</v>
      </c>
    </row>
    <row r="64" spans="2:13">
      <c r="B64" s="141">
        <f>'SEPTIEMBRE 2025'!D64</f>
        <v>0</v>
      </c>
      <c r="C64" s="142">
        <f>'SEPTIEMBRE 2025'!E64</f>
        <v>0</v>
      </c>
      <c r="D64" s="89">
        <f>'SEPTIEMBRE 2025'!H64</f>
        <v>0</v>
      </c>
      <c r="E64" s="89">
        <f>'SEPTIEMBRE 2025'!I64</f>
        <v>0</v>
      </c>
      <c r="F64" s="89">
        <f>'SEPTIEMBRE 2025'!J64</f>
        <v>0</v>
      </c>
      <c r="G64" s="89">
        <f>'SEPTIEMBRE 2025'!U64</f>
        <v>0</v>
      </c>
      <c r="H64" s="89">
        <f>'SEPTIEMBRE 2025'!AY64</f>
        <v>0</v>
      </c>
      <c r="I64" s="89">
        <f>'SEPTIEMBRE 2025'!CC64</f>
        <v>0</v>
      </c>
      <c r="J64" s="89">
        <f>'SEPTIEMBRE 2025'!CD64</f>
        <v>0</v>
      </c>
      <c r="K64" s="89">
        <f>'SEPTIEMBRE 2025'!CF64</f>
        <v>0</v>
      </c>
      <c r="L64" s="89">
        <f>'SEPTIEMBRE 2025'!CG64</f>
        <v>0</v>
      </c>
      <c r="M64" s="89">
        <f>'SEPTIEMBRE 2025'!CH64</f>
        <v>0</v>
      </c>
    </row>
    <row r="65" spans="2:13">
      <c r="B65" s="141">
        <f>'SEPTIEMBRE 2025'!D65</f>
        <v>0</v>
      </c>
      <c r="C65" s="142">
        <f>'SEPTIEMBRE 2025'!E65</f>
        <v>0</v>
      </c>
      <c r="D65" s="89">
        <f>'SEPTIEMBRE 2025'!H65</f>
        <v>0</v>
      </c>
      <c r="E65" s="89">
        <f>'SEPTIEMBRE 2025'!I65</f>
        <v>0</v>
      </c>
      <c r="F65" s="89">
        <f>'SEPTIEMBRE 2025'!J65</f>
        <v>0</v>
      </c>
      <c r="G65" s="89">
        <f>'SEPTIEMBRE 2025'!U65</f>
        <v>0</v>
      </c>
      <c r="H65" s="89">
        <f>'SEPTIEMBRE 2025'!AY65</f>
        <v>0</v>
      </c>
      <c r="I65" s="89">
        <f>'SEPTIEMBRE 2025'!CC65</f>
        <v>0</v>
      </c>
      <c r="J65" s="89">
        <f>'SEPTIEMBRE 2025'!CD65</f>
        <v>0</v>
      </c>
      <c r="K65" s="89">
        <f>'SEPTIEMBRE 2025'!CF65</f>
        <v>0</v>
      </c>
      <c r="L65" s="89">
        <f>'SEPTIEMBRE 2025'!CG65</f>
        <v>0</v>
      </c>
      <c r="M65" s="89">
        <f>'SEPTIEMBRE 2025'!CH65</f>
        <v>0</v>
      </c>
    </row>
    <row r="66" spans="2:13">
      <c r="B66" s="141">
        <f>'SEPTIEMBRE 2025'!D66</f>
        <v>0</v>
      </c>
      <c r="C66" s="142">
        <f>'SEPTIEMBRE 2025'!E66</f>
        <v>0</v>
      </c>
      <c r="D66" s="89">
        <f>'SEPTIEMBRE 2025'!H66</f>
        <v>0</v>
      </c>
      <c r="E66" s="89">
        <f>'SEPTIEMBRE 2025'!I66</f>
        <v>0</v>
      </c>
      <c r="F66" s="89">
        <f>'SEPTIEMBRE 2025'!J66</f>
        <v>0</v>
      </c>
      <c r="G66" s="89">
        <f>'SEPTIEMBRE 2025'!U66</f>
        <v>0</v>
      </c>
      <c r="H66" s="89">
        <f>'SEPTIEMBRE 2025'!AY66</f>
        <v>0</v>
      </c>
      <c r="I66" s="89">
        <f>'SEPTIEMBRE 2025'!CC66</f>
        <v>0</v>
      </c>
      <c r="J66" s="89">
        <f>'SEPTIEMBRE 2025'!CD66</f>
        <v>0</v>
      </c>
      <c r="K66" s="89">
        <f>'SEPTIEMBRE 2025'!CF66</f>
        <v>0</v>
      </c>
      <c r="L66" s="89">
        <f>'SEPTIEMBRE 2025'!CG66</f>
        <v>0</v>
      </c>
      <c r="M66" s="89">
        <f>'SEPTIEMBRE 2025'!CH66</f>
        <v>0</v>
      </c>
    </row>
    <row r="67" spans="2:13">
      <c r="B67" s="141">
        <f>'SEPTIEMBRE 2025'!D67</f>
        <v>0</v>
      </c>
      <c r="C67" s="142">
        <f>'SEPTIEMBRE 2025'!E67</f>
        <v>0</v>
      </c>
      <c r="D67" s="89">
        <f>'SEPTIEMBRE 2025'!H67</f>
        <v>0</v>
      </c>
      <c r="E67" s="89">
        <f>'SEPTIEMBRE 2025'!I67</f>
        <v>0</v>
      </c>
      <c r="F67" s="89">
        <f>'SEPTIEMBRE 2025'!J67</f>
        <v>0</v>
      </c>
      <c r="G67" s="89">
        <f>'SEPTIEMBRE 2025'!U67</f>
        <v>0</v>
      </c>
      <c r="H67" s="89">
        <f>'SEPTIEMBRE 2025'!AY67</f>
        <v>0</v>
      </c>
      <c r="I67" s="89">
        <f>'SEPTIEMBRE 2025'!CC67</f>
        <v>0</v>
      </c>
      <c r="J67" s="89">
        <f>'SEPTIEMBRE 2025'!CD67</f>
        <v>0</v>
      </c>
      <c r="K67" s="89">
        <f>'SEPTIEMBRE 2025'!CF67</f>
        <v>0</v>
      </c>
      <c r="L67" s="89">
        <f>'SEPTIEMBRE 2025'!CG67</f>
        <v>0</v>
      </c>
      <c r="M67" s="89">
        <f>'SEPTIEMBRE 2025'!CH67</f>
        <v>0</v>
      </c>
    </row>
    <row r="68" spans="2:13">
      <c r="B68" s="141">
        <f>'SEPTIEMBRE 2025'!D68</f>
        <v>0</v>
      </c>
      <c r="C68" s="142">
        <f>'SEPTIEMBRE 2025'!E68</f>
        <v>0</v>
      </c>
      <c r="D68" s="89">
        <f>'SEPTIEMBRE 2025'!H68</f>
        <v>0</v>
      </c>
      <c r="E68" s="89">
        <f>'SEPTIEMBRE 2025'!I68</f>
        <v>0</v>
      </c>
      <c r="F68" s="89">
        <f>'SEPTIEMBRE 2025'!J68</f>
        <v>0</v>
      </c>
      <c r="G68" s="89">
        <f>'SEPTIEMBRE 2025'!U68</f>
        <v>0</v>
      </c>
      <c r="H68" s="89">
        <f>'SEPTIEMBRE 2025'!AY68</f>
        <v>0</v>
      </c>
      <c r="I68" s="89">
        <f>'SEPTIEMBRE 2025'!CC68</f>
        <v>0</v>
      </c>
      <c r="J68" s="89">
        <f>'SEPTIEMBRE 2025'!CD68</f>
        <v>0</v>
      </c>
      <c r="K68" s="89">
        <f>'SEPTIEMBRE 2025'!CF68</f>
        <v>0</v>
      </c>
      <c r="L68" s="89">
        <f>'SEPTIEMBRE 2025'!CG68</f>
        <v>0</v>
      </c>
      <c r="M68" s="89">
        <f>'SEPTIEMBRE 2025'!CH68</f>
        <v>0</v>
      </c>
    </row>
    <row r="69" spans="2:13">
      <c r="B69" s="141">
        <f>'SEPTIEMBRE 2025'!D69</f>
        <v>0</v>
      </c>
      <c r="C69" s="142">
        <f>'SEPTIEMBRE 2025'!E69</f>
        <v>0</v>
      </c>
      <c r="D69" s="89">
        <f>'SEPTIEMBRE 2025'!H69</f>
        <v>0</v>
      </c>
      <c r="E69" s="89">
        <f>'SEPTIEMBRE 2025'!I69</f>
        <v>0</v>
      </c>
      <c r="F69" s="89">
        <f>'SEPTIEMBRE 2025'!J69</f>
        <v>0</v>
      </c>
      <c r="G69" s="89">
        <f>'SEPTIEMBRE 2025'!U69</f>
        <v>0</v>
      </c>
      <c r="H69" s="89">
        <f>'SEPTIEMBRE 2025'!AY69</f>
        <v>0</v>
      </c>
      <c r="I69" s="89">
        <f>'SEPTIEMBRE 2025'!CC69</f>
        <v>0</v>
      </c>
      <c r="J69" s="89">
        <f>'SEPTIEMBRE 2025'!CD69</f>
        <v>0</v>
      </c>
      <c r="K69" s="89">
        <f>'SEPTIEMBRE 2025'!CF69</f>
        <v>0</v>
      </c>
      <c r="L69" s="89">
        <f>'SEPTIEMBRE 2025'!CG69</f>
        <v>0</v>
      </c>
      <c r="M69" s="89">
        <f>'SEPTIEMBRE 2025'!CH69</f>
        <v>0</v>
      </c>
    </row>
    <row r="70" spans="2:13">
      <c r="B70" s="141">
        <f>'SEPTIEMBRE 2025'!D70</f>
        <v>0</v>
      </c>
      <c r="C70" s="142">
        <f>'SEPTIEMBRE 2025'!E70</f>
        <v>0</v>
      </c>
      <c r="D70" s="89">
        <f>'SEPTIEMBRE 2025'!H70</f>
        <v>0</v>
      </c>
      <c r="E70" s="89">
        <f>'SEPTIEMBRE 2025'!I70</f>
        <v>0</v>
      </c>
      <c r="F70" s="89">
        <f>'SEPTIEMBRE 2025'!J70</f>
        <v>0</v>
      </c>
      <c r="G70" s="89">
        <f>'SEPTIEMBRE 2025'!U70</f>
        <v>0</v>
      </c>
      <c r="H70" s="89">
        <f>'SEPTIEMBRE 2025'!AY70</f>
        <v>0</v>
      </c>
      <c r="I70" s="89">
        <f>'SEPTIEMBRE 2025'!CC70</f>
        <v>0</v>
      </c>
      <c r="J70" s="89">
        <f>'SEPTIEMBRE 2025'!CD70</f>
        <v>0</v>
      </c>
      <c r="K70" s="89">
        <f>'SEPTIEMBRE 2025'!CF70</f>
        <v>0</v>
      </c>
      <c r="L70" s="89">
        <f>'SEPTIEMBRE 2025'!CG70</f>
        <v>0</v>
      </c>
      <c r="M70" s="89">
        <f>'SEPTIEMBRE 2025'!CH70</f>
        <v>0</v>
      </c>
    </row>
    <row r="71" spans="2:13">
      <c r="B71" s="141">
        <f>'SEPTIEMBRE 2025'!D71</f>
        <v>0</v>
      </c>
      <c r="C71" s="142">
        <f>'SEPTIEMBRE 2025'!E71</f>
        <v>0</v>
      </c>
      <c r="D71" s="89">
        <f>'SEPTIEMBRE 2025'!H71</f>
        <v>0</v>
      </c>
      <c r="E71" s="89">
        <f>'SEPTIEMBRE 2025'!I71</f>
        <v>0</v>
      </c>
      <c r="F71" s="89">
        <f>'SEPTIEMBRE 2025'!J71</f>
        <v>0</v>
      </c>
      <c r="G71" s="89">
        <f>'SEPTIEMBRE 2025'!U71</f>
        <v>0</v>
      </c>
      <c r="H71" s="89">
        <f>'SEPTIEMBRE 2025'!AY71</f>
        <v>0</v>
      </c>
      <c r="I71" s="89">
        <f>'SEPTIEMBRE 2025'!CC71</f>
        <v>0</v>
      </c>
      <c r="J71" s="89">
        <f>'SEPTIEMBRE 2025'!CD71</f>
        <v>0</v>
      </c>
      <c r="K71" s="89">
        <f>'SEPTIEMBRE 2025'!CF71</f>
        <v>0</v>
      </c>
      <c r="L71" s="89">
        <f>'SEPTIEMBRE 2025'!CG71</f>
        <v>0</v>
      </c>
      <c r="M71" s="89">
        <f>'SEPTIEMBRE 2025'!CH71</f>
        <v>0</v>
      </c>
    </row>
    <row r="72" spans="2:13">
      <c r="B72" s="141">
        <f>'SEPTIEMBRE 2025'!D72</f>
        <v>0</v>
      </c>
      <c r="C72" s="142">
        <f>'SEPTIEMBRE 2025'!E72</f>
        <v>0</v>
      </c>
      <c r="D72" s="89">
        <f>'SEPTIEMBRE 2025'!H72</f>
        <v>0</v>
      </c>
      <c r="E72" s="89">
        <f>'SEPTIEMBRE 2025'!I72</f>
        <v>0</v>
      </c>
      <c r="F72" s="89">
        <f>'SEPTIEMBRE 2025'!J72</f>
        <v>0</v>
      </c>
      <c r="G72" s="89">
        <f>'SEPTIEMBRE 2025'!U72</f>
        <v>0</v>
      </c>
      <c r="H72" s="89">
        <f>'SEPTIEMBRE 2025'!AY72</f>
        <v>0</v>
      </c>
      <c r="I72" s="89">
        <f>'SEPTIEMBRE 2025'!CC72</f>
        <v>0</v>
      </c>
      <c r="J72" s="89">
        <f>'SEPTIEMBRE 2025'!CD72</f>
        <v>0</v>
      </c>
      <c r="K72" s="89">
        <f>'SEPTIEMBRE 2025'!CF72</f>
        <v>0</v>
      </c>
      <c r="L72" s="89">
        <f>'SEPTIEMBRE 2025'!CG72</f>
        <v>0</v>
      </c>
      <c r="M72" s="89">
        <f>'SEPTIEMBRE 2025'!CH72</f>
        <v>0</v>
      </c>
    </row>
    <row r="73" spans="2:13">
      <c r="B73" s="141">
        <f>'SEPTIEMBRE 2025'!D73</f>
        <v>0</v>
      </c>
      <c r="C73" s="142">
        <f>'SEPTIEMBRE 2025'!E73</f>
        <v>0</v>
      </c>
      <c r="D73" s="89">
        <f>'SEPTIEMBRE 2025'!H73</f>
        <v>0</v>
      </c>
      <c r="E73" s="89">
        <f>'SEPTIEMBRE 2025'!I73</f>
        <v>0</v>
      </c>
      <c r="F73" s="89">
        <f>'SEPTIEMBRE 2025'!J73</f>
        <v>0</v>
      </c>
      <c r="G73" s="89">
        <f>'SEPTIEMBRE 2025'!U73</f>
        <v>0</v>
      </c>
      <c r="H73" s="89">
        <f>'SEPTIEMBRE 2025'!AY73</f>
        <v>0</v>
      </c>
      <c r="I73" s="89">
        <f>'SEPTIEMBRE 2025'!CC73</f>
        <v>0</v>
      </c>
      <c r="J73" s="89">
        <f>'SEPTIEMBRE 2025'!CD73</f>
        <v>0</v>
      </c>
      <c r="K73" s="89">
        <f>'SEPTIEMBRE 2025'!CF73</f>
        <v>0</v>
      </c>
      <c r="L73" s="89">
        <f>'SEPTIEMBRE 2025'!CG73</f>
        <v>0</v>
      </c>
      <c r="M73" s="89">
        <f>'SEPTIEMBRE 2025'!CH73</f>
        <v>0</v>
      </c>
    </row>
    <row r="74" spans="2:13">
      <c r="B74" s="141">
        <f>'SEPTIEMBRE 2025'!D74</f>
        <v>0</v>
      </c>
      <c r="C74" s="142">
        <f>'SEPTIEMBRE 2025'!E74</f>
        <v>0</v>
      </c>
      <c r="D74" s="89">
        <f>'SEPTIEMBRE 2025'!H74</f>
        <v>0</v>
      </c>
      <c r="E74" s="89">
        <f>'SEPTIEMBRE 2025'!I74</f>
        <v>0</v>
      </c>
      <c r="F74" s="89">
        <f>'SEPTIEMBRE 2025'!J74</f>
        <v>0</v>
      </c>
      <c r="G74" s="89">
        <f>'SEPTIEMBRE 2025'!U74</f>
        <v>0</v>
      </c>
      <c r="H74" s="89">
        <f>'SEPTIEMBRE 2025'!AY74</f>
        <v>0</v>
      </c>
      <c r="I74" s="89">
        <f>'SEPTIEMBRE 2025'!CC74</f>
        <v>0</v>
      </c>
      <c r="J74" s="89">
        <f>'SEPTIEMBRE 2025'!CD74</f>
        <v>0</v>
      </c>
      <c r="K74" s="89">
        <f>'SEPTIEMBRE 2025'!CF74</f>
        <v>0</v>
      </c>
      <c r="L74" s="89">
        <f>'SEPTIEMBRE 2025'!CG74</f>
        <v>0</v>
      </c>
      <c r="M74" s="89">
        <f>'SEPTIEMBRE 2025'!CH74</f>
        <v>0</v>
      </c>
    </row>
    <row r="75" spans="2:13">
      <c r="B75" s="141">
        <f>'SEPTIEMBRE 2025'!D75</f>
        <v>0</v>
      </c>
      <c r="C75" s="142">
        <f>'SEPTIEMBRE 2025'!E75</f>
        <v>0</v>
      </c>
      <c r="D75" s="89">
        <f>'SEPTIEMBRE 2025'!H75</f>
        <v>0</v>
      </c>
      <c r="E75" s="89">
        <f>'SEPTIEMBRE 2025'!I75</f>
        <v>0</v>
      </c>
      <c r="F75" s="89">
        <f>'SEPTIEMBRE 2025'!J75</f>
        <v>0</v>
      </c>
      <c r="G75" s="89">
        <f>'SEPTIEMBRE 2025'!U75</f>
        <v>0</v>
      </c>
      <c r="H75" s="89">
        <f>'SEPTIEMBRE 2025'!AY75</f>
        <v>0</v>
      </c>
      <c r="I75" s="89">
        <f>'SEPTIEMBRE 2025'!CC75</f>
        <v>0</v>
      </c>
      <c r="J75" s="89">
        <f>'SEPTIEMBRE 2025'!CD75</f>
        <v>0</v>
      </c>
      <c r="K75" s="89">
        <f>'SEPTIEMBRE 2025'!CF75</f>
        <v>0</v>
      </c>
      <c r="L75" s="89">
        <f>'SEPTIEMBRE 2025'!CG75</f>
        <v>0</v>
      </c>
      <c r="M75" s="89">
        <f>'SEPTIEMBRE 2025'!CH75</f>
        <v>0</v>
      </c>
    </row>
    <row r="76" spans="2:13">
      <c r="B76" s="141">
        <f>'SEPTIEMBRE 2025'!D76</f>
        <v>0</v>
      </c>
      <c r="C76" s="142">
        <f>'SEPTIEMBRE 2025'!E76</f>
        <v>0</v>
      </c>
      <c r="D76" s="89">
        <f>'SEPTIEMBRE 2025'!H76</f>
        <v>0</v>
      </c>
      <c r="E76" s="89">
        <f>'SEPTIEMBRE 2025'!I76</f>
        <v>0</v>
      </c>
      <c r="F76" s="89">
        <f>'SEPTIEMBRE 2025'!J76</f>
        <v>0</v>
      </c>
      <c r="G76" s="89">
        <f>'SEPTIEMBRE 2025'!U76</f>
        <v>0</v>
      </c>
      <c r="H76" s="89">
        <f>'SEPTIEMBRE 2025'!AY76</f>
        <v>0</v>
      </c>
      <c r="I76" s="89">
        <f>'SEPTIEMBRE 2025'!CC76</f>
        <v>0</v>
      </c>
      <c r="J76" s="89">
        <f>'SEPTIEMBRE 2025'!CD76</f>
        <v>0</v>
      </c>
      <c r="K76" s="89">
        <f>'SEPTIEMBRE 2025'!CF76</f>
        <v>0</v>
      </c>
      <c r="L76" s="89">
        <f>'SEPTIEMBRE 2025'!CG76</f>
        <v>0</v>
      </c>
      <c r="M76" s="89">
        <f>'SEPTIEMBRE 2025'!CH76</f>
        <v>0</v>
      </c>
    </row>
    <row r="77" spans="2:13">
      <c r="B77" s="141">
        <f>'SEPTIEMBRE 2025'!D77</f>
        <v>0</v>
      </c>
      <c r="C77" s="142">
        <f>'SEPTIEMBRE 2025'!E77</f>
        <v>0</v>
      </c>
      <c r="D77" s="89">
        <f>'SEPTIEMBRE 2025'!H77</f>
        <v>0</v>
      </c>
      <c r="E77" s="89">
        <f>'SEPTIEMBRE 2025'!I77</f>
        <v>0</v>
      </c>
      <c r="F77" s="89">
        <f>'SEPTIEMBRE 2025'!J77</f>
        <v>0</v>
      </c>
      <c r="G77" s="89">
        <f>'SEPTIEMBRE 2025'!U77</f>
        <v>0</v>
      </c>
      <c r="H77" s="89">
        <f>'SEPTIEMBRE 2025'!AY77</f>
        <v>0</v>
      </c>
      <c r="I77" s="89">
        <f>'SEPTIEMBRE 2025'!CC77</f>
        <v>0</v>
      </c>
      <c r="J77" s="89">
        <f>'SEPTIEMBRE 2025'!CD77</f>
        <v>0</v>
      </c>
      <c r="K77" s="89">
        <f>'SEPTIEMBRE 2025'!CF77</f>
        <v>0</v>
      </c>
      <c r="L77" s="89">
        <f>'SEPTIEMBRE 2025'!CG77</f>
        <v>0</v>
      </c>
      <c r="M77" s="89">
        <f>'SEPTIEMBRE 2025'!CH77</f>
        <v>0</v>
      </c>
    </row>
    <row r="78" spans="2:13">
      <c r="B78" s="141">
        <f>'SEPTIEMBRE 2025'!D78</f>
        <v>0</v>
      </c>
      <c r="C78" s="142">
        <f>'SEPTIEMBRE 2025'!E78</f>
        <v>0</v>
      </c>
      <c r="D78" s="89">
        <f>'SEPTIEMBRE 2025'!H78</f>
        <v>0</v>
      </c>
      <c r="E78" s="89">
        <f>'SEPTIEMBRE 2025'!I78</f>
        <v>0</v>
      </c>
      <c r="F78" s="89">
        <f>'SEPTIEMBRE 2025'!J78</f>
        <v>0</v>
      </c>
      <c r="G78" s="89">
        <f>'SEPTIEMBRE 2025'!U78</f>
        <v>0</v>
      </c>
      <c r="H78" s="89">
        <f>'SEPTIEMBRE 2025'!AY78</f>
        <v>0</v>
      </c>
      <c r="I78" s="89">
        <f>'SEPTIEMBRE 2025'!CC78</f>
        <v>0</v>
      </c>
      <c r="J78" s="89">
        <f>'SEPTIEMBRE 2025'!CD78</f>
        <v>0</v>
      </c>
      <c r="K78" s="89">
        <f>'SEPTIEMBRE 2025'!CF78</f>
        <v>0</v>
      </c>
      <c r="L78" s="89">
        <f>'SEPTIEMBRE 2025'!CG78</f>
        <v>0</v>
      </c>
      <c r="M78" s="89">
        <f>'SEPTIEMBRE 2025'!CH78</f>
        <v>0</v>
      </c>
    </row>
    <row r="79" spans="2:13">
      <c r="B79" s="141">
        <f>'SEPTIEMBRE 2025'!D79</f>
        <v>0</v>
      </c>
      <c r="C79" s="142">
        <f>'SEPTIEMBRE 2025'!E79</f>
        <v>0</v>
      </c>
      <c r="D79" s="89">
        <f>'SEPTIEMBRE 2025'!H79</f>
        <v>0</v>
      </c>
      <c r="E79" s="89">
        <f>'SEPTIEMBRE 2025'!I79</f>
        <v>0</v>
      </c>
      <c r="F79" s="89">
        <f>'SEPTIEMBRE 2025'!J79</f>
        <v>0</v>
      </c>
      <c r="G79" s="89">
        <f>'SEPTIEMBRE 2025'!U79</f>
        <v>0</v>
      </c>
      <c r="H79" s="89">
        <f>'SEPTIEMBRE 2025'!AY79</f>
        <v>0</v>
      </c>
      <c r="I79" s="89">
        <f>'SEPTIEMBRE 2025'!CC79</f>
        <v>0</v>
      </c>
      <c r="J79" s="89">
        <f>'SEPTIEMBRE 2025'!CD79</f>
        <v>0</v>
      </c>
      <c r="K79" s="89">
        <f>'SEPTIEMBRE 2025'!CF79</f>
        <v>0</v>
      </c>
      <c r="L79" s="89">
        <f>'SEPTIEMBRE 2025'!CG79</f>
        <v>0</v>
      </c>
      <c r="M79" s="89">
        <f>'SEPTIEMBRE 2025'!CH79</f>
        <v>0</v>
      </c>
    </row>
    <row r="80" spans="2:13">
      <c r="B80" s="141">
        <f>'SEPTIEMBRE 2025'!D80</f>
        <v>0</v>
      </c>
      <c r="C80" s="142">
        <f>'SEPTIEMBRE 2025'!E80</f>
        <v>0</v>
      </c>
      <c r="D80" s="89">
        <f>'SEPTIEMBRE 2025'!H80</f>
        <v>0</v>
      </c>
      <c r="E80" s="89">
        <f>'SEPTIEMBRE 2025'!I80</f>
        <v>0</v>
      </c>
      <c r="F80" s="89">
        <f>'SEPTIEMBRE 2025'!J80</f>
        <v>0</v>
      </c>
      <c r="G80" s="89">
        <f>'SEPTIEMBRE 2025'!U80</f>
        <v>0</v>
      </c>
      <c r="H80" s="89">
        <f>'SEPTIEMBRE 2025'!AY80</f>
        <v>0</v>
      </c>
      <c r="I80" s="89">
        <f>'SEPTIEMBRE 2025'!CC80</f>
        <v>0</v>
      </c>
      <c r="J80" s="89">
        <f>'SEPTIEMBRE 2025'!CD80</f>
        <v>0</v>
      </c>
      <c r="K80" s="89">
        <f>'SEPTIEMBRE 2025'!CF80</f>
        <v>0</v>
      </c>
      <c r="L80" s="89">
        <f>'SEPTIEMBRE 2025'!CG80</f>
        <v>0</v>
      </c>
      <c r="M80" s="89">
        <f>'SEPTIEMBRE 2025'!CH80</f>
        <v>0</v>
      </c>
    </row>
    <row r="81" spans="2:13">
      <c r="B81" s="141">
        <f>'SEPTIEMBRE 2025'!D81</f>
        <v>0</v>
      </c>
      <c r="C81" s="142">
        <f>'SEPTIEMBRE 2025'!E81</f>
        <v>0</v>
      </c>
      <c r="D81" s="89">
        <f>'SEPTIEMBRE 2025'!H81</f>
        <v>0</v>
      </c>
      <c r="E81" s="89">
        <f>'SEPTIEMBRE 2025'!I81</f>
        <v>0</v>
      </c>
      <c r="F81" s="89">
        <f>'SEPTIEMBRE 2025'!J81</f>
        <v>0</v>
      </c>
      <c r="G81" s="89">
        <f>'SEPTIEMBRE 2025'!U81</f>
        <v>0</v>
      </c>
      <c r="H81" s="89">
        <f>'SEPTIEMBRE 2025'!AY81</f>
        <v>0</v>
      </c>
      <c r="I81" s="89">
        <f>'SEPTIEMBRE 2025'!CC81</f>
        <v>0</v>
      </c>
      <c r="J81" s="89">
        <f>'SEPTIEMBRE 2025'!CD81</f>
        <v>0</v>
      </c>
      <c r="K81" s="89">
        <f>'SEPTIEMBRE 2025'!CF81</f>
        <v>0</v>
      </c>
      <c r="L81" s="89">
        <f>'SEPTIEMBRE 2025'!CG81</f>
        <v>0</v>
      </c>
      <c r="M81" s="89">
        <f>'SEPTIEMBRE 2025'!CH81</f>
        <v>0</v>
      </c>
    </row>
    <row r="82" spans="2:13">
      <c r="B82" s="141">
        <f>'SEPTIEMBRE 2025'!D82</f>
        <v>0</v>
      </c>
      <c r="C82" s="142">
        <f>'SEPTIEMBRE 2025'!E82</f>
        <v>0</v>
      </c>
      <c r="D82" s="89">
        <f>'SEPTIEMBRE 2025'!H82</f>
        <v>0</v>
      </c>
      <c r="E82" s="89">
        <f>'SEPTIEMBRE 2025'!I82</f>
        <v>0</v>
      </c>
      <c r="F82" s="89">
        <f>'SEPTIEMBRE 2025'!J82</f>
        <v>0</v>
      </c>
      <c r="G82" s="89">
        <f>'SEPTIEMBRE 2025'!U82</f>
        <v>0</v>
      </c>
      <c r="H82" s="89">
        <f>'SEPTIEMBRE 2025'!AY82</f>
        <v>0</v>
      </c>
      <c r="I82" s="89">
        <f>'SEPTIEMBRE 2025'!CC82</f>
        <v>0</v>
      </c>
      <c r="J82" s="89">
        <f>'SEPTIEMBRE 2025'!CD82</f>
        <v>0</v>
      </c>
      <c r="K82" s="89">
        <f>'SEPTIEMBRE 2025'!CF82</f>
        <v>0</v>
      </c>
      <c r="L82" s="89">
        <f>'SEPTIEMBRE 2025'!CG82</f>
        <v>0</v>
      </c>
      <c r="M82" s="89">
        <f>'SEPTIEMBRE 2025'!CH82</f>
        <v>0</v>
      </c>
    </row>
    <row r="83" spans="2:13">
      <c r="B83" s="141">
        <f>'SEPTIEMBRE 2025'!D83</f>
        <v>0</v>
      </c>
      <c r="C83" s="142">
        <f>'SEPTIEMBRE 2025'!E83</f>
        <v>0</v>
      </c>
      <c r="D83" s="89">
        <f>'SEPTIEMBRE 2025'!H83</f>
        <v>0</v>
      </c>
      <c r="E83" s="89">
        <f>'SEPTIEMBRE 2025'!I83</f>
        <v>0</v>
      </c>
      <c r="F83" s="89">
        <f>'SEPTIEMBRE 2025'!J83</f>
        <v>0</v>
      </c>
      <c r="G83" s="89">
        <f>'SEPTIEMBRE 2025'!U83</f>
        <v>0</v>
      </c>
      <c r="H83" s="89">
        <f>'SEPTIEMBRE 2025'!AY83</f>
        <v>0</v>
      </c>
      <c r="I83" s="89">
        <f>'SEPTIEMBRE 2025'!CC83</f>
        <v>0</v>
      </c>
      <c r="J83" s="89">
        <f>'SEPTIEMBRE 2025'!CD83</f>
        <v>0</v>
      </c>
      <c r="K83" s="89">
        <f>'SEPTIEMBRE 2025'!CF83</f>
        <v>0</v>
      </c>
      <c r="L83" s="89">
        <f>'SEPTIEMBRE 2025'!CG83</f>
        <v>0</v>
      </c>
      <c r="M83" s="89">
        <f>'SEPTIEMBRE 2025'!CH83</f>
        <v>0</v>
      </c>
    </row>
    <row r="84" spans="2:13">
      <c r="B84" s="141">
        <f>'SEPTIEMBRE 2025'!D84</f>
        <v>0</v>
      </c>
      <c r="C84" s="142">
        <f>'SEPTIEMBRE 2025'!E84</f>
        <v>0</v>
      </c>
      <c r="D84" s="89">
        <f>'SEPTIEMBRE 2025'!H84</f>
        <v>0</v>
      </c>
      <c r="E84" s="89">
        <f>'SEPTIEMBRE 2025'!I84</f>
        <v>0</v>
      </c>
      <c r="F84" s="89">
        <f>'SEPTIEMBRE 2025'!J84</f>
        <v>0</v>
      </c>
      <c r="G84" s="89">
        <f>'SEPTIEMBRE 2025'!U84</f>
        <v>0</v>
      </c>
      <c r="H84" s="89">
        <f>'SEPTIEMBRE 2025'!AY84</f>
        <v>0</v>
      </c>
      <c r="I84" s="89">
        <f>'SEPTIEMBRE 2025'!CC84</f>
        <v>0</v>
      </c>
      <c r="J84" s="89">
        <f>'SEPTIEMBRE 2025'!CD84</f>
        <v>0</v>
      </c>
      <c r="K84" s="89">
        <f>'SEPTIEMBRE 2025'!CF84</f>
        <v>0</v>
      </c>
      <c r="L84" s="89">
        <f>'SEPTIEMBRE 2025'!CG84</f>
        <v>0</v>
      </c>
      <c r="M84" s="89">
        <f>'SEPTIEMBRE 2025'!CH84</f>
        <v>0</v>
      </c>
    </row>
    <row r="85" spans="2:13">
      <c r="B85" s="141">
        <f>'SEPTIEMBRE 2025'!D85</f>
        <v>0</v>
      </c>
      <c r="C85" s="142">
        <f>'SEPTIEMBRE 2025'!E85</f>
        <v>0</v>
      </c>
      <c r="D85" s="89">
        <f>'SEPTIEMBRE 2025'!H85</f>
        <v>0</v>
      </c>
      <c r="E85" s="89">
        <f>'SEPTIEMBRE 2025'!I85</f>
        <v>0</v>
      </c>
      <c r="F85" s="89">
        <f>'SEPTIEMBRE 2025'!J85</f>
        <v>0</v>
      </c>
      <c r="G85" s="89">
        <f>'SEPTIEMBRE 2025'!U85</f>
        <v>0</v>
      </c>
      <c r="H85" s="89">
        <f>'SEPTIEMBRE 2025'!AY85</f>
        <v>0</v>
      </c>
      <c r="I85" s="89">
        <f>'SEPTIEMBRE 2025'!CC85</f>
        <v>0</v>
      </c>
      <c r="J85" s="89">
        <f>'SEPTIEMBRE 2025'!CD85</f>
        <v>0</v>
      </c>
      <c r="K85" s="89">
        <f>'SEPTIEMBRE 2025'!CF85</f>
        <v>0</v>
      </c>
      <c r="L85" s="89">
        <f>'SEPTIEMBRE 2025'!CG85</f>
        <v>0</v>
      </c>
      <c r="M85" s="89">
        <f>'SEPTIEMBRE 2025'!CH85</f>
        <v>0</v>
      </c>
    </row>
    <row r="86" spans="2:13">
      <c r="B86" s="141">
        <f>'SEPTIEMBRE 2025'!D86</f>
        <v>0</v>
      </c>
      <c r="C86" s="142">
        <f>'SEPTIEMBRE 2025'!E86</f>
        <v>0</v>
      </c>
      <c r="D86" s="89">
        <f>'SEPTIEMBRE 2025'!H86</f>
        <v>0</v>
      </c>
      <c r="E86" s="89">
        <f>'SEPTIEMBRE 2025'!I86</f>
        <v>0</v>
      </c>
      <c r="F86" s="89">
        <f>'SEPTIEMBRE 2025'!J86</f>
        <v>0</v>
      </c>
      <c r="G86" s="89">
        <f>'SEPTIEMBRE 2025'!U86</f>
        <v>0</v>
      </c>
      <c r="H86" s="89">
        <f>'SEPTIEMBRE 2025'!AY86</f>
        <v>0</v>
      </c>
      <c r="I86" s="89">
        <f>'SEPTIEMBRE 2025'!CC86</f>
        <v>0</v>
      </c>
      <c r="J86" s="89">
        <f>'SEPTIEMBRE 2025'!CD86</f>
        <v>0</v>
      </c>
      <c r="K86" s="89">
        <f>'SEPTIEMBRE 2025'!CF86</f>
        <v>0</v>
      </c>
      <c r="L86" s="89">
        <f>'SEPTIEMBRE 2025'!CG86</f>
        <v>0</v>
      </c>
      <c r="M86" s="89">
        <f>'SEPTIEMBRE 2025'!CH86</f>
        <v>0</v>
      </c>
    </row>
    <row r="87" spans="2:13">
      <c r="B87" s="141">
        <f>'SEPTIEMBRE 2025'!D87</f>
        <v>0</v>
      </c>
      <c r="C87" s="142">
        <f>'SEPTIEMBRE 2025'!E87</f>
        <v>0</v>
      </c>
      <c r="D87" s="89">
        <f>'SEPTIEMBRE 2025'!H87</f>
        <v>0</v>
      </c>
      <c r="E87" s="89">
        <f>'SEPTIEMBRE 2025'!I87</f>
        <v>0</v>
      </c>
      <c r="F87" s="89">
        <f>'SEPTIEMBRE 2025'!J87</f>
        <v>0</v>
      </c>
      <c r="G87" s="89">
        <f>'SEPTIEMBRE 2025'!U87</f>
        <v>0</v>
      </c>
      <c r="H87" s="89">
        <f>'SEPTIEMBRE 2025'!AY87</f>
        <v>0</v>
      </c>
      <c r="I87" s="89">
        <f>'SEPTIEMBRE 2025'!CC87</f>
        <v>0</v>
      </c>
      <c r="J87" s="89">
        <f>'SEPTIEMBRE 2025'!CD87</f>
        <v>0</v>
      </c>
      <c r="K87" s="89">
        <f>'SEPTIEMBRE 2025'!CF87</f>
        <v>0</v>
      </c>
      <c r="L87" s="89">
        <f>'SEPTIEMBRE 2025'!CG87</f>
        <v>0</v>
      </c>
      <c r="M87" s="89">
        <f>'SEPTIEMBRE 2025'!CH87</f>
        <v>0</v>
      </c>
    </row>
    <row r="88" spans="2:13">
      <c r="B88" s="141">
        <f>'SEPTIEMBRE 2025'!D88</f>
        <v>0</v>
      </c>
      <c r="C88" s="142">
        <f>'SEPTIEMBRE 2025'!E88</f>
        <v>0</v>
      </c>
      <c r="D88" s="89">
        <f>'SEPTIEMBRE 2025'!H88</f>
        <v>0</v>
      </c>
      <c r="E88" s="89">
        <f>'SEPTIEMBRE 2025'!I88</f>
        <v>0</v>
      </c>
      <c r="F88" s="89">
        <f>'SEPTIEMBRE 2025'!J88</f>
        <v>0</v>
      </c>
      <c r="G88" s="89">
        <f>'SEPTIEMBRE 2025'!U88</f>
        <v>0</v>
      </c>
      <c r="H88" s="89">
        <f>'SEPTIEMBRE 2025'!AY88</f>
        <v>0</v>
      </c>
      <c r="I88" s="89">
        <f>'SEPTIEMBRE 2025'!CC88</f>
        <v>0</v>
      </c>
      <c r="J88" s="89">
        <f>'SEPTIEMBRE 2025'!CD88</f>
        <v>0</v>
      </c>
      <c r="K88" s="89">
        <f>'SEPTIEMBRE 2025'!CF88</f>
        <v>0</v>
      </c>
      <c r="L88" s="89">
        <f>'SEPTIEMBRE 2025'!CG88</f>
        <v>0</v>
      </c>
      <c r="M88" s="89">
        <f>'SEPTIEMBRE 2025'!CH88</f>
        <v>0</v>
      </c>
    </row>
    <row r="89" spans="2:13">
      <c r="B89" s="141">
        <f>'SEPTIEMBRE 2025'!D89</f>
        <v>0</v>
      </c>
      <c r="C89" s="142">
        <f>'SEPTIEMBRE 2025'!E89</f>
        <v>0</v>
      </c>
      <c r="D89" s="89">
        <f>'SEPTIEMBRE 2025'!H89</f>
        <v>0</v>
      </c>
      <c r="E89" s="89">
        <f>'SEPTIEMBRE 2025'!I89</f>
        <v>0</v>
      </c>
      <c r="F89" s="89">
        <f>'SEPTIEMBRE 2025'!J89</f>
        <v>0</v>
      </c>
      <c r="G89" s="89">
        <f>'SEPTIEMBRE 2025'!U89</f>
        <v>0</v>
      </c>
      <c r="H89" s="89">
        <f>'SEPTIEMBRE 2025'!AY89</f>
        <v>0</v>
      </c>
      <c r="I89" s="89">
        <f>'SEPTIEMBRE 2025'!CC89</f>
        <v>0</v>
      </c>
      <c r="J89" s="89">
        <f>'SEPTIEMBRE 2025'!CD89</f>
        <v>0</v>
      </c>
      <c r="K89" s="89">
        <f>'SEPTIEMBRE 2025'!CF89</f>
        <v>0</v>
      </c>
      <c r="L89" s="89">
        <f>'SEPTIEMBRE 2025'!CG89</f>
        <v>0</v>
      </c>
      <c r="M89" s="89">
        <f>'SEPTIEMBRE 2025'!CH89</f>
        <v>0</v>
      </c>
    </row>
    <row r="90" spans="2:13">
      <c r="B90" s="141">
        <f>'SEPTIEMBRE 2025'!D90</f>
        <v>0</v>
      </c>
      <c r="C90" s="142">
        <f>'SEPTIEMBRE 2025'!E90</f>
        <v>0</v>
      </c>
      <c r="D90" s="89">
        <f>'SEPTIEMBRE 2025'!H90</f>
        <v>0</v>
      </c>
      <c r="E90" s="89">
        <f>'SEPTIEMBRE 2025'!I90</f>
        <v>0</v>
      </c>
      <c r="F90" s="89">
        <f>'SEPTIEMBRE 2025'!J90</f>
        <v>0</v>
      </c>
      <c r="G90" s="89">
        <f>'SEPTIEMBRE 2025'!U90</f>
        <v>0</v>
      </c>
      <c r="H90" s="89">
        <f>'SEPTIEMBRE 2025'!AY90</f>
        <v>0</v>
      </c>
      <c r="I90" s="89">
        <f>'SEPTIEMBRE 2025'!CC90</f>
        <v>0</v>
      </c>
      <c r="J90" s="89">
        <f>'SEPTIEMBRE 2025'!CD90</f>
        <v>0</v>
      </c>
      <c r="K90" s="89">
        <f>'SEPTIEMBRE 2025'!CF90</f>
        <v>0</v>
      </c>
      <c r="L90" s="89">
        <f>'SEPTIEMBRE 2025'!CG90</f>
        <v>0</v>
      </c>
      <c r="M90" s="89">
        <f>'SEPTIEMBRE 2025'!CH90</f>
        <v>0</v>
      </c>
    </row>
    <row r="91" spans="2:13">
      <c r="B91" s="141">
        <f>'SEPTIEMBRE 2025'!D91</f>
        <v>0</v>
      </c>
      <c r="C91" s="142">
        <f>'SEPTIEMBRE 2025'!E91</f>
        <v>0</v>
      </c>
      <c r="D91" s="89" t="e">
        <f>'SEPTIEMBRE 2025'!#REF!</f>
        <v>#REF!</v>
      </c>
      <c r="E91" s="89">
        <f>'SEPTIEMBRE 2025'!I91</f>
        <v>0</v>
      </c>
      <c r="F91" s="89">
        <f>'SEPTIEMBRE 2025'!J91</f>
        <v>0</v>
      </c>
      <c r="G91" s="89">
        <f>'SEPTIEMBRE 2025'!U91</f>
        <v>0</v>
      </c>
      <c r="H91" s="89">
        <f>'SEPTIEMBRE 2025'!AY91</f>
        <v>0</v>
      </c>
      <c r="I91" s="89">
        <f>'SEPTIEMBRE 2025'!CC91</f>
        <v>0</v>
      </c>
      <c r="J91" s="89">
        <f>'SEPTIEMBRE 2025'!CD91</f>
        <v>0</v>
      </c>
      <c r="K91" s="89">
        <f>'SEPTIEMBRE 2025'!CF91</f>
        <v>0</v>
      </c>
      <c r="L91" s="89">
        <f>'SEPTIEMBRE 2025'!CG91</f>
        <v>0</v>
      </c>
      <c r="M91" s="89">
        <f>'SEPTIEMBRE 2025'!CH91</f>
        <v>0</v>
      </c>
    </row>
    <row r="92" spans="2:13">
      <c r="B92" s="141">
        <f>'SEPTIEMBRE 2025'!D92</f>
        <v>0</v>
      </c>
      <c r="C92" s="142">
        <f>'SEPTIEMBRE 2025'!E92</f>
        <v>0</v>
      </c>
      <c r="D92" s="89">
        <f>'SEPTIEMBRE 2025'!H91</f>
        <v>0</v>
      </c>
      <c r="E92" s="89">
        <f>'SEPTIEMBRE 2025'!I92</f>
        <v>0</v>
      </c>
      <c r="F92" s="89">
        <f>'SEPTIEMBRE 2025'!J92</f>
        <v>0</v>
      </c>
      <c r="G92" s="89">
        <f>'SEPTIEMBRE 2025'!U92</f>
        <v>0</v>
      </c>
      <c r="H92" s="89">
        <f>'SEPTIEMBRE 2025'!AY92</f>
        <v>0</v>
      </c>
      <c r="I92" s="89">
        <f>'SEPTIEMBRE 2025'!CC92</f>
        <v>0</v>
      </c>
      <c r="J92" s="89">
        <f>'SEPTIEMBRE 2025'!CD92</f>
        <v>0</v>
      </c>
      <c r="K92" s="89">
        <f>'SEPTIEMBRE 2025'!CF92</f>
        <v>0</v>
      </c>
      <c r="L92" s="89">
        <f>'SEPTIEMBRE 2025'!CG92</f>
        <v>0</v>
      </c>
      <c r="M92" s="89">
        <f>'SEPTIEMBRE 2025'!CH92</f>
        <v>0</v>
      </c>
    </row>
    <row r="93" spans="2:13">
      <c r="B93" s="141">
        <f>'SEPTIEMBRE 2025'!D93</f>
        <v>0</v>
      </c>
      <c r="C93" s="142">
        <f>'SEPTIEMBRE 2025'!E93</f>
        <v>0</v>
      </c>
      <c r="D93" s="89">
        <f>'SEPTIEMBRE 2025'!H93</f>
        <v>0</v>
      </c>
      <c r="E93" s="89">
        <f>'SEPTIEMBRE 2025'!I93</f>
        <v>0</v>
      </c>
      <c r="F93" s="89">
        <f>'SEPTIEMBRE 2025'!J93</f>
        <v>0</v>
      </c>
      <c r="G93" s="89">
        <f>'SEPTIEMBRE 2025'!U93</f>
        <v>0</v>
      </c>
      <c r="H93" s="89">
        <f>'SEPTIEMBRE 2025'!AY93</f>
        <v>0</v>
      </c>
      <c r="I93" s="89">
        <f>'SEPTIEMBRE 2025'!CC93</f>
        <v>0</v>
      </c>
      <c r="J93" s="89">
        <f>'SEPTIEMBRE 2025'!CD93</f>
        <v>0</v>
      </c>
      <c r="K93" s="89">
        <f>'SEPTIEMBRE 2025'!CF93</f>
        <v>0</v>
      </c>
      <c r="L93" s="89">
        <f>'SEPTIEMBRE 2025'!CG93</f>
        <v>0</v>
      </c>
      <c r="M93" s="89">
        <f>'SEPTIEMBRE 2025'!CH93</f>
        <v>0</v>
      </c>
    </row>
    <row r="94" spans="2:13">
      <c r="B94" s="141">
        <f>'SEPTIEMBRE 2025'!D94</f>
        <v>0</v>
      </c>
      <c r="C94" s="142">
        <f>'SEPTIEMBRE 2025'!E94</f>
        <v>0</v>
      </c>
      <c r="D94" s="89">
        <f>'SEPTIEMBRE 2025'!H94</f>
        <v>0</v>
      </c>
      <c r="E94" s="89">
        <f>'SEPTIEMBRE 2025'!I94</f>
        <v>0</v>
      </c>
      <c r="F94" s="89">
        <f>'SEPTIEMBRE 2025'!J94</f>
        <v>0</v>
      </c>
      <c r="G94" s="89">
        <f>'SEPTIEMBRE 2025'!U94</f>
        <v>0</v>
      </c>
      <c r="H94" s="89">
        <f>'SEPTIEMBRE 2025'!AY94</f>
        <v>0</v>
      </c>
      <c r="I94" s="89">
        <f>'SEPTIEMBRE 2025'!CC94</f>
        <v>0</v>
      </c>
      <c r="J94" s="89">
        <f>'SEPTIEMBRE 2025'!CD94</f>
        <v>0</v>
      </c>
      <c r="K94" s="89">
        <f>'SEPTIEMBRE 2025'!CF94</f>
        <v>0</v>
      </c>
      <c r="L94" s="89">
        <f>'SEPTIEMBRE 2025'!CG94</f>
        <v>0</v>
      </c>
      <c r="M94" s="89">
        <f>'SEPTIEMBRE 2025'!CH94</f>
        <v>0</v>
      </c>
    </row>
    <row r="95" spans="2:13">
      <c r="B95" s="141">
        <f>'SEPTIEMBRE 2025'!D95</f>
        <v>0</v>
      </c>
      <c r="C95" s="142">
        <f>'SEPTIEMBRE 2025'!E95</f>
        <v>0</v>
      </c>
      <c r="D95" s="89">
        <f>'SEPTIEMBRE 2025'!H95</f>
        <v>0</v>
      </c>
      <c r="E95" s="89">
        <f>'SEPTIEMBRE 2025'!I95</f>
        <v>0</v>
      </c>
      <c r="F95" s="89">
        <f>'SEPTIEMBRE 2025'!J95</f>
        <v>0</v>
      </c>
      <c r="G95" s="89">
        <f>'SEPTIEMBRE 2025'!U95</f>
        <v>0</v>
      </c>
      <c r="H95" s="89">
        <f>'SEPTIEMBRE 2025'!AY95</f>
        <v>0</v>
      </c>
      <c r="I95" s="89">
        <f>'SEPTIEMBRE 2025'!CC95</f>
        <v>0</v>
      </c>
      <c r="J95" s="89">
        <f>'SEPTIEMBRE 2025'!CD95</f>
        <v>0</v>
      </c>
      <c r="K95" s="89">
        <f>'SEPTIEMBRE 2025'!CF95</f>
        <v>0</v>
      </c>
      <c r="L95" s="89">
        <f>'SEPTIEMBRE 2025'!CG95</f>
        <v>0</v>
      </c>
      <c r="M95" s="89">
        <f>'SEPTIEMBRE 2025'!CH95</f>
        <v>0</v>
      </c>
    </row>
    <row r="96" spans="2:13">
      <c r="B96" s="141">
        <f>'SEPTIEMBRE 2025'!D96</f>
        <v>0</v>
      </c>
      <c r="C96" s="142">
        <f>'SEPTIEMBRE 2025'!E96</f>
        <v>0</v>
      </c>
      <c r="D96" s="89">
        <f>'SEPTIEMBRE 2025'!H96</f>
        <v>0</v>
      </c>
      <c r="E96" s="89">
        <f>'SEPTIEMBRE 2025'!I96</f>
        <v>0</v>
      </c>
      <c r="F96" s="89">
        <f>'SEPTIEMBRE 2025'!J96</f>
        <v>0</v>
      </c>
      <c r="G96" s="89">
        <f>'SEPTIEMBRE 2025'!U96</f>
        <v>0</v>
      </c>
      <c r="H96" s="89">
        <f>'SEPTIEMBRE 2025'!AY96</f>
        <v>0</v>
      </c>
      <c r="I96" s="89">
        <f>'SEPTIEMBRE 2025'!CC96</f>
        <v>0</v>
      </c>
      <c r="J96" s="89">
        <f>'SEPTIEMBRE 2025'!CD96</f>
        <v>0</v>
      </c>
      <c r="K96" s="89">
        <f>'SEPTIEMBRE 2025'!CF96</f>
        <v>0</v>
      </c>
      <c r="L96" s="89">
        <f>'SEPTIEMBRE 2025'!CG96</f>
        <v>0</v>
      </c>
      <c r="M96" s="89">
        <f>'SEPTIEMBRE 2025'!CH96</f>
        <v>0</v>
      </c>
    </row>
    <row r="97" spans="2:13">
      <c r="B97" s="141">
        <f>'SEPTIEMBRE 2025'!D97</f>
        <v>0</v>
      </c>
      <c r="C97" s="142">
        <f>'SEPTIEMBRE 2025'!E97</f>
        <v>0</v>
      </c>
      <c r="D97" s="89">
        <f>'SEPTIEMBRE 2025'!H97</f>
        <v>0</v>
      </c>
      <c r="E97" s="89">
        <f>'SEPTIEMBRE 2025'!I97</f>
        <v>0</v>
      </c>
      <c r="F97" s="89">
        <f>'SEPTIEMBRE 2025'!J97</f>
        <v>0</v>
      </c>
      <c r="G97" s="89">
        <f>'SEPTIEMBRE 2025'!U97</f>
        <v>0</v>
      </c>
      <c r="H97" s="89">
        <f>'SEPTIEMBRE 2025'!AY97</f>
        <v>0</v>
      </c>
      <c r="I97" s="89">
        <f>'SEPTIEMBRE 2025'!CC97</f>
        <v>0</v>
      </c>
      <c r="J97" s="89">
        <f>'SEPTIEMBRE 2025'!CD97</f>
        <v>0</v>
      </c>
      <c r="K97" s="89">
        <f>'SEPTIEMBRE 2025'!CF97</f>
        <v>0</v>
      </c>
      <c r="L97" s="89">
        <f>'SEPTIEMBRE 2025'!CG97</f>
        <v>0</v>
      </c>
      <c r="M97" s="89">
        <f>'SEPTIEMBRE 2025'!CH97</f>
        <v>0</v>
      </c>
    </row>
    <row r="98" spans="2:13">
      <c r="B98" s="141">
        <f>'SEPTIEMBRE 2025'!D98</f>
        <v>0</v>
      </c>
      <c r="C98" s="142">
        <f>'SEPTIEMBRE 2025'!E98</f>
        <v>0</v>
      </c>
      <c r="D98" s="89">
        <f>'SEPTIEMBRE 2025'!H98</f>
        <v>0</v>
      </c>
      <c r="E98" s="89">
        <f>'SEPTIEMBRE 2025'!I98</f>
        <v>0</v>
      </c>
      <c r="F98" s="89">
        <f>'SEPTIEMBRE 2025'!J98</f>
        <v>0</v>
      </c>
      <c r="G98" s="89">
        <f>'SEPTIEMBRE 2025'!U98</f>
        <v>0</v>
      </c>
      <c r="H98" s="89">
        <f>'SEPTIEMBRE 2025'!AY98</f>
        <v>0</v>
      </c>
      <c r="I98" s="89">
        <f>'SEPTIEMBRE 2025'!CC98</f>
        <v>0</v>
      </c>
      <c r="J98" s="89">
        <f>'SEPTIEMBRE 2025'!CD98</f>
        <v>0</v>
      </c>
      <c r="K98" s="89">
        <f>'SEPTIEMBRE 2025'!CF98</f>
        <v>0</v>
      </c>
      <c r="L98" s="89">
        <f>'SEPTIEMBRE 2025'!CG98</f>
        <v>0</v>
      </c>
      <c r="M98" s="89">
        <f>'SEPTIEMBRE 2025'!CH98</f>
        <v>0</v>
      </c>
    </row>
    <row r="99" spans="2:13">
      <c r="B99" s="141">
        <f>'SEPTIEMBRE 2025'!D99</f>
        <v>0</v>
      </c>
      <c r="C99" s="142">
        <f>'SEPTIEMBRE 2025'!E99</f>
        <v>0</v>
      </c>
      <c r="D99" s="89">
        <f>'SEPTIEMBRE 2025'!H99</f>
        <v>0</v>
      </c>
      <c r="E99" s="89">
        <f>'SEPTIEMBRE 2025'!I99</f>
        <v>0</v>
      </c>
      <c r="F99" s="89">
        <f>'SEPTIEMBRE 2025'!J99</f>
        <v>0</v>
      </c>
      <c r="G99" s="89">
        <f>'SEPTIEMBRE 2025'!U99</f>
        <v>0</v>
      </c>
      <c r="H99" s="89">
        <f>'SEPTIEMBRE 2025'!AY99</f>
        <v>0</v>
      </c>
      <c r="I99" s="89">
        <f>'SEPTIEMBRE 2025'!CC99</f>
        <v>0</v>
      </c>
      <c r="J99" s="89">
        <f>'SEPTIEMBRE 2025'!CD99</f>
        <v>0</v>
      </c>
      <c r="K99" s="89">
        <f>'SEPTIEMBRE 2025'!CF99</f>
        <v>0</v>
      </c>
      <c r="L99" s="89">
        <f>'SEPTIEMBRE 2025'!CG99</f>
        <v>0</v>
      </c>
      <c r="M99" s="89">
        <f>'SEPTIEMBRE 2025'!CH99</f>
        <v>0</v>
      </c>
    </row>
    <row r="100" spans="2:13">
      <c r="B100" s="141">
        <f>'SEPTIEMBRE 2025'!D100</f>
        <v>0</v>
      </c>
      <c r="C100" s="142">
        <f>'SEPTIEMBRE 2025'!E100</f>
        <v>0</v>
      </c>
      <c r="D100" s="89">
        <f>'SEPTIEMBRE 2025'!H100</f>
        <v>0</v>
      </c>
      <c r="E100" s="89">
        <f>'SEPTIEMBRE 2025'!I100</f>
        <v>0</v>
      </c>
      <c r="F100" s="89">
        <f>'SEPTIEMBRE 2025'!J100</f>
        <v>0</v>
      </c>
      <c r="G100" s="89">
        <f>'SEPTIEMBRE 2025'!U100</f>
        <v>0</v>
      </c>
      <c r="H100" s="89">
        <f>'SEPTIEMBRE 2025'!AY100</f>
        <v>0</v>
      </c>
      <c r="I100" s="89">
        <f>'SEPTIEMBRE 2025'!CC100</f>
        <v>0</v>
      </c>
      <c r="J100" s="89">
        <f>'SEPTIEMBRE 2025'!CD100</f>
        <v>0</v>
      </c>
      <c r="K100" s="89">
        <f>'SEPTIEMBRE 2025'!CF100</f>
        <v>0</v>
      </c>
      <c r="L100" s="89">
        <f>'SEPTIEMBRE 2025'!CG100</f>
        <v>0</v>
      </c>
      <c r="M100" s="89">
        <f>'SEPTIEMBRE 2025'!CH100</f>
        <v>0</v>
      </c>
    </row>
    <row r="101" spans="2:13">
      <c r="B101" s="141">
        <f>'SEPTIEMBRE 2025'!D101</f>
        <v>0</v>
      </c>
      <c r="C101" s="142">
        <f>'SEPTIEMBRE 2025'!E101</f>
        <v>0</v>
      </c>
      <c r="D101" s="89">
        <f>'SEPTIEMBRE 2025'!H101</f>
        <v>0</v>
      </c>
      <c r="E101" s="89">
        <f>'SEPTIEMBRE 2025'!I101</f>
        <v>0</v>
      </c>
      <c r="F101" s="89">
        <f>'SEPTIEMBRE 2025'!J101</f>
        <v>0</v>
      </c>
      <c r="G101" s="89">
        <f>'SEPTIEMBRE 2025'!U101</f>
        <v>0</v>
      </c>
      <c r="H101" s="89">
        <f>'SEPTIEMBRE 2025'!AY101</f>
        <v>0</v>
      </c>
      <c r="I101" s="89">
        <f>'SEPTIEMBRE 2025'!CC101</f>
        <v>0</v>
      </c>
      <c r="J101" s="89">
        <f>'SEPTIEMBRE 2025'!CD101</f>
        <v>0</v>
      </c>
      <c r="K101" s="89">
        <f>'SEPTIEMBRE 2025'!CF101</f>
        <v>0</v>
      </c>
      <c r="L101" s="89">
        <f>'SEPTIEMBRE 2025'!CG101</f>
        <v>0</v>
      </c>
      <c r="M101" s="89">
        <f>'SEPTIEMBRE 2025'!CH101</f>
        <v>0</v>
      </c>
    </row>
    <row r="102" spans="2:13">
      <c r="B102" s="141">
        <f>'SEPTIEMBRE 2025'!D102</f>
        <v>0</v>
      </c>
      <c r="C102" s="142">
        <f>'SEPTIEMBRE 2025'!E102</f>
        <v>0</v>
      </c>
      <c r="D102" s="89">
        <f>'SEPTIEMBRE 2025'!H102</f>
        <v>0</v>
      </c>
      <c r="E102" s="89">
        <f>'SEPTIEMBRE 2025'!I102</f>
        <v>0</v>
      </c>
      <c r="F102" s="89">
        <f>'SEPTIEMBRE 2025'!J102</f>
        <v>0</v>
      </c>
      <c r="G102" s="89">
        <f>'SEPTIEMBRE 2025'!U102</f>
        <v>0</v>
      </c>
      <c r="H102" s="89">
        <f>'SEPTIEMBRE 2025'!AY102</f>
        <v>0</v>
      </c>
      <c r="I102" s="89">
        <f>'SEPTIEMBRE 2025'!CC102</f>
        <v>0</v>
      </c>
      <c r="J102" s="89">
        <f>'SEPTIEMBRE 2025'!CD102</f>
        <v>0</v>
      </c>
      <c r="K102" s="89">
        <f>'SEPTIEMBRE 2025'!CF102</f>
        <v>0</v>
      </c>
      <c r="L102" s="89">
        <f>'SEPTIEMBRE 2025'!CG102</f>
        <v>0</v>
      </c>
      <c r="M102" s="89">
        <f>'SEPTIEMBRE 2025'!CH102</f>
        <v>0</v>
      </c>
    </row>
    <row r="103" spans="2:13">
      <c r="B103" s="141">
        <f>'SEPTIEMBRE 2025'!D103</f>
        <v>0</v>
      </c>
      <c r="C103" s="142">
        <f>'SEPTIEMBRE 2025'!E103</f>
        <v>0</v>
      </c>
      <c r="D103" s="89">
        <f>'SEPTIEMBRE 2025'!H103</f>
        <v>0</v>
      </c>
      <c r="E103" s="89">
        <f>'SEPTIEMBRE 2025'!I103</f>
        <v>0</v>
      </c>
      <c r="F103" s="89">
        <f>'SEPTIEMBRE 2025'!J103</f>
        <v>0</v>
      </c>
      <c r="G103" s="89">
        <f>'SEPTIEMBRE 2025'!U103</f>
        <v>0</v>
      </c>
      <c r="H103" s="89">
        <f>'SEPTIEMBRE 2025'!AY103</f>
        <v>0</v>
      </c>
      <c r="I103" s="89">
        <f>'SEPTIEMBRE 2025'!CC103</f>
        <v>0</v>
      </c>
      <c r="J103" s="89">
        <f>'SEPTIEMBRE 2025'!CD103</f>
        <v>0</v>
      </c>
      <c r="K103" s="89">
        <f>'SEPTIEMBRE 2025'!CF103</f>
        <v>0</v>
      </c>
      <c r="L103" s="89">
        <f>'SEPTIEMBRE 2025'!CG103</f>
        <v>0</v>
      </c>
      <c r="M103" s="89">
        <f>'SEPTIEMBRE 2025'!CH103</f>
        <v>0</v>
      </c>
    </row>
    <row r="104" spans="2:13">
      <c r="B104" s="141">
        <f>'SEPTIEMBRE 2025'!D104</f>
        <v>0</v>
      </c>
      <c r="C104" s="142">
        <f>'SEPTIEMBRE 2025'!E104</f>
        <v>0</v>
      </c>
      <c r="D104" s="89">
        <f>'SEPTIEMBRE 2025'!H104</f>
        <v>0</v>
      </c>
      <c r="E104" s="89">
        <f>'SEPTIEMBRE 2025'!I104</f>
        <v>0</v>
      </c>
      <c r="F104" s="89">
        <f>'SEPTIEMBRE 2025'!J104</f>
        <v>0</v>
      </c>
      <c r="G104" s="89">
        <f>'SEPTIEMBRE 2025'!U104</f>
        <v>0</v>
      </c>
      <c r="H104" s="89">
        <f>'SEPTIEMBRE 2025'!AY104</f>
        <v>0</v>
      </c>
      <c r="I104" s="89">
        <f>'SEPTIEMBRE 2025'!CC104</f>
        <v>0</v>
      </c>
      <c r="J104" s="89">
        <f>'SEPTIEMBRE 2025'!CD104</f>
        <v>0</v>
      </c>
      <c r="K104" s="89">
        <f>'SEPTIEMBRE 2025'!CF104</f>
        <v>0</v>
      </c>
      <c r="L104" s="89">
        <f>'SEPTIEMBRE 2025'!CG104</f>
        <v>0</v>
      </c>
      <c r="M104" s="89">
        <f>'SEPTIEMBRE 2025'!CH104</f>
        <v>0</v>
      </c>
    </row>
    <row r="105" spans="2:13">
      <c r="B105" s="141">
        <f>'SEPTIEMBRE 2025'!D105</f>
        <v>0</v>
      </c>
      <c r="C105" s="142">
        <f>'SEPTIEMBRE 2025'!E105</f>
        <v>0</v>
      </c>
      <c r="D105" s="89">
        <f>'SEPTIEMBRE 2025'!H105</f>
        <v>0</v>
      </c>
      <c r="E105" s="89">
        <f>'SEPTIEMBRE 2025'!I105</f>
        <v>0</v>
      </c>
      <c r="F105" s="89">
        <f>'SEPTIEMBRE 2025'!J105</f>
        <v>0</v>
      </c>
      <c r="G105" s="89">
        <f>'SEPTIEMBRE 2025'!U105</f>
        <v>0</v>
      </c>
      <c r="H105" s="89">
        <f>'SEPTIEMBRE 2025'!AY105</f>
        <v>0</v>
      </c>
      <c r="I105" s="89">
        <f>'SEPTIEMBRE 2025'!CC105</f>
        <v>0</v>
      </c>
      <c r="J105" s="89">
        <f>'SEPTIEMBRE 2025'!CD105</f>
        <v>0</v>
      </c>
      <c r="K105" s="89">
        <f>'SEPTIEMBRE 2025'!CF105</f>
        <v>0</v>
      </c>
      <c r="L105" s="89">
        <f>'SEPTIEMBRE 2025'!CG105</f>
        <v>0</v>
      </c>
      <c r="M105" s="89">
        <f>'SEPTIEMBRE 2025'!CH105</f>
        <v>0</v>
      </c>
    </row>
    <row r="106" spans="2:13">
      <c r="B106" s="141">
        <f>'SEPTIEMBRE 2025'!D106</f>
        <v>0</v>
      </c>
      <c r="C106" s="142">
        <f>'SEPTIEMBRE 2025'!E106</f>
        <v>0</v>
      </c>
      <c r="D106" s="89">
        <f>'SEPTIEMBRE 2025'!H106</f>
        <v>0</v>
      </c>
      <c r="E106" s="89">
        <f>'SEPTIEMBRE 2025'!I106</f>
        <v>0</v>
      </c>
      <c r="F106" s="89">
        <f>'SEPTIEMBRE 2025'!J106</f>
        <v>0</v>
      </c>
      <c r="G106" s="89">
        <f>'SEPTIEMBRE 2025'!U106</f>
        <v>0</v>
      </c>
      <c r="H106" s="89">
        <f>'SEPTIEMBRE 2025'!AY106</f>
        <v>0</v>
      </c>
      <c r="I106" s="89">
        <f>'SEPTIEMBRE 2025'!CC106</f>
        <v>0</v>
      </c>
      <c r="J106" s="89">
        <f>'SEPTIEMBRE 2025'!CD106</f>
        <v>0</v>
      </c>
      <c r="K106" s="89">
        <f>'SEPTIEMBRE 2025'!CF106</f>
        <v>0</v>
      </c>
      <c r="L106" s="89">
        <f>'SEPTIEMBRE 2025'!CG106</f>
        <v>0</v>
      </c>
      <c r="M106" s="89">
        <f>'SEPTIEMBRE 2025'!CH106</f>
        <v>0</v>
      </c>
    </row>
    <row r="107" spans="2:13">
      <c r="B107" s="141">
        <f>'SEPTIEMBRE 2025'!D107</f>
        <v>0</v>
      </c>
      <c r="C107" s="142">
        <f>'SEPTIEMBRE 2025'!E107</f>
        <v>0</v>
      </c>
      <c r="D107" s="89">
        <f>'SEPTIEMBRE 2025'!H107</f>
        <v>0</v>
      </c>
      <c r="E107" s="89">
        <f>'SEPTIEMBRE 2025'!I107</f>
        <v>0</v>
      </c>
      <c r="F107" s="89">
        <f>'SEPTIEMBRE 2025'!J107</f>
        <v>0</v>
      </c>
      <c r="G107" s="89">
        <f>'SEPTIEMBRE 2025'!U107</f>
        <v>0</v>
      </c>
      <c r="H107" s="89">
        <f>'SEPTIEMBRE 2025'!AY107</f>
        <v>0</v>
      </c>
      <c r="I107" s="89">
        <f>'SEPTIEMBRE 2025'!CC107</f>
        <v>0</v>
      </c>
      <c r="J107" s="89">
        <f>'SEPTIEMBRE 2025'!CD107</f>
        <v>0</v>
      </c>
      <c r="K107" s="89">
        <f>'SEPTIEMBRE 2025'!CF107</f>
        <v>0</v>
      </c>
      <c r="L107" s="89">
        <f>'SEPTIEMBRE 2025'!CG107</f>
        <v>0</v>
      </c>
      <c r="M107" s="89">
        <f>'SEPTIEMBRE 2025'!CH107</f>
        <v>0</v>
      </c>
    </row>
    <row r="108" spans="2:13">
      <c r="B108" s="141">
        <f>'SEPTIEMBRE 2025'!D108</f>
        <v>0</v>
      </c>
      <c r="C108" s="142">
        <f>'SEPTIEMBRE 2025'!E108</f>
        <v>0</v>
      </c>
      <c r="D108" s="89">
        <f>'SEPTIEMBRE 2025'!H108</f>
        <v>0</v>
      </c>
      <c r="E108" s="89">
        <f>'SEPTIEMBRE 2025'!I108</f>
        <v>0</v>
      </c>
      <c r="F108" s="89">
        <f>'SEPTIEMBRE 2025'!J108</f>
        <v>0</v>
      </c>
      <c r="G108" s="89">
        <f>'SEPTIEMBRE 2025'!U108</f>
        <v>0</v>
      </c>
      <c r="H108" s="89">
        <f>'SEPTIEMBRE 2025'!AY108</f>
        <v>0</v>
      </c>
      <c r="I108" s="89">
        <f>'SEPTIEMBRE 2025'!CC108</f>
        <v>0</v>
      </c>
      <c r="J108" s="89">
        <f>'SEPTIEMBRE 2025'!CD108</f>
        <v>0</v>
      </c>
      <c r="K108" s="89">
        <f>'SEPTIEMBRE 2025'!CF108</f>
        <v>0</v>
      </c>
      <c r="L108" s="89">
        <f>'SEPTIEMBRE 2025'!CG108</f>
        <v>0</v>
      </c>
      <c r="M108" s="89">
        <f>'SEPTIEMBRE 2025'!CH108</f>
        <v>0</v>
      </c>
    </row>
    <row r="109" spans="2:13">
      <c r="B109" s="141">
        <f>'SEPTIEMBRE 2025'!D109</f>
        <v>0</v>
      </c>
      <c r="C109" s="142">
        <f>'SEPTIEMBRE 2025'!E109</f>
        <v>0</v>
      </c>
      <c r="D109" s="89">
        <f>'SEPTIEMBRE 2025'!H109</f>
        <v>0</v>
      </c>
      <c r="E109" s="89">
        <f>'SEPTIEMBRE 2025'!I109</f>
        <v>0</v>
      </c>
      <c r="F109" s="89">
        <f>'SEPTIEMBRE 2025'!J109</f>
        <v>0</v>
      </c>
      <c r="G109" s="89">
        <f>'SEPTIEMBRE 2025'!U109</f>
        <v>0</v>
      </c>
      <c r="H109" s="89">
        <f>'SEPTIEMBRE 2025'!AY109</f>
        <v>0</v>
      </c>
      <c r="I109" s="89">
        <f>'SEPTIEMBRE 2025'!CC109</f>
        <v>0</v>
      </c>
      <c r="J109" s="89">
        <f>'SEPTIEMBRE 2025'!CD109</f>
        <v>0</v>
      </c>
      <c r="K109" s="89">
        <f>'SEPTIEMBRE 2025'!CF109</f>
        <v>0</v>
      </c>
      <c r="L109" s="89">
        <f>'SEPTIEMBRE 2025'!CG109</f>
        <v>0</v>
      </c>
      <c r="M109" s="89">
        <f>'SEPTIEMBRE 2025'!CH109</f>
        <v>0</v>
      </c>
    </row>
    <row r="110" spans="2:13">
      <c r="B110" s="141">
        <f>'SEPTIEMBRE 2025'!D110</f>
        <v>0</v>
      </c>
      <c r="C110" s="142">
        <f>'SEPTIEMBRE 2025'!E110</f>
        <v>0</v>
      </c>
      <c r="D110" s="89">
        <f>'SEPTIEMBRE 2025'!H110</f>
        <v>0</v>
      </c>
      <c r="E110" s="89">
        <f>'SEPTIEMBRE 2025'!I110</f>
        <v>0</v>
      </c>
      <c r="F110" s="89">
        <f>'SEPTIEMBRE 2025'!J110</f>
        <v>0</v>
      </c>
      <c r="G110" s="89">
        <f>'SEPTIEMBRE 2025'!U110</f>
        <v>0</v>
      </c>
      <c r="H110" s="89">
        <f>'SEPTIEMBRE 2025'!AY110</f>
        <v>0</v>
      </c>
      <c r="I110" s="89">
        <f>'SEPTIEMBRE 2025'!CC110</f>
        <v>0</v>
      </c>
      <c r="J110" s="89">
        <f>'SEPTIEMBRE 2025'!CD110</f>
        <v>0</v>
      </c>
      <c r="K110" s="89">
        <f>'SEPTIEMBRE 2025'!CF110</f>
        <v>0</v>
      </c>
      <c r="L110" s="89">
        <f>'SEPTIEMBRE 2025'!CG110</f>
        <v>0</v>
      </c>
      <c r="M110" s="89">
        <f>'SEPTIEMBRE 2025'!CH110</f>
        <v>0</v>
      </c>
    </row>
    <row r="111" spans="2:13">
      <c r="B111" s="141">
        <f>'SEPTIEMBRE 2025'!D111</f>
        <v>0</v>
      </c>
      <c r="C111" s="142">
        <f>'SEPTIEMBRE 2025'!E111</f>
        <v>0</v>
      </c>
      <c r="D111" s="89">
        <f>'SEPTIEMBRE 2025'!H111</f>
        <v>0</v>
      </c>
      <c r="E111" s="89">
        <f>'SEPTIEMBRE 2025'!I111</f>
        <v>0</v>
      </c>
      <c r="F111" s="89">
        <f>'SEPTIEMBRE 2025'!J111</f>
        <v>0</v>
      </c>
      <c r="G111" s="89">
        <f>'SEPTIEMBRE 2025'!U111</f>
        <v>0</v>
      </c>
      <c r="H111" s="89">
        <f>'SEPTIEMBRE 2025'!AY111</f>
        <v>0</v>
      </c>
      <c r="I111" s="89">
        <f>'SEPTIEMBRE 2025'!CC111</f>
        <v>0</v>
      </c>
      <c r="J111" s="89">
        <f>'SEPTIEMBRE 2025'!CD111</f>
        <v>0</v>
      </c>
      <c r="K111" s="89">
        <f>'SEPTIEMBRE 2025'!CF111</f>
        <v>0</v>
      </c>
      <c r="L111" s="89">
        <f>'SEPTIEMBRE 2025'!CG111</f>
        <v>0</v>
      </c>
      <c r="M111" s="89">
        <f>'SEPTIEMBRE 2025'!CH111</f>
        <v>0</v>
      </c>
    </row>
    <row r="112" spans="2:13">
      <c r="B112" s="141">
        <f>'SEPTIEMBRE 2025'!D112</f>
        <v>0</v>
      </c>
      <c r="C112" s="142">
        <f>'SEPTIEMBRE 2025'!E112</f>
        <v>0</v>
      </c>
      <c r="D112" s="89">
        <f>'SEPTIEMBRE 2025'!H112</f>
        <v>0</v>
      </c>
      <c r="E112" s="89">
        <f>'SEPTIEMBRE 2025'!I112</f>
        <v>0</v>
      </c>
      <c r="F112" s="89">
        <f>'SEPTIEMBRE 2025'!J112</f>
        <v>0</v>
      </c>
      <c r="G112" s="89">
        <f>'SEPTIEMBRE 2025'!U112</f>
        <v>0</v>
      </c>
      <c r="H112" s="89">
        <f>'SEPTIEMBRE 2025'!AY112</f>
        <v>0</v>
      </c>
      <c r="I112" s="89">
        <f>'SEPTIEMBRE 2025'!CC112</f>
        <v>0</v>
      </c>
      <c r="J112" s="89">
        <f>'SEPTIEMBRE 2025'!CD112</f>
        <v>0</v>
      </c>
      <c r="K112" s="89">
        <f>'SEPTIEMBRE 2025'!CF112</f>
        <v>0</v>
      </c>
      <c r="L112" s="89">
        <f>'SEPTIEMBRE 2025'!CG112</f>
        <v>0</v>
      </c>
      <c r="M112" s="89">
        <f>'SEPTIEMBRE 2025'!CH112</f>
        <v>0</v>
      </c>
    </row>
    <row r="113" spans="2:13">
      <c r="B113" s="141">
        <f>'SEPTIEMBRE 2025'!D113</f>
        <v>0</v>
      </c>
      <c r="C113" s="142">
        <f>'SEPTIEMBRE 2025'!E113</f>
        <v>0</v>
      </c>
      <c r="D113" s="89">
        <f>'SEPTIEMBRE 2025'!H113</f>
        <v>0</v>
      </c>
      <c r="E113" s="89">
        <f>'SEPTIEMBRE 2025'!I113</f>
        <v>0</v>
      </c>
      <c r="F113" s="89">
        <f>'SEPTIEMBRE 2025'!J113</f>
        <v>0</v>
      </c>
      <c r="G113" s="89">
        <f>'SEPTIEMBRE 2025'!U113</f>
        <v>0</v>
      </c>
      <c r="H113" s="89">
        <f>'SEPTIEMBRE 2025'!AY113</f>
        <v>0</v>
      </c>
      <c r="I113" s="89">
        <f>'SEPTIEMBRE 2025'!CC113</f>
        <v>0</v>
      </c>
      <c r="J113" s="89">
        <f>'SEPTIEMBRE 2025'!CD113</f>
        <v>0</v>
      </c>
      <c r="K113" s="89">
        <f>'SEPTIEMBRE 2025'!CF113</f>
        <v>0</v>
      </c>
      <c r="L113" s="89">
        <f>'SEPTIEMBRE 2025'!CG113</f>
        <v>0</v>
      </c>
      <c r="M113" s="89">
        <f>'SEPTIEMBRE 2025'!CH113</f>
        <v>0</v>
      </c>
    </row>
    <row r="114" spans="2:13">
      <c r="B114" s="141">
        <f>'SEPTIEMBRE 2025'!D114</f>
        <v>0</v>
      </c>
      <c r="C114" s="142">
        <f>'SEPTIEMBRE 2025'!E114</f>
        <v>0</v>
      </c>
      <c r="D114" s="89">
        <f>'SEPTIEMBRE 2025'!H114</f>
        <v>0</v>
      </c>
      <c r="E114" s="89">
        <f>'SEPTIEMBRE 2025'!I114</f>
        <v>0</v>
      </c>
      <c r="F114" s="89">
        <f>'SEPTIEMBRE 2025'!J114</f>
        <v>0</v>
      </c>
      <c r="G114" s="89">
        <f>'SEPTIEMBRE 2025'!U114</f>
        <v>0</v>
      </c>
      <c r="H114" s="89">
        <f>'SEPTIEMBRE 2025'!AY114</f>
        <v>0</v>
      </c>
      <c r="I114" s="89">
        <f>'SEPTIEMBRE 2025'!CC114</f>
        <v>0</v>
      </c>
      <c r="J114" s="89">
        <f>'SEPTIEMBRE 2025'!CD114</f>
        <v>0</v>
      </c>
      <c r="K114" s="89">
        <f>'SEPTIEMBRE 2025'!CF114</f>
        <v>0</v>
      </c>
      <c r="L114" s="89">
        <f>'SEPTIEMBRE 2025'!CG114</f>
        <v>0</v>
      </c>
      <c r="M114" s="89">
        <f>'SEPTIEMBRE 2025'!CH114</f>
        <v>0</v>
      </c>
    </row>
    <row r="115" spans="2:13">
      <c r="B115" s="141">
        <f>'SEPTIEMBRE 2025'!D115</f>
        <v>0</v>
      </c>
      <c r="C115" s="142">
        <f>'SEPTIEMBRE 2025'!E115</f>
        <v>0</v>
      </c>
      <c r="D115" s="89">
        <f>'SEPTIEMBRE 2025'!H115</f>
        <v>0</v>
      </c>
      <c r="E115" s="89">
        <f>'SEPTIEMBRE 2025'!I115</f>
        <v>0</v>
      </c>
      <c r="F115" s="89">
        <f>'SEPTIEMBRE 2025'!J115</f>
        <v>0</v>
      </c>
      <c r="G115" s="89">
        <f>'SEPTIEMBRE 2025'!U115</f>
        <v>0</v>
      </c>
      <c r="H115" s="89">
        <f>'SEPTIEMBRE 2025'!AY115</f>
        <v>0</v>
      </c>
      <c r="I115" s="89">
        <f>'SEPTIEMBRE 2025'!CC115</f>
        <v>0</v>
      </c>
      <c r="J115" s="89">
        <f>'SEPTIEMBRE 2025'!CD115</f>
        <v>0</v>
      </c>
      <c r="K115" s="89">
        <f>'SEPTIEMBRE 2025'!CF115</f>
        <v>0</v>
      </c>
      <c r="L115" s="89">
        <f>'SEPTIEMBRE 2025'!CG115</f>
        <v>0</v>
      </c>
      <c r="M115" s="89">
        <f>'SEPTIEMBRE 2025'!CH115</f>
        <v>0</v>
      </c>
    </row>
    <row r="116" spans="2:13">
      <c r="B116" s="141">
        <f>'SEPTIEMBRE 2025'!D116</f>
        <v>0</v>
      </c>
      <c r="C116" s="142">
        <f>'SEPTIEMBRE 2025'!E116</f>
        <v>0</v>
      </c>
      <c r="D116" s="89">
        <f>'SEPTIEMBRE 2025'!H116</f>
        <v>0</v>
      </c>
      <c r="E116" s="89">
        <f>'SEPTIEMBRE 2025'!I116</f>
        <v>0</v>
      </c>
      <c r="F116" s="89">
        <f>'SEPTIEMBRE 2025'!J116</f>
        <v>0</v>
      </c>
      <c r="G116" s="89">
        <f>'SEPTIEMBRE 2025'!U116</f>
        <v>0</v>
      </c>
      <c r="H116" s="89">
        <f>'SEPTIEMBRE 2025'!AY116</f>
        <v>0</v>
      </c>
      <c r="I116" s="89">
        <f>'SEPTIEMBRE 2025'!CC116</f>
        <v>0</v>
      </c>
      <c r="J116" s="89">
        <f>'SEPTIEMBRE 2025'!CD116</f>
        <v>0</v>
      </c>
      <c r="K116" s="89">
        <f>'SEPTIEMBRE 2025'!CF116</f>
        <v>0</v>
      </c>
      <c r="L116" s="89">
        <f>'SEPTIEMBRE 2025'!CG116</f>
        <v>0</v>
      </c>
      <c r="M116" s="89">
        <f>'SEPTIEMBRE 2025'!CH116</f>
        <v>0</v>
      </c>
    </row>
    <row r="117" spans="2:13">
      <c r="B117" s="141">
        <f>'SEPTIEMBRE 2025'!D117</f>
        <v>0</v>
      </c>
      <c r="C117" s="142">
        <f>'SEPTIEMBRE 2025'!E117</f>
        <v>0</v>
      </c>
      <c r="D117" s="89">
        <f>'SEPTIEMBRE 2025'!H117</f>
        <v>0</v>
      </c>
      <c r="E117" s="89">
        <f>'SEPTIEMBRE 2025'!I117</f>
        <v>0</v>
      </c>
      <c r="F117" s="89">
        <f>'SEPTIEMBRE 2025'!J117</f>
        <v>0</v>
      </c>
      <c r="G117" s="89">
        <f>'SEPTIEMBRE 2025'!U117</f>
        <v>0</v>
      </c>
      <c r="H117" s="89">
        <f>'SEPTIEMBRE 2025'!AY117</f>
        <v>0</v>
      </c>
      <c r="I117" s="89">
        <f>'SEPTIEMBRE 2025'!CC117</f>
        <v>0</v>
      </c>
      <c r="J117" s="89">
        <f>'SEPTIEMBRE 2025'!CD117</f>
        <v>0</v>
      </c>
      <c r="K117" s="89">
        <f>'SEPTIEMBRE 2025'!CF117</f>
        <v>0</v>
      </c>
      <c r="L117" s="89">
        <f>'SEPTIEMBRE 2025'!CG117</f>
        <v>0</v>
      </c>
      <c r="M117" s="89">
        <f>'SEPTIEMBRE 2025'!CH117</f>
        <v>0</v>
      </c>
    </row>
    <row r="118" spans="2:13">
      <c r="B118" s="141">
        <f>'SEPTIEMBRE 2025'!D118</f>
        <v>0</v>
      </c>
      <c r="C118" s="142">
        <f>'SEPTIEMBRE 2025'!E118</f>
        <v>0</v>
      </c>
      <c r="D118" s="89">
        <f>'SEPTIEMBRE 2025'!H118</f>
        <v>0</v>
      </c>
      <c r="E118" s="89">
        <f>'SEPTIEMBRE 2025'!I118</f>
        <v>0</v>
      </c>
      <c r="F118" s="89">
        <f>'SEPTIEMBRE 2025'!J118</f>
        <v>0</v>
      </c>
      <c r="G118" s="89">
        <f>'SEPTIEMBRE 2025'!U118</f>
        <v>0</v>
      </c>
      <c r="H118" s="89">
        <f>'SEPTIEMBRE 2025'!AY118</f>
        <v>0</v>
      </c>
      <c r="I118" s="89">
        <f>'SEPTIEMBRE 2025'!CC118</f>
        <v>0</v>
      </c>
      <c r="J118" s="89">
        <f>'SEPTIEMBRE 2025'!CD118</f>
        <v>0</v>
      </c>
      <c r="K118" s="89">
        <f>'SEPTIEMBRE 2025'!CF118</f>
        <v>0</v>
      </c>
      <c r="L118" s="89">
        <f>'SEPTIEMBRE 2025'!CG118</f>
        <v>0</v>
      </c>
      <c r="M118" s="89">
        <f>'SEPTIEMBRE 2025'!CH118</f>
        <v>0</v>
      </c>
    </row>
    <row r="119" spans="2:13">
      <c r="B119" s="141">
        <f>'SEPTIEMBRE 2025'!D119</f>
        <v>0</v>
      </c>
      <c r="C119" s="142">
        <f>'SEPTIEMBRE 2025'!E119</f>
        <v>0</v>
      </c>
      <c r="D119" s="89">
        <f>'SEPTIEMBRE 2025'!H119</f>
        <v>0</v>
      </c>
      <c r="E119" s="89">
        <f>'SEPTIEMBRE 2025'!I119</f>
        <v>0</v>
      </c>
      <c r="F119" s="89">
        <f>'SEPTIEMBRE 2025'!J119</f>
        <v>0</v>
      </c>
      <c r="G119" s="89">
        <f>'SEPTIEMBRE 2025'!U119</f>
        <v>0</v>
      </c>
      <c r="H119" s="89">
        <f>'SEPTIEMBRE 2025'!AY119</f>
        <v>0</v>
      </c>
      <c r="I119" s="89">
        <f>'SEPTIEMBRE 2025'!CC119</f>
        <v>0</v>
      </c>
      <c r="J119" s="89">
        <f>'SEPTIEMBRE 2025'!CD119</f>
        <v>0</v>
      </c>
      <c r="K119" s="89">
        <f>'SEPTIEMBRE 2025'!CF119</f>
        <v>0</v>
      </c>
      <c r="L119" s="89">
        <f>'SEPTIEMBRE 2025'!CG119</f>
        <v>0</v>
      </c>
      <c r="M119" s="89">
        <f>'SEPTIEMBRE 2025'!CH119</f>
        <v>0</v>
      </c>
    </row>
    <row r="120" spans="2:13">
      <c r="B120" s="141">
        <f>'SEPTIEMBRE 2025'!D120</f>
        <v>0</v>
      </c>
      <c r="C120" s="142">
        <f>'SEPTIEMBRE 2025'!E120</f>
        <v>0</v>
      </c>
      <c r="D120" s="89">
        <f>'SEPTIEMBRE 2025'!H120</f>
        <v>0</v>
      </c>
      <c r="E120" s="89">
        <f>'SEPTIEMBRE 2025'!I120</f>
        <v>0</v>
      </c>
      <c r="F120" s="89">
        <f>'SEPTIEMBRE 2025'!J120</f>
        <v>0</v>
      </c>
      <c r="G120" s="89">
        <f>'SEPTIEMBRE 2025'!U120</f>
        <v>0</v>
      </c>
      <c r="H120" s="89">
        <f>'SEPTIEMBRE 2025'!AY120</f>
        <v>0</v>
      </c>
      <c r="I120" s="89">
        <f>'SEPTIEMBRE 2025'!CC120</f>
        <v>0</v>
      </c>
      <c r="J120" s="89">
        <f>'SEPTIEMBRE 2025'!CD120</f>
        <v>0</v>
      </c>
      <c r="K120" s="89">
        <f>'SEPTIEMBRE 2025'!CF120</f>
        <v>0</v>
      </c>
      <c r="L120" s="89">
        <f>'SEPTIEMBRE 2025'!CG120</f>
        <v>0</v>
      </c>
      <c r="M120" s="89">
        <f>'SEPTIEMBRE 2025'!CH120</f>
        <v>0</v>
      </c>
    </row>
    <row r="121" spans="2:13">
      <c r="B121" s="141">
        <f>'SEPTIEMBRE 2025'!D121</f>
        <v>0</v>
      </c>
      <c r="C121" s="142">
        <f>'SEPTIEMBRE 2025'!E121</f>
        <v>0</v>
      </c>
      <c r="D121" s="89">
        <f>'SEPTIEMBRE 2025'!H121</f>
        <v>0</v>
      </c>
      <c r="E121" s="89">
        <f>'SEPTIEMBRE 2025'!I121</f>
        <v>0</v>
      </c>
      <c r="F121" s="89">
        <f>'SEPTIEMBRE 2025'!J121</f>
        <v>0</v>
      </c>
      <c r="G121" s="89">
        <f>'SEPTIEMBRE 2025'!U121</f>
        <v>0</v>
      </c>
      <c r="H121" s="89">
        <f>'SEPTIEMBRE 2025'!AY121</f>
        <v>0</v>
      </c>
      <c r="I121" s="89">
        <f>'SEPTIEMBRE 2025'!CC121</f>
        <v>0</v>
      </c>
      <c r="J121" s="89">
        <f>'SEPTIEMBRE 2025'!CD121</f>
        <v>0</v>
      </c>
      <c r="K121" s="89">
        <f>'SEPTIEMBRE 2025'!CF121</f>
        <v>0</v>
      </c>
      <c r="L121" s="89">
        <f>'SEPTIEMBRE 2025'!CG121</f>
        <v>0</v>
      </c>
      <c r="M121" s="89">
        <f>'SEPTIEMBRE 2025'!CH121</f>
        <v>0</v>
      </c>
    </row>
    <row r="122" spans="2:13">
      <c r="B122" s="141">
        <f>'SEPTIEMBRE 2025'!D122</f>
        <v>0</v>
      </c>
      <c r="C122" s="142">
        <f>'SEPTIEMBRE 2025'!E122</f>
        <v>0</v>
      </c>
      <c r="D122" s="89">
        <f>'SEPTIEMBRE 2025'!H122</f>
        <v>0</v>
      </c>
      <c r="E122" s="89">
        <f>'SEPTIEMBRE 2025'!I122</f>
        <v>0</v>
      </c>
      <c r="F122" s="89">
        <f>'SEPTIEMBRE 2025'!J122</f>
        <v>0</v>
      </c>
      <c r="G122" s="89">
        <f>'SEPTIEMBRE 2025'!U122</f>
        <v>0</v>
      </c>
      <c r="H122" s="89">
        <f>'SEPTIEMBRE 2025'!AY122</f>
        <v>0</v>
      </c>
      <c r="I122" s="89">
        <f>'SEPTIEMBRE 2025'!CC122</f>
        <v>0</v>
      </c>
      <c r="J122" s="89">
        <f>'SEPTIEMBRE 2025'!CD122</f>
        <v>0</v>
      </c>
      <c r="K122" s="89">
        <f>'SEPTIEMBRE 2025'!CF122</f>
        <v>0</v>
      </c>
      <c r="L122" s="89">
        <f>'SEPTIEMBRE 2025'!CG122</f>
        <v>0</v>
      </c>
      <c r="M122" s="89">
        <f>'SEPTIEMBRE 2025'!CH122</f>
        <v>0</v>
      </c>
    </row>
    <row r="123" spans="2:13">
      <c r="B123" s="141">
        <f>'SEPTIEMBRE 2025'!D123</f>
        <v>0</v>
      </c>
      <c r="C123" s="142">
        <f>'SEPTIEMBRE 2025'!E123</f>
        <v>0</v>
      </c>
      <c r="D123" s="89">
        <f>'SEPTIEMBRE 2025'!H123</f>
        <v>0</v>
      </c>
      <c r="E123" s="89">
        <f>'SEPTIEMBRE 2025'!I123</f>
        <v>0</v>
      </c>
      <c r="F123" s="89">
        <f>'SEPTIEMBRE 2025'!J123</f>
        <v>0</v>
      </c>
      <c r="G123" s="89">
        <f>'SEPTIEMBRE 2025'!U123</f>
        <v>0</v>
      </c>
      <c r="H123" s="89">
        <f>'SEPTIEMBRE 2025'!AY123</f>
        <v>0</v>
      </c>
      <c r="I123" s="89">
        <f>'SEPTIEMBRE 2025'!CC123</f>
        <v>0</v>
      </c>
      <c r="J123" s="89">
        <f>'SEPTIEMBRE 2025'!CD123</f>
        <v>0</v>
      </c>
      <c r="K123" s="89">
        <f>'SEPTIEMBRE 2025'!CF123</f>
        <v>0</v>
      </c>
      <c r="L123" s="89">
        <f>'SEPTIEMBRE 2025'!CG123</f>
        <v>0</v>
      </c>
      <c r="M123" s="89">
        <f>'SEPTIEMBRE 2025'!CH123</f>
        <v>0</v>
      </c>
    </row>
    <row r="124" spans="2:13">
      <c r="B124" s="141">
        <f>'SEPTIEMBRE 2025'!D124</f>
        <v>0</v>
      </c>
      <c r="C124" s="142">
        <f>'SEPTIEMBRE 2025'!E124</f>
        <v>0</v>
      </c>
      <c r="D124" s="89">
        <f>'SEPTIEMBRE 2025'!H124</f>
        <v>0</v>
      </c>
      <c r="E124" s="89">
        <f>'SEPTIEMBRE 2025'!I124</f>
        <v>0</v>
      </c>
      <c r="F124" s="89">
        <f>'SEPTIEMBRE 2025'!J124</f>
        <v>0</v>
      </c>
      <c r="G124" s="89">
        <f>'SEPTIEMBRE 2025'!U124</f>
        <v>0</v>
      </c>
      <c r="H124" s="89">
        <f>'SEPTIEMBRE 2025'!AY124</f>
        <v>0</v>
      </c>
      <c r="I124" s="89">
        <f>'SEPTIEMBRE 2025'!CC124</f>
        <v>0</v>
      </c>
      <c r="J124" s="89">
        <f>'SEPTIEMBRE 2025'!CD124</f>
        <v>0</v>
      </c>
      <c r="K124" s="89">
        <f>'SEPTIEMBRE 2025'!CF124</f>
        <v>0</v>
      </c>
      <c r="L124" s="89">
        <f>'SEPTIEMBRE 2025'!CG124</f>
        <v>0</v>
      </c>
      <c r="M124" s="89">
        <f>'SEPTIEMBRE 2025'!CH124</f>
        <v>0</v>
      </c>
    </row>
    <row r="125" spans="2:13">
      <c r="B125" s="141">
        <f>'SEPTIEMBRE 2025'!D125</f>
        <v>0</v>
      </c>
      <c r="C125" s="142">
        <f>'SEPTIEMBRE 2025'!E125</f>
        <v>0</v>
      </c>
      <c r="D125" s="89">
        <f>'SEPTIEMBRE 2025'!H125</f>
        <v>0</v>
      </c>
      <c r="E125" s="89">
        <f>'SEPTIEMBRE 2025'!I125</f>
        <v>0</v>
      </c>
      <c r="F125" s="89">
        <f>'SEPTIEMBRE 2025'!J125</f>
        <v>0</v>
      </c>
      <c r="G125" s="89">
        <f>'SEPTIEMBRE 2025'!U125</f>
        <v>0</v>
      </c>
      <c r="H125" s="89">
        <f>'SEPTIEMBRE 2025'!AY125</f>
        <v>0</v>
      </c>
      <c r="I125" s="89">
        <f>'SEPTIEMBRE 2025'!CC125</f>
        <v>0</v>
      </c>
      <c r="J125" s="89">
        <f>'SEPTIEMBRE 2025'!CD125</f>
        <v>0</v>
      </c>
      <c r="K125" s="89">
        <f>'SEPTIEMBRE 2025'!CF125</f>
        <v>0</v>
      </c>
      <c r="L125" s="89">
        <f>'SEPTIEMBRE 2025'!CG125</f>
        <v>0</v>
      </c>
      <c r="M125" s="89">
        <f>'SEPTIEMBRE 2025'!CH125</f>
        <v>0</v>
      </c>
    </row>
    <row r="126" spans="2:13">
      <c r="B126" s="141">
        <f>'SEPTIEMBRE 2025'!D126</f>
        <v>0</v>
      </c>
      <c r="C126" s="142">
        <f>'SEPTIEMBRE 2025'!E126</f>
        <v>0</v>
      </c>
      <c r="D126" s="89">
        <f>'SEPTIEMBRE 2025'!H126</f>
        <v>0</v>
      </c>
      <c r="E126" s="89">
        <f>'SEPTIEMBRE 2025'!I126</f>
        <v>0</v>
      </c>
      <c r="F126" s="89">
        <f>'SEPTIEMBRE 2025'!J126</f>
        <v>0</v>
      </c>
      <c r="G126" s="89">
        <f>'SEPTIEMBRE 2025'!U126</f>
        <v>0</v>
      </c>
      <c r="H126" s="89">
        <f>'SEPTIEMBRE 2025'!AY126</f>
        <v>0</v>
      </c>
      <c r="I126" s="89">
        <f>'SEPTIEMBRE 2025'!CC126</f>
        <v>0</v>
      </c>
      <c r="J126" s="89">
        <f>'SEPTIEMBRE 2025'!CD126</f>
        <v>0</v>
      </c>
      <c r="K126" s="89">
        <f>'SEPTIEMBRE 2025'!CF126</f>
        <v>0</v>
      </c>
      <c r="L126" s="89">
        <f>'SEPTIEMBRE 2025'!CG126</f>
        <v>0</v>
      </c>
      <c r="M126" s="89">
        <f>'SEPTIEMBRE 2025'!CH126</f>
        <v>0</v>
      </c>
    </row>
    <row r="127" spans="2:13">
      <c r="B127" s="141">
        <f>'SEPTIEMBRE 2025'!D127</f>
        <v>0</v>
      </c>
      <c r="C127" s="142">
        <f>'SEPTIEMBRE 2025'!E127</f>
        <v>0</v>
      </c>
      <c r="D127" s="89">
        <f>'SEPTIEMBRE 2025'!H127</f>
        <v>0</v>
      </c>
      <c r="E127" s="89">
        <f>'SEPTIEMBRE 2025'!I127</f>
        <v>0</v>
      </c>
      <c r="F127" s="89">
        <f>'SEPTIEMBRE 2025'!J127</f>
        <v>0</v>
      </c>
      <c r="G127" s="89">
        <f>'SEPTIEMBRE 2025'!U127</f>
        <v>0</v>
      </c>
      <c r="H127" s="89">
        <f>'SEPTIEMBRE 2025'!AY127</f>
        <v>0</v>
      </c>
      <c r="I127" s="89">
        <f>'SEPTIEMBRE 2025'!CC127</f>
        <v>0</v>
      </c>
      <c r="J127" s="89">
        <f>'SEPTIEMBRE 2025'!CD127</f>
        <v>0</v>
      </c>
      <c r="K127" s="89">
        <f>'SEPTIEMBRE 2025'!CF127</f>
        <v>0</v>
      </c>
      <c r="L127" s="89">
        <f>'SEPTIEMBRE 2025'!CG127</f>
        <v>0</v>
      </c>
      <c r="M127" s="89">
        <f>'SEPTIEMBRE 2025'!CH127</f>
        <v>0</v>
      </c>
    </row>
    <row r="128" spans="2:13">
      <c r="B128" s="141">
        <f>'SEPTIEMBRE 2025'!D128</f>
        <v>0</v>
      </c>
      <c r="C128" s="142">
        <f>'SEPTIEMBRE 2025'!E128</f>
        <v>0</v>
      </c>
      <c r="D128" s="89">
        <f>'SEPTIEMBRE 2025'!H128</f>
        <v>0</v>
      </c>
      <c r="E128" s="89">
        <f>'SEPTIEMBRE 2025'!I128</f>
        <v>0</v>
      </c>
      <c r="F128" s="89">
        <f>'SEPTIEMBRE 2025'!J128</f>
        <v>0</v>
      </c>
      <c r="G128" s="89">
        <f>'SEPTIEMBRE 2025'!U128</f>
        <v>0</v>
      </c>
      <c r="H128" s="89">
        <f>'SEPTIEMBRE 2025'!AY128</f>
        <v>0</v>
      </c>
      <c r="I128" s="89">
        <f>'SEPTIEMBRE 2025'!CC128</f>
        <v>0</v>
      </c>
      <c r="J128" s="89">
        <f>'SEPTIEMBRE 2025'!CD128</f>
        <v>0</v>
      </c>
      <c r="K128" s="89">
        <f>'SEPTIEMBRE 2025'!CF128</f>
        <v>0</v>
      </c>
      <c r="L128" s="89">
        <f>'SEPTIEMBRE 2025'!CG128</f>
        <v>0</v>
      </c>
      <c r="M128" s="89">
        <f>'SEPTIEMBRE 2025'!CH128</f>
        <v>0</v>
      </c>
    </row>
    <row r="129" spans="2:13">
      <c r="B129" s="141">
        <f>'SEPTIEMBRE 2025'!D129</f>
        <v>0</v>
      </c>
      <c r="C129" s="142">
        <f>'SEPTIEMBRE 2025'!E129</f>
        <v>0</v>
      </c>
      <c r="D129" s="89">
        <f>'SEPTIEMBRE 2025'!H129</f>
        <v>0</v>
      </c>
      <c r="E129" s="89">
        <f>'SEPTIEMBRE 2025'!I129</f>
        <v>0</v>
      </c>
      <c r="F129" s="89">
        <f>'SEPTIEMBRE 2025'!J129</f>
        <v>0</v>
      </c>
      <c r="G129" s="89">
        <f>'SEPTIEMBRE 2025'!U129</f>
        <v>0</v>
      </c>
      <c r="H129" s="89">
        <f>'SEPTIEMBRE 2025'!AY129</f>
        <v>0</v>
      </c>
      <c r="I129" s="89">
        <f>'SEPTIEMBRE 2025'!CC129</f>
        <v>0</v>
      </c>
      <c r="J129" s="89">
        <f>'SEPTIEMBRE 2025'!CD129</f>
        <v>0</v>
      </c>
      <c r="K129" s="89">
        <f>'SEPTIEMBRE 2025'!CF129</f>
        <v>0</v>
      </c>
      <c r="L129" s="89">
        <f>'SEPTIEMBRE 2025'!CG129</f>
        <v>0</v>
      </c>
      <c r="M129" s="89">
        <f>'SEPTIEMBRE 2025'!CH129</f>
        <v>0</v>
      </c>
    </row>
    <row r="130" spans="2:13">
      <c r="B130" s="141">
        <f>'SEPTIEMBRE 2025'!D130</f>
        <v>0</v>
      </c>
      <c r="C130" s="142">
        <f>'SEPTIEMBRE 2025'!E130</f>
        <v>0</v>
      </c>
      <c r="D130" s="89">
        <f>'SEPTIEMBRE 2025'!H130</f>
        <v>0</v>
      </c>
      <c r="E130" s="89">
        <f>'SEPTIEMBRE 2025'!I130</f>
        <v>0</v>
      </c>
      <c r="F130" s="89">
        <f>'SEPTIEMBRE 2025'!J130</f>
        <v>0</v>
      </c>
      <c r="G130" s="89">
        <f>'SEPTIEMBRE 2025'!U130</f>
        <v>0</v>
      </c>
      <c r="H130" s="89">
        <f>'SEPTIEMBRE 2025'!AY130</f>
        <v>0</v>
      </c>
      <c r="I130" s="89">
        <f>'SEPTIEMBRE 2025'!CC130</f>
        <v>0</v>
      </c>
      <c r="J130" s="89">
        <f>'SEPTIEMBRE 2025'!CD130</f>
        <v>0</v>
      </c>
      <c r="K130" s="89">
        <f>'SEPTIEMBRE 2025'!CF130</f>
        <v>0</v>
      </c>
      <c r="L130" s="89">
        <f>'SEPTIEMBRE 2025'!CG130</f>
        <v>0</v>
      </c>
      <c r="M130" s="89">
        <f>'SEPTIEMBRE 2025'!CH130</f>
        <v>0</v>
      </c>
    </row>
    <row r="131" spans="2:13">
      <c r="B131" s="141">
        <f>'SEPTIEMBRE 2025'!D131</f>
        <v>0</v>
      </c>
      <c r="C131" s="142">
        <f>'SEPTIEMBRE 2025'!E131</f>
        <v>0</v>
      </c>
      <c r="D131" s="89">
        <f>'SEPTIEMBRE 2025'!H131</f>
        <v>0</v>
      </c>
      <c r="E131" s="89">
        <f>'SEPTIEMBRE 2025'!I131</f>
        <v>0</v>
      </c>
      <c r="F131" s="89">
        <f>'SEPTIEMBRE 2025'!J131</f>
        <v>0</v>
      </c>
      <c r="G131" s="89">
        <f>'SEPTIEMBRE 2025'!U131</f>
        <v>0</v>
      </c>
      <c r="H131" s="89">
        <f>'SEPTIEMBRE 2025'!AY131</f>
        <v>0</v>
      </c>
      <c r="I131" s="89">
        <f>'SEPTIEMBRE 2025'!CC131</f>
        <v>0</v>
      </c>
      <c r="J131" s="89">
        <f>'SEPTIEMBRE 2025'!CD131</f>
        <v>0</v>
      </c>
      <c r="K131" s="89">
        <f>'SEPTIEMBRE 2025'!CF131</f>
        <v>0</v>
      </c>
      <c r="L131" s="89">
        <f>'SEPTIEMBRE 2025'!CG131</f>
        <v>0</v>
      </c>
      <c r="M131" s="89">
        <f>'SEPTIEMBRE 2025'!CH131</f>
        <v>0</v>
      </c>
    </row>
    <row r="132" spans="2:13">
      <c r="B132" s="141">
        <f>'SEPTIEMBRE 2025'!D133</f>
        <v>0</v>
      </c>
      <c r="C132" s="142">
        <f>'SEPTIEMBRE 2025'!E133</f>
        <v>0</v>
      </c>
      <c r="D132" s="89">
        <f>'SEPTIEMBRE 2025'!H133</f>
        <v>0</v>
      </c>
      <c r="E132" s="89">
        <f>'SEPTIEMBRE 2025'!I133</f>
        <v>0</v>
      </c>
      <c r="F132" s="89">
        <f>'SEPTIEMBRE 2025'!J133</f>
        <v>0</v>
      </c>
      <c r="G132" s="89">
        <f>'SEPTIEMBRE 2025'!U133</f>
        <v>0</v>
      </c>
      <c r="H132" s="89">
        <f>'SEPTIEMBRE 2025'!AY133</f>
        <v>0</v>
      </c>
      <c r="I132" s="89">
        <f>'SEPTIEMBRE 2025'!CC133</f>
        <v>0</v>
      </c>
      <c r="J132" s="89">
        <f>'SEPTIEMBRE 2025'!CD133</f>
        <v>0</v>
      </c>
      <c r="K132" s="89">
        <f>'SEPTIEMBRE 2025'!CF133</f>
        <v>0</v>
      </c>
      <c r="L132" s="89">
        <f>'SEPTIEMBRE 2025'!CG133</f>
        <v>0</v>
      </c>
      <c r="M132" s="89">
        <f>'SEPTIEMBRE 2025'!CH133</f>
        <v>0</v>
      </c>
    </row>
    <row r="133" spans="2:13">
      <c r="B133" s="141" t="e">
        <f>'SEPTIEMBRE 2025'!#REF!</f>
        <v>#REF!</v>
      </c>
      <c r="C133" s="142" t="e">
        <f>'SEPTIEMBRE 2025'!#REF!</f>
        <v>#REF!</v>
      </c>
      <c r="D133" s="89" t="e">
        <f>'SEPTIEMBRE 2025'!#REF!</f>
        <v>#REF!</v>
      </c>
      <c r="E133" s="89" t="e">
        <f>'SEPTIEMBRE 2025'!#REF!</f>
        <v>#REF!</v>
      </c>
      <c r="F133" s="89" t="e">
        <f>'SEPTIEMBRE 2025'!#REF!</f>
        <v>#REF!</v>
      </c>
      <c r="G133" s="89" t="e">
        <f>'SEPTIEMBRE 2025'!#REF!</f>
        <v>#REF!</v>
      </c>
      <c r="H133" s="89" t="e">
        <f>'SEPTIEMBRE 2025'!#REF!</f>
        <v>#REF!</v>
      </c>
      <c r="I133" s="89" t="e">
        <f>'SEPTIEMBRE 2025'!#REF!</f>
        <v>#REF!</v>
      </c>
      <c r="J133" s="89" t="e">
        <f>'SEPTIEMBRE 2025'!#REF!</f>
        <v>#REF!</v>
      </c>
      <c r="K133" s="89" t="e">
        <f>'SEPTIEMBRE 2025'!#REF!</f>
        <v>#REF!</v>
      </c>
      <c r="L133" s="89" t="e">
        <f>'SEPTIEMBRE 2025'!#REF!</f>
        <v>#REF!</v>
      </c>
      <c r="M133" s="89" t="e">
        <f>'SEPTIEMBRE 2025'!#REF!</f>
        <v>#REF!</v>
      </c>
    </row>
    <row r="134" spans="2:13">
      <c r="B134" s="141">
        <f>'SEPTIEMBRE 2025'!D134</f>
        <v>0</v>
      </c>
      <c r="C134" s="142">
        <f>'SEPTIEMBRE 2025'!E134</f>
        <v>0</v>
      </c>
      <c r="D134" s="89">
        <f>'SEPTIEMBRE 2025'!H134</f>
        <v>0</v>
      </c>
      <c r="E134" s="89">
        <f>'SEPTIEMBRE 2025'!I134</f>
        <v>0</v>
      </c>
      <c r="F134" s="89">
        <f>'SEPTIEMBRE 2025'!J134</f>
        <v>0</v>
      </c>
      <c r="G134" s="89">
        <f>'SEPTIEMBRE 2025'!U134</f>
        <v>0</v>
      </c>
      <c r="H134" s="89">
        <f>'SEPTIEMBRE 2025'!AY134</f>
        <v>0</v>
      </c>
      <c r="I134" s="89">
        <f>'SEPTIEMBRE 2025'!CC134</f>
        <v>0</v>
      </c>
      <c r="J134" s="89">
        <f>'SEPTIEMBRE 2025'!CD134</f>
        <v>0</v>
      </c>
      <c r="K134" s="89">
        <f>'SEPTIEMBRE 2025'!CF134</f>
        <v>0</v>
      </c>
      <c r="L134" s="89">
        <f>'SEPTIEMBRE 2025'!CG134</f>
        <v>0</v>
      </c>
      <c r="M134" s="89">
        <f>'SEPTIEMBRE 2025'!CH134</f>
        <v>0</v>
      </c>
    </row>
    <row r="135" spans="2:13">
      <c r="B135" s="141">
        <f>'SEPTIEMBRE 2025'!D135</f>
        <v>0</v>
      </c>
      <c r="C135" s="142">
        <f>'SEPTIEMBRE 2025'!E135</f>
        <v>0</v>
      </c>
      <c r="D135" s="89">
        <f>'SEPTIEMBRE 2025'!H135</f>
        <v>0</v>
      </c>
      <c r="E135" s="89">
        <f>'SEPTIEMBRE 2025'!I135</f>
        <v>0</v>
      </c>
      <c r="F135" s="89">
        <f>'SEPTIEMBRE 2025'!J135</f>
        <v>0</v>
      </c>
      <c r="G135" s="89">
        <f>'SEPTIEMBRE 2025'!U135</f>
        <v>0</v>
      </c>
      <c r="H135" s="89">
        <f>'SEPTIEMBRE 2025'!AY135</f>
        <v>0</v>
      </c>
      <c r="I135" s="89">
        <f>'SEPTIEMBRE 2025'!CC135</f>
        <v>0</v>
      </c>
      <c r="J135" s="89">
        <f>'SEPTIEMBRE 2025'!CD135</f>
        <v>0</v>
      </c>
      <c r="K135" s="89">
        <f>'SEPTIEMBRE 2025'!CF135</f>
        <v>0</v>
      </c>
      <c r="L135" s="89">
        <f>'SEPTIEMBRE 2025'!CG135</f>
        <v>0</v>
      </c>
      <c r="M135" s="89">
        <f>'SEPTIEMBRE 2025'!CH135</f>
        <v>0</v>
      </c>
    </row>
    <row r="136" spans="2:13">
      <c r="B136" s="141" t="e">
        <f>'SEPTIEMBRE 2025'!#REF!</f>
        <v>#REF!</v>
      </c>
      <c r="C136" s="142" t="e">
        <f>'SEPTIEMBRE 2025'!#REF!</f>
        <v>#REF!</v>
      </c>
      <c r="D136" s="89" t="e">
        <f>'SEPTIEMBRE 2025'!#REF!</f>
        <v>#REF!</v>
      </c>
      <c r="E136" s="89" t="e">
        <f>'SEPTIEMBRE 2025'!#REF!</f>
        <v>#REF!</v>
      </c>
      <c r="F136" s="89" t="e">
        <f>'SEPTIEMBRE 2025'!#REF!</f>
        <v>#REF!</v>
      </c>
      <c r="G136" s="89" t="e">
        <f>'SEPTIEMBRE 2025'!#REF!</f>
        <v>#REF!</v>
      </c>
      <c r="H136" s="89" t="e">
        <f>'SEPTIEMBRE 2025'!#REF!</f>
        <v>#REF!</v>
      </c>
      <c r="I136" s="89" t="e">
        <f>'SEPTIEMBRE 2025'!#REF!</f>
        <v>#REF!</v>
      </c>
      <c r="J136" s="89" t="e">
        <f>'SEPTIEMBRE 2025'!#REF!</f>
        <v>#REF!</v>
      </c>
      <c r="K136" s="89" t="e">
        <f>'SEPTIEMBRE 2025'!#REF!</f>
        <v>#REF!</v>
      </c>
      <c r="L136" s="89" t="e">
        <f>'SEPTIEMBRE 2025'!#REF!</f>
        <v>#REF!</v>
      </c>
      <c r="M136" s="89" t="e">
        <f>'SEPTIEMBRE 2025'!#REF!</f>
        <v>#REF!</v>
      </c>
    </row>
    <row r="137" spans="2:13">
      <c r="B137" s="141">
        <f>'SEPTIEMBRE 2025'!D137</f>
        <v>0</v>
      </c>
      <c r="C137" s="142">
        <f>'SEPTIEMBRE 2025'!E137</f>
        <v>0</v>
      </c>
      <c r="D137" s="89">
        <f>'SEPTIEMBRE 2025'!H137</f>
        <v>0</v>
      </c>
      <c r="E137" s="89">
        <f>'SEPTIEMBRE 2025'!I137</f>
        <v>0</v>
      </c>
      <c r="F137" s="89">
        <f>'SEPTIEMBRE 2025'!J137</f>
        <v>0</v>
      </c>
      <c r="G137" s="89">
        <f>'SEPTIEMBRE 2025'!U137</f>
        <v>0</v>
      </c>
      <c r="H137" s="89">
        <f>'SEPTIEMBRE 2025'!AY137</f>
        <v>0</v>
      </c>
      <c r="I137" s="89">
        <f>'SEPTIEMBRE 2025'!CC137</f>
        <v>0</v>
      </c>
      <c r="J137" s="89">
        <f>'SEPTIEMBRE 2025'!CD137</f>
        <v>0</v>
      </c>
      <c r="K137" s="89">
        <f>'SEPTIEMBRE 2025'!CF137</f>
        <v>0</v>
      </c>
      <c r="L137" s="89">
        <f>'SEPTIEMBRE 2025'!CG137</f>
        <v>0</v>
      </c>
      <c r="M137" s="89">
        <f>'SEPTIEMBRE 2025'!CH137</f>
        <v>0</v>
      </c>
    </row>
    <row r="138" spans="2:13">
      <c r="B138" s="141">
        <f>'SEPTIEMBRE 2025'!D138</f>
        <v>0</v>
      </c>
      <c r="C138" s="142">
        <f>'SEPTIEMBRE 2025'!E138</f>
        <v>0</v>
      </c>
      <c r="D138" s="89">
        <f>'SEPTIEMBRE 2025'!H138</f>
        <v>0</v>
      </c>
      <c r="E138" s="89">
        <f>'SEPTIEMBRE 2025'!I138</f>
        <v>0</v>
      </c>
      <c r="F138" s="89">
        <f>'SEPTIEMBRE 2025'!J138</f>
        <v>0</v>
      </c>
      <c r="G138" s="89">
        <f>'SEPTIEMBRE 2025'!U138</f>
        <v>0</v>
      </c>
      <c r="H138" s="89">
        <f>'SEPTIEMBRE 2025'!AY138</f>
        <v>0</v>
      </c>
      <c r="I138" s="89">
        <f>'SEPTIEMBRE 2025'!CC138</f>
        <v>0</v>
      </c>
      <c r="J138" s="89">
        <f>'SEPTIEMBRE 2025'!CD138</f>
        <v>0</v>
      </c>
      <c r="K138" s="89">
        <f>'SEPTIEMBRE 2025'!CF138</f>
        <v>0</v>
      </c>
      <c r="L138" s="89">
        <f>'SEPTIEMBRE 2025'!CG138</f>
        <v>0</v>
      </c>
      <c r="M138" s="89">
        <f>'SEPTIEMBRE 2025'!CH138</f>
        <v>0</v>
      </c>
    </row>
    <row r="139" spans="2:13">
      <c r="B139" s="141">
        <f>'SEPTIEMBRE 2025'!D139</f>
        <v>0</v>
      </c>
      <c r="C139" s="142">
        <f>'SEPTIEMBRE 2025'!E139</f>
        <v>0</v>
      </c>
      <c r="D139" s="89">
        <f>'SEPTIEMBRE 2025'!H139</f>
        <v>0</v>
      </c>
      <c r="E139" s="89">
        <f>'SEPTIEMBRE 2025'!I139</f>
        <v>0</v>
      </c>
      <c r="F139" s="89">
        <f>'SEPTIEMBRE 2025'!J139</f>
        <v>0</v>
      </c>
      <c r="G139" s="89">
        <f>'SEPTIEMBRE 2025'!U139</f>
        <v>0</v>
      </c>
      <c r="H139" s="89">
        <f>'SEPTIEMBRE 2025'!AY139</f>
        <v>0</v>
      </c>
      <c r="I139" s="89">
        <f>'SEPTIEMBRE 2025'!CC139</f>
        <v>0</v>
      </c>
      <c r="J139" s="89">
        <f>'SEPTIEMBRE 2025'!CD139</f>
        <v>0</v>
      </c>
      <c r="K139" s="89">
        <f>'SEPTIEMBRE 2025'!CF139</f>
        <v>0</v>
      </c>
      <c r="L139" s="89">
        <f>'SEPTIEMBRE 2025'!CG139</f>
        <v>0</v>
      </c>
      <c r="M139" s="89">
        <f>'SEPTIEMBRE 2025'!CH139</f>
        <v>0</v>
      </c>
    </row>
    <row r="140" spans="2:13">
      <c r="B140" s="141">
        <f>'SEPTIEMBRE 2025'!D140</f>
        <v>0</v>
      </c>
      <c r="C140" s="142">
        <f>'SEPTIEMBRE 2025'!E140</f>
        <v>0</v>
      </c>
      <c r="D140" s="89">
        <f>'SEPTIEMBRE 2025'!H140</f>
        <v>0</v>
      </c>
      <c r="E140" s="89">
        <f>'SEPTIEMBRE 2025'!I140</f>
        <v>0</v>
      </c>
      <c r="F140" s="89">
        <f>'SEPTIEMBRE 2025'!J140</f>
        <v>0</v>
      </c>
      <c r="G140" s="89">
        <f>'SEPTIEMBRE 2025'!U140</f>
        <v>0</v>
      </c>
      <c r="H140" s="89">
        <f>'SEPTIEMBRE 2025'!AY140</f>
        <v>0</v>
      </c>
      <c r="I140" s="89">
        <f>'SEPTIEMBRE 2025'!CC140</f>
        <v>0</v>
      </c>
      <c r="J140" s="89">
        <f>'SEPTIEMBRE 2025'!CD140</f>
        <v>0</v>
      </c>
      <c r="K140" s="89">
        <f>'SEPTIEMBRE 2025'!CF140</f>
        <v>0</v>
      </c>
      <c r="L140" s="89">
        <f>'SEPTIEMBRE 2025'!CG140</f>
        <v>0</v>
      </c>
      <c r="M140" s="89">
        <f>'SEPTIEMBRE 2025'!CH140</f>
        <v>0</v>
      </c>
    </row>
    <row r="141" spans="2:13">
      <c r="B141" s="141">
        <f>'SEPTIEMBRE 2025'!D141</f>
        <v>0</v>
      </c>
      <c r="C141" s="142">
        <f>'SEPTIEMBRE 2025'!E141</f>
        <v>0</v>
      </c>
      <c r="D141" s="89">
        <f>'SEPTIEMBRE 2025'!H141</f>
        <v>0</v>
      </c>
      <c r="E141" s="89">
        <f>'SEPTIEMBRE 2025'!I141</f>
        <v>0</v>
      </c>
      <c r="F141" s="89">
        <f>'SEPTIEMBRE 2025'!J141</f>
        <v>0</v>
      </c>
      <c r="G141" s="89">
        <f>'SEPTIEMBRE 2025'!U141</f>
        <v>0</v>
      </c>
      <c r="H141" s="89">
        <f>'SEPTIEMBRE 2025'!AY141</f>
        <v>0</v>
      </c>
      <c r="I141" s="89">
        <f>'SEPTIEMBRE 2025'!CC141</f>
        <v>0</v>
      </c>
      <c r="J141" s="89">
        <f>'SEPTIEMBRE 2025'!CD141</f>
        <v>0</v>
      </c>
      <c r="K141" s="89">
        <f>'SEPTIEMBRE 2025'!CF141</f>
        <v>0</v>
      </c>
      <c r="L141" s="89">
        <f>'SEPTIEMBRE 2025'!CG141</f>
        <v>0</v>
      </c>
      <c r="M141" s="89">
        <f>'SEPTIEMBRE 2025'!CH141</f>
        <v>0</v>
      </c>
    </row>
    <row r="142" spans="2:13">
      <c r="B142" s="141">
        <f>'SEPTIEMBRE 2025'!D142</f>
        <v>0</v>
      </c>
      <c r="C142" s="142">
        <f>'SEPTIEMBRE 2025'!E142</f>
        <v>0</v>
      </c>
      <c r="D142" s="89">
        <f>'SEPTIEMBRE 2025'!H142</f>
        <v>0</v>
      </c>
      <c r="E142" s="89">
        <f>'SEPTIEMBRE 2025'!I142</f>
        <v>0</v>
      </c>
      <c r="F142" s="89">
        <f>'SEPTIEMBRE 2025'!J142</f>
        <v>0</v>
      </c>
      <c r="G142" s="89">
        <f>'SEPTIEMBRE 2025'!U142</f>
        <v>0</v>
      </c>
      <c r="H142" s="89">
        <f>'SEPTIEMBRE 2025'!AY142</f>
        <v>0</v>
      </c>
      <c r="I142" s="89">
        <f>'SEPTIEMBRE 2025'!CC142</f>
        <v>0</v>
      </c>
      <c r="J142" s="89">
        <f>'SEPTIEMBRE 2025'!CD142</f>
        <v>0</v>
      </c>
      <c r="K142" s="89">
        <f>'SEPTIEMBRE 2025'!CF142</f>
        <v>0</v>
      </c>
      <c r="L142" s="89">
        <f>'SEPTIEMBRE 2025'!CG142</f>
        <v>0</v>
      </c>
      <c r="M142" s="89">
        <f>'SEPTIEMBRE 2025'!CH142</f>
        <v>0</v>
      </c>
    </row>
    <row r="143" spans="2:13">
      <c r="B143" s="141">
        <f>'SEPTIEMBRE 2025'!D143</f>
        <v>0</v>
      </c>
      <c r="C143" s="142">
        <f>'SEPTIEMBRE 2025'!E143</f>
        <v>0</v>
      </c>
      <c r="D143" s="89">
        <f>'SEPTIEMBRE 2025'!H143</f>
        <v>0</v>
      </c>
      <c r="E143" s="89">
        <f>'SEPTIEMBRE 2025'!I143</f>
        <v>0</v>
      </c>
      <c r="F143" s="89">
        <f>'SEPTIEMBRE 2025'!J143</f>
        <v>0</v>
      </c>
      <c r="G143" s="89">
        <f>'SEPTIEMBRE 2025'!U143</f>
        <v>0</v>
      </c>
      <c r="H143" s="89">
        <f>'SEPTIEMBRE 2025'!AY144</f>
        <v>0</v>
      </c>
      <c r="I143" s="89">
        <f>'SEPTIEMBRE 2025'!CC143</f>
        <v>0</v>
      </c>
      <c r="J143" s="89">
        <f>'SEPTIEMBRE 2025'!CD143</f>
        <v>0</v>
      </c>
      <c r="K143" s="89">
        <f>'SEPTIEMBRE 2025'!CF143</f>
        <v>0</v>
      </c>
      <c r="L143" s="89">
        <f>'SEPTIEMBRE 2025'!CG143</f>
        <v>0</v>
      </c>
      <c r="M143" s="89">
        <f>'SEPTIEMBRE 2025'!CH143</f>
        <v>0</v>
      </c>
    </row>
    <row r="144" spans="2:13">
      <c r="B144" s="141">
        <f>'SEPTIEMBRE 2025'!D145</f>
        <v>0</v>
      </c>
      <c r="C144" s="142">
        <f>'SEPTIEMBRE 2025'!E144</f>
        <v>0</v>
      </c>
      <c r="D144" s="89">
        <f>'SEPTIEMBRE 2025'!H144</f>
        <v>0</v>
      </c>
      <c r="E144" s="89">
        <f>'SEPTIEMBRE 2025'!I144</f>
        <v>0</v>
      </c>
      <c r="F144" s="89">
        <f>'SEPTIEMBRE 2025'!J144</f>
        <v>0</v>
      </c>
      <c r="G144" s="89">
        <f>'SEPTIEMBRE 2025'!U144</f>
        <v>0</v>
      </c>
      <c r="H144" s="89" t="e">
        <f>'SEPTIEMBRE 2025'!#REF!</f>
        <v>#REF!</v>
      </c>
      <c r="I144" s="89">
        <f>'SEPTIEMBRE 2025'!CC144</f>
        <v>0</v>
      </c>
      <c r="J144" s="89">
        <f>'SEPTIEMBRE 2025'!CD144</f>
        <v>0</v>
      </c>
      <c r="K144" s="89">
        <f>'SEPTIEMBRE 2025'!CF144</f>
        <v>0</v>
      </c>
      <c r="L144" s="89">
        <f>'SEPTIEMBRE 2025'!CG144</f>
        <v>0</v>
      </c>
      <c r="M144" s="89">
        <f>'SEPTIEMBRE 2025'!CH144</f>
        <v>0</v>
      </c>
    </row>
    <row r="145" spans="2:13">
      <c r="B145" s="141" t="e">
        <f>'SEPTIEMBRE 2025'!#REF!</f>
        <v>#REF!</v>
      </c>
      <c r="C145" s="142">
        <f>'SEPTIEMBRE 2025'!E145</f>
        <v>0</v>
      </c>
      <c r="D145" s="89">
        <f>'SEPTIEMBRE 2025'!H145</f>
        <v>0</v>
      </c>
      <c r="E145" s="89">
        <f>'SEPTIEMBRE 2025'!I145</f>
        <v>0</v>
      </c>
      <c r="F145" s="89">
        <f>'SEPTIEMBRE 2025'!J145</f>
        <v>0</v>
      </c>
      <c r="G145" s="89">
        <f>'SEPTIEMBRE 2025'!U145</f>
        <v>0</v>
      </c>
      <c r="H145" s="89">
        <f>'SEPTIEMBRE 2025'!AY145</f>
        <v>0</v>
      </c>
      <c r="I145" s="89">
        <f>'SEPTIEMBRE 2025'!CC145</f>
        <v>0</v>
      </c>
      <c r="J145" s="89">
        <f>'SEPTIEMBRE 2025'!CD145</f>
        <v>0</v>
      </c>
      <c r="K145" s="89">
        <f>'SEPTIEMBRE 2025'!CF145</f>
        <v>0</v>
      </c>
      <c r="L145" s="89">
        <f>'SEPTIEMBRE 2025'!CG145</f>
        <v>0</v>
      </c>
      <c r="M145" s="89">
        <f>'SEPTIEMBRE 2025'!CH145</f>
        <v>0</v>
      </c>
    </row>
    <row r="146" spans="2:13">
      <c r="B146" s="141">
        <f>'SEPTIEMBRE 2025'!D146</f>
        <v>0</v>
      </c>
      <c r="C146" s="142">
        <f>'SEPTIEMBRE 2025'!E146</f>
        <v>0</v>
      </c>
      <c r="D146" s="89">
        <f>'SEPTIEMBRE 2025'!H146</f>
        <v>0</v>
      </c>
      <c r="E146" s="89">
        <f>'SEPTIEMBRE 2025'!I146</f>
        <v>0</v>
      </c>
      <c r="F146" s="89">
        <f>'SEPTIEMBRE 2025'!J146</f>
        <v>0</v>
      </c>
      <c r="G146" s="89">
        <f>'SEPTIEMBRE 2025'!U146</f>
        <v>0</v>
      </c>
      <c r="H146" s="89">
        <f>'SEPTIEMBRE 2025'!AY146</f>
        <v>0</v>
      </c>
      <c r="I146" s="89">
        <f>'SEPTIEMBRE 2025'!CC146</f>
        <v>0</v>
      </c>
      <c r="J146" s="89">
        <f>'SEPTIEMBRE 2025'!CD146</f>
        <v>0</v>
      </c>
      <c r="K146" s="89">
        <f>'SEPTIEMBRE 2025'!CF146</f>
        <v>0</v>
      </c>
      <c r="L146" s="89">
        <f>'SEPTIEMBRE 2025'!CG146</f>
        <v>0</v>
      </c>
      <c r="M146" s="89">
        <f>'SEPTIEMBRE 2025'!CH146</f>
        <v>0</v>
      </c>
    </row>
    <row r="147" spans="2:13">
      <c r="B147" s="141">
        <f>'SEPTIEMBRE 2025'!D147</f>
        <v>0</v>
      </c>
      <c r="C147" s="142">
        <f>'SEPTIEMBRE 2025'!E147</f>
        <v>0</v>
      </c>
      <c r="D147" s="89">
        <f>'SEPTIEMBRE 2025'!H147</f>
        <v>0</v>
      </c>
      <c r="E147" s="89">
        <f>'SEPTIEMBRE 2025'!I147</f>
        <v>0</v>
      </c>
      <c r="F147" s="89">
        <f>'SEPTIEMBRE 2025'!J147</f>
        <v>0</v>
      </c>
      <c r="G147" s="89">
        <f>'SEPTIEMBRE 2025'!U147</f>
        <v>0</v>
      </c>
      <c r="H147" s="89">
        <f>'SEPTIEMBRE 2025'!AY147</f>
        <v>0</v>
      </c>
      <c r="I147" s="89">
        <f>'SEPTIEMBRE 2025'!CC147</f>
        <v>0</v>
      </c>
      <c r="J147" s="89">
        <f>'SEPTIEMBRE 2025'!CD147</f>
        <v>0</v>
      </c>
      <c r="K147" s="89">
        <f>'SEPTIEMBRE 2025'!CF147</f>
        <v>0</v>
      </c>
      <c r="L147" s="89">
        <f>'SEPTIEMBRE 2025'!CG147</f>
        <v>0</v>
      </c>
      <c r="M147" s="89">
        <f>'SEPTIEMBRE 2025'!CH147</f>
        <v>0</v>
      </c>
    </row>
    <row r="148" spans="2:13">
      <c r="B148" s="141">
        <f>'SEPTIEMBRE 2025'!D148</f>
        <v>0</v>
      </c>
      <c r="C148" s="142">
        <f>'SEPTIEMBRE 2025'!E148</f>
        <v>0</v>
      </c>
      <c r="D148" s="89">
        <f>'SEPTIEMBRE 2025'!H148</f>
        <v>0</v>
      </c>
      <c r="E148" s="89">
        <f>'SEPTIEMBRE 2025'!I148</f>
        <v>0</v>
      </c>
      <c r="F148" s="89">
        <f>'SEPTIEMBRE 2025'!J148</f>
        <v>0</v>
      </c>
      <c r="G148" s="89">
        <f>'SEPTIEMBRE 2025'!U148</f>
        <v>0</v>
      </c>
      <c r="H148" s="89">
        <f>'SEPTIEMBRE 2025'!AY148</f>
        <v>0</v>
      </c>
      <c r="I148" s="89">
        <f>'SEPTIEMBRE 2025'!CC148</f>
        <v>0</v>
      </c>
      <c r="J148" s="89">
        <f>'SEPTIEMBRE 2025'!CD148</f>
        <v>0</v>
      </c>
      <c r="K148" s="89">
        <f>'SEPTIEMBRE 2025'!CF148</f>
        <v>0</v>
      </c>
      <c r="L148" s="89">
        <f>'SEPTIEMBRE 2025'!CG148</f>
        <v>0</v>
      </c>
      <c r="M148" s="89">
        <f>'SEPTIEMBRE 2025'!CH148</f>
        <v>0</v>
      </c>
    </row>
    <row r="149" spans="2:13">
      <c r="B149" s="141">
        <f>'SEPTIEMBRE 2025'!D149</f>
        <v>0</v>
      </c>
      <c r="C149" s="142">
        <f>'SEPTIEMBRE 2025'!E149</f>
        <v>0</v>
      </c>
      <c r="D149" s="89">
        <f>'SEPTIEMBRE 2025'!H149</f>
        <v>0</v>
      </c>
      <c r="E149" s="89">
        <f>'SEPTIEMBRE 2025'!I149</f>
        <v>0</v>
      </c>
      <c r="F149" s="89">
        <f>'SEPTIEMBRE 2025'!J149</f>
        <v>0</v>
      </c>
      <c r="G149" s="89">
        <f>'SEPTIEMBRE 2025'!U149</f>
        <v>0</v>
      </c>
      <c r="H149" s="89">
        <f>'SEPTIEMBRE 2025'!AY149</f>
        <v>0</v>
      </c>
      <c r="I149" s="89">
        <f>'SEPTIEMBRE 2025'!CC149</f>
        <v>0</v>
      </c>
      <c r="J149" s="89">
        <f>'SEPTIEMBRE 2025'!CD149</f>
        <v>0</v>
      </c>
      <c r="K149" s="89">
        <f>'SEPTIEMBRE 2025'!CF149</f>
        <v>0</v>
      </c>
      <c r="L149" s="89">
        <f>'SEPTIEMBRE 2025'!CG149</f>
        <v>0</v>
      </c>
      <c r="M149" s="89">
        <f>'SEPTIEMBRE 2025'!CH149</f>
        <v>0</v>
      </c>
    </row>
    <row r="150" spans="2:13">
      <c r="B150" s="141">
        <f>'SEPTIEMBRE 2025'!D150</f>
        <v>0</v>
      </c>
      <c r="C150" s="142">
        <f>'SEPTIEMBRE 2025'!E150</f>
        <v>0</v>
      </c>
      <c r="D150" s="89">
        <f>'SEPTIEMBRE 2025'!H150</f>
        <v>0</v>
      </c>
      <c r="E150" s="89">
        <f>'SEPTIEMBRE 2025'!I150</f>
        <v>0</v>
      </c>
      <c r="F150" s="89">
        <f>'SEPTIEMBRE 2025'!J150</f>
        <v>0</v>
      </c>
      <c r="G150" s="89">
        <f>'SEPTIEMBRE 2025'!U150</f>
        <v>0</v>
      </c>
      <c r="H150" s="89">
        <f>'SEPTIEMBRE 2025'!AY150</f>
        <v>0</v>
      </c>
      <c r="I150" s="89">
        <f>'SEPTIEMBRE 2025'!CC150</f>
        <v>0</v>
      </c>
      <c r="J150" s="89">
        <f>'SEPTIEMBRE 2025'!CD150</f>
        <v>0</v>
      </c>
      <c r="K150" s="89">
        <f>'SEPTIEMBRE 2025'!CF150</f>
        <v>0</v>
      </c>
      <c r="L150" s="89">
        <f>'SEPTIEMBRE 2025'!CG150</f>
        <v>0</v>
      </c>
      <c r="M150" s="89">
        <f>'SEPTIEMBRE 2025'!CH150</f>
        <v>0</v>
      </c>
    </row>
    <row r="151" spans="2:13">
      <c r="B151" s="141">
        <f>'SEPTIEMBRE 2025'!D151</f>
        <v>0</v>
      </c>
      <c r="C151" s="142">
        <f>'SEPTIEMBRE 2025'!E151</f>
        <v>0</v>
      </c>
      <c r="D151" s="89">
        <f>'SEPTIEMBRE 2025'!H151</f>
        <v>0</v>
      </c>
      <c r="E151" s="89">
        <f>'SEPTIEMBRE 2025'!I151</f>
        <v>0</v>
      </c>
      <c r="F151" s="89">
        <f>'SEPTIEMBRE 2025'!J151</f>
        <v>0</v>
      </c>
      <c r="G151" s="89">
        <f>'SEPTIEMBRE 2025'!U151</f>
        <v>0</v>
      </c>
      <c r="H151" s="89">
        <f>'SEPTIEMBRE 2025'!AY151</f>
        <v>0</v>
      </c>
      <c r="I151" s="89">
        <f>'SEPTIEMBRE 2025'!CC151</f>
        <v>0</v>
      </c>
      <c r="J151" s="89">
        <f>'SEPTIEMBRE 2025'!CD151</f>
        <v>0</v>
      </c>
      <c r="K151" s="89">
        <f>'SEPTIEMBRE 2025'!CF151</f>
        <v>0</v>
      </c>
      <c r="L151" s="89">
        <f>'SEPTIEMBRE 2025'!CG151</f>
        <v>0</v>
      </c>
      <c r="M151" s="89">
        <f>'SEPTIEMBRE 2025'!CH151</f>
        <v>0</v>
      </c>
    </row>
    <row r="152" spans="2:13">
      <c r="B152" s="141">
        <f>'SEPTIEMBRE 2025'!D152</f>
        <v>0</v>
      </c>
      <c r="C152" s="142">
        <f>'SEPTIEMBRE 2025'!E152</f>
        <v>0</v>
      </c>
      <c r="D152" s="89">
        <f>'SEPTIEMBRE 2025'!H152</f>
        <v>0</v>
      </c>
      <c r="E152" s="89">
        <f>'SEPTIEMBRE 2025'!I152</f>
        <v>0</v>
      </c>
      <c r="F152" s="89">
        <f>'SEPTIEMBRE 2025'!J152</f>
        <v>0</v>
      </c>
      <c r="G152" s="89">
        <f>'SEPTIEMBRE 2025'!U152</f>
        <v>0</v>
      </c>
      <c r="H152" s="89">
        <f>'SEPTIEMBRE 2025'!AY152</f>
        <v>0</v>
      </c>
      <c r="I152" s="89">
        <f>'SEPTIEMBRE 2025'!CC152</f>
        <v>0</v>
      </c>
      <c r="J152" s="89">
        <f>'SEPTIEMBRE 2025'!CD152</f>
        <v>0</v>
      </c>
      <c r="K152" s="89">
        <f>'SEPTIEMBRE 2025'!CF152</f>
        <v>0</v>
      </c>
      <c r="L152" s="89">
        <f>'SEPTIEMBRE 2025'!CG152</f>
        <v>0</v>
      </c>
      <c r="M152" s="89">
        <f>'SEPTIEMBRE 2025'!CH152</f>
        <v>0</v>
      </c>
    </row>
    <row r="153" spans="2:13">
      <c r="B153" s="141">
        <f>'SEPTIEMBRE 2025'!D153</f>
        <v>0</v>
      </c>
      <c r="C153" s="142">
        <f>'SEPTIEMBRE 2025'!E153</f>
        <v>0</v>
      </c>
      <c r="D153" s="89">
        <f>'SEPTIEMBRE 2025'!H153</f>
        <v>0</v>
      </c>
      <c r="E153" s="89">
        <f>'SEPTIEMBRE 2025'!I153</f>
        <v>0</v>
      </c>
      <c r="F153" s="89">
        <f>'SEPTIEMBRE 2025'!J153</f>
        <v>0</v>
      </c>
      <c r="G153" s="89">
        <f>'SEPTIEMBRE 2025'!U153</f>
        <v>0</v>
      </c>
      <c r="H153" s="89">
        <f>'SEPTIEMBRE 2025'!AY153</f>
        <v>0</v>
      </c>
      <c r="I153" s="89">
        <f>'SEPTIEMBRE 2025'!CC153</f>
        <v>0</v>
      </c>
      <c r="J153" s="89">
        <f>'SEPTIEMBRE 2025'!CD153</f>
        <v>0</v>
      </c>
      <c r="K153" s="89">
        <f>'SEPTIEMBRE 2025'!CF153</f>
        <v>0</v>
      </c>
      <c r="L153" s="89">
        <f>'SEPTIEMBRE 2025'!CG153</f>
        <v>0</v>
      </c>
      <c r="M153" s="89">
        <f>'SEPTIEMBRE 2025'!CH153</f>
        <v>0</v>
      </c>
    </row>
    <row r="154" spans="2:13">
      <c r="B154" s="141">
        <f>'SEPTIEMBRE 2025'!D154</f>
        <v>0</v>
      </c>
      <c r="C154" s="142">
        <f>'SEPTIEMBRE 2025'!E154</f>
        <v>0</v>
      </c>
      <c r="D154" s="89">
        <f>'SEPTIEMBRE 2025'!H154</f>
        <v>0</v>
      </c>
      <c r="E154" s="89">
        <f>'SEPTIEMBRE 2025'!I154</f>
        <v>0</v>
      </c>
      <c r="F154" s="89">
        <f>'SEPTIEMBRE 2025'!J154</f>
        <v>0</v>
      </c>
      <c r="G154" s="89">
        <f>'SEPTIEMBRE 2025'!U154</f>
        <v>0</v>
      </c>
      <c r="H154" s="89">
        <f>'SEPTIEMBRE 2025'!AY154</f>
        <v>0</v>
      </c>
      <c r="I154" s="89">
        <f>'SEPTIEMBRE 2025'!CC154</f>
        <v>0</v>
      </c>
      <c r="J154" s="89">
        <f>'SEPTIEMBRE 2025'!CD154</f>
        <v>0</v>
      </c>
      <c r="K154" s="89">
        <f>'SEPTIEMBRE 2025'!CF154</f>
        <v>0</v>
      </c>
      <c r="L154" s="89">
        <f>'SEPTIEMBRE 2025'!CG154</f>
        <v>0</v>
      </c>
      <c r="M154" s="89">
        <f>'SEPTIEMBRE 2025'!CH154</f>
        <v>0</v>
      </c>
    </row>
    <row r="155" spans="2:13">
      <c r="B155" s="141">
        <f>'SEPTIEMBRE 2025'!D155</f>
        <v>0</v>
      </c>
      <c r="C155" s="142">
        <f>'SEPTIEMBRE 2025'!E155</f>
        <v>0</v>
      </c>
      <c r="D155" s="89">
        <f>'SEPTIEMBRE 2025'!H155</f>
        <v>0</v>
      </c>
      <c r="E155" s="89">
        <f>'SEPTIEMBRE 2025'!I155</f>
        <v>0</v>
      </c>
      <c r="F155" s="89">
        <f>'SEPTIEMBRE 2025'!J155</f>
        <v>0</v>
      </c>
      <c r="G155" s="89">
        <f>'SEPTIEMBRE 2025'!U155</f>
        <v>0</v>
      </c>
      <c r="H155" s="89">
        <f>'SEPTIEMBRE 2025'!AY155</f>
        <v>0</v>
      </c>
      <c r="I155" s="89">
        <f>'SEPTIEMBRE 2025'!CC155</f>
        <v>0</v>
      </c>
      <c r="J155" s="89">
        <f>'SEPTIEMBRE 2025'!CD155</f>
        <v>0</v>
      </c>
      <c r="K155" s="89">
        <f>'SEPTIEMBRE 2025'!CF155</f>
        <v>0</v>
      </c>
      <c r="L155" s="89">
        <f>'SEPTIEMBRE 2025'!CG155</f>
        <v>0</v>
      </c>
      <c r="M155" s="89">
        <f>'SEPTIEMBRE 2025'!CH155</f>
        <v>0</v>
      </c>
    </row>
    <row r="156" spans="2:13">
      <c r="B156" s="141">
        <f>'SEPTIEMBRE 2025'!D156</f>
        <v>0</v>
      </c>
      <c r="C156" s="142">
        <f>'SEPTIEMBRE 2025'!E156</f>
        <v>0</v>
      </c>
      <c r="D156" s="89">
        <f>'SEPTIEMBRE 2025'!H156</f>
        <v>0</v>
      </c>
      <c r="E156" s="89">
        <f>'SEPTIEMBRE 2025'!I156</f>
        <v>0</v>
      </c>
      <c r="F156" s="89">
        <f>'SEPTIEMBRE 2025'!J156</f>
        <v>0</v>
      </c>
      <c r="G156" s="89">
        <f>'SEPTIEMBRE 2025'!U156</f>
        <v>0</v>
      </c>
      <c r="H156" s="89">
        <f>'SEPTIEMBRE 2025'!AY156</f>
        <v>0</v>
      </c>
      <c r="I156" s="89">
        <f>'SEPTIEMBRE 2025'!CC156</f>
        <v>0</v>
      </c>
      <c r="J156" s="89">
        <f>'SEPTIEMBRE 2025'!CD156</f>
        <v>0</v>
      </c>
      <c r="K156" s="89">
        <f>'SEPTIEMBRE 2025'!CF156</f>
        <v>0</v>
      </c>
      <c r="L156" s="89">
        <f>'SEPTIEMBRE 2025'!CG156</f>
        <v>0</v>
      </c>
      <c r="M156" s="89">
        <f>'SEPTIEMBRE 2025'!CH156</f>
        <v>0</v>
      </c>
    </row>
    <row r="157" spans="2:13">
      <c r="B157" s="141">
        <f>'SEPTIEMBRE 2025'!D157</f>
        <v>0</v>
      </c>
      <c r="C157" s="142">
        <f>'SEPTIEMBRE 2025'!E157</f>
        <v>0</v>
      </c>
      <c r="D157" s="89">
        <f>'SEPTIEMBRE 2025'!H157</f>
        <v>0</v>
      </c>
      <c r="E157" s="89">
        <f>'SEPTIEMBRE 2025'!I157</f>
        <v>0</v>
      </c>
      <c r="F157" s="89">
        <f>'SEPTIEMBRE 2025'!J157</f>
        <v>0</v>
      </c>
      <c r="G157" s="89">
        <f>'SEPTIEMBRE 2025'!U157</f>
        <v>0</v>
      </c>
      <c r="H157" s="89">
        <f>'SEPTIEMBRE 2025'!AY157</f>
        <v>0</v>
      </c>
      <c r="I157" s="89">
        <f>'SEPTIEMBRE 2025'!CC157</f>
        <v>0</v>
      </c>
      <c r="J157" s="89">
        <f>'SEPTIEMBRE 2025'!CD157</f>
        <v>0</v>
      </c>
      <c r="K157" s="89">
        <f>'SEPTIEMBRE 2025'!CF157</f>
        <v>0</v>
      </c>
      <c r="L157" s="89">
        <f>'SEPTIEMBRE 2025'!CG157</f>
        <v>0</v>
      </c>
      <c r="M157" s="89">
        <f>'SEPTIEMBRE 2025'!CH157</f>
        <v>0</v>
      </c>
    </row>
    <row r="158" spans="2:13">
      <c r="B158" s="141">
        <f>'SEPTIEMBRE 2025'!D158</f>
        <v>0</v>
      </c>
      <c r="C158" s="142">
        <f>'SEPTIEMBRE 2025'!E158</f>
        <v>0</v>
      </c>
      <c r="D158" s="89">
        <f>'SEPTIEMBRE 2025'!H158</f>
        <v>0</v>
      </c>
      <c r="E158" s="89">
        <f>'SEPTIEMBRE 2025'!I158</f>
        <v>0</v>
      </c>
      <c r="F158" s="89">
        <f>'SEPTIEMBRE 2025'!J158</f>
        <v>0</v>
      </c>
      <c r="G158" s="89">
        <f>'SEPTIEMBRE 2025'!U158</f>
        <v>0</v>
      </c>
      <c r="H158" s="89">
        <f>'SEPTIEMBRE 2025'!AY158</f>
        <v>0</v>
      </c>
      <c r="I158" s="89">
        <f>'SEPTIEMBRE 2025'!CC158</f>
        <v>0</v>
      </c>
      <c r="J158" s="89">
        <f>'SEPTIEMBRE 2025'!CD158</f>
        <v>0</v>
      </c>
      <c r="K158" s="89">
        <f>'SEPTIEMBRE 2025'!CF158</f>
        <v>0</v>
      </c>
      <c r="L158" s="89">
        <f>'SEPTIEMBRE 2025'!CG158</f>
        <v>0</v>
      </c>
      <c r="M158" s="89">
        <f>'SEPTIEMBRE 2025'!CH158</f>
        <v>0</v>
      </c>
    </row>
    <row r="159" spans="2:13">
      <c r="B159" s="141">
        <f>'SEPTIEMBRE 2025'!D159</f>
        <v>0</v>
      </c>
      <c r="C159" s="142">
        <f>'SEPTIEMBRE 2025'!E159</f>
        <v>0</v>
      </c>
      <c r="D159" s="89">
        <f>'SEPTIEMBRE 2025'!H159</f>
        <v>0</v>
      </c>
      <c r="E159" s="89">
        <f>'SEPTIEMBRE 2025'!I159</f>
        <v>0</v>
      </c>
      <c r="F159" s="89">
        <f>'SEPTIEMBRE 2025'!J159</f>
        <v>0</v>
      </c>
      <c r="G159" s="89">
        <f>'SEPTIEMBRE 2025'!U159</f>
        <v>0</v>
      </c>
      <c r="H159" s="89">
        <f>'SEPTIEMBRE 2025'!AY159</f>
        <v>0</v>
      </c>
      <c r="I159" s="89">
        <f>'SEPTIEMBRE 2025'!CC159</f>
        <v>0</v>
      </c>
      <c r="J159" s="89">
        <f>'SEPTIEMBRE 2025'!CD159</f>
        <v>0</v>
      </c>
      <c r="K159" s="89">
        <f>'SEPTIEMBRE 2025'!CF159</f>
        <v>0</v>
      </c>
      <c r="L159" s="89">
        <f>'SEPTIEMBRE 2025'!CG159</f>
        <v>0</v>
      </c>
      <c r="M159" s="89">
        <f>'SEPTIEMBRE 2025'!CH159</f>
        <v>0</v>
      </c>
    </row>
    <row r="160" spans="2:13">
      <c r="B160" s="141">
        <f>'SEPTIEMBRE 2025'!D160</f>
        <v>0</v>
      </c>
      <c r="C160" s="142">
        <f>'SEPTIEMBRE 2025'!E160</f>
        <v>0</v>
      </c>
      <c r="D160" s="89">
        <f>'SEPTIEMBRE 2025'!H160</f>
        <v>0</v>
      </c>
      <c r="E160" s="89">
        <f>'SEPTIEMBRE 2025'!I160</f>
        <v>0</v>
      </c>
      <c r="F160" s="89">
        <f>'SEPTIEMBRE 2025'!J160</f>
        <v>0</v>
      </c>
      <c r="G160" s="89">
        <f>'SEPTIEMBRE 2025'!U160</f>
        <v>0</v>
      </c>
      <c r="H160" s="89">
        <f>'SEPTIEMBRE 2025'!AY160</f>
        <v>0</v>
      </c>
      <c r="I160" s="89">
        <f>'SEPTIEMBRE 2025'!CC160</f>
        <v>0</v>
      </c>
      <c r="J160" s="89">
        <f>'SEPTIEMBRE 2025'!CD160</f>
        <v>0</v>
      </c>
      <c r="K160" s="89">
        <f>'SEPTIEMBRE 2025'!CF160</f>
        <v>0</v>
      </c>
      <c r="L160" s="89">
        <f>'SEPTIEMBRE 2025'!CG160</f>
        <v>0</v>
      </c>
      <c r="M160" s="89">
        <f>'SEPTIEMBRE 2025'!CH160</f>
        <v>0</v>
      </c>
    </row>
    <row r="161" spans="2:13">
      <c r="B161" s="141">
        <f>'SEPTIEMBRE 2025'!D161</f>
        <v>0</v>
      </c>
      <c r="C161" s="142">
        <f>'SEPTIEMBRE 2025'!E161</f>
        <v>0</v>
      </c>
      <c r="D161" s="89">
        <f>'SEPTIEMBRE 2025'!H161</f>
        <v>0</v>
      </c>
      <c r="E161" s="89">
        <f>'SEPTIEMBRE 2025'!I161</f>
        <v>0</v>
      </c>
      <c r="F161" s="89">
        <f>'SEPTIEMBRE 2025'!J161</f>
        <v>0</v>
      </c>
      <c r="G161" s="89">
        <f>'SEPTIEMBRE 2025'!U161</f>
        <v>0</v>
      </c>
      <c r="H161" s="89">
        <f>'SEPTIEMBRE 2025'!AY161</f>
        <v>0</v>
      </c>
      <c r="I161" s="89">
        <f>'SEPTIEMBRE 2025'!CC161</f>
        <v>0</v>
      </c>
      <c r="J161" s="89">
        <f>'SEPTIEMBRE 2025'!CD161</f>
        <v>0</v>
      </c>
      <c r="K161" s="89">
        <f>'SEPTIEMBRE 2025'!CF161</f>
        <v>0</v>
      </c>
      <c r="L161" s="89">
        <f>'SEPTIEMBRE 2025'!CG161</f>
        <v>0</v>
      </c>
      <c r="M161" s="89">
        <f>'SEPTIEMBRE 2025'!CH161</f>
        <v>0</v>
      </c>
    </row>
    <row r="162" spans="2:13">
      <c r="B162" s="141">
        <f>'SEPTIEMBRE 2025'!D162</f>
        <v>0</v>
      </c>
      <c r="C162" s="142">
        <f>'SEPTIEMBRE 2025'!E162</f>
        <v>0</v>
      </c>
      <c r="D162" s="89">
        <f>'SEPTIEMBRE 2025'!H162</f>
        <v>0</v>
      </c>
      <c r="E162" s="89">
        <f>'SEPTIEMBRE 2025'!I162</f>
        <v>0</v>
      </c>
      <c r="F162" s="89">
        <f>'SEPTIEMBRE 2025'!J162</f>
        <v>0</v>
      </c>
      <c r="G162" s="89">
        <f>'SEPTIEMBRE 2025'!U162</f>
        <v>0</v>
      </c>
      <c r="H162" s="89">
        <f>'SEPTIEMBRE 2025'!AY162</f>
        <v>0</v>
      </c>
      <c r="I162" s="89">
        <f>'SEPTIEMBRE 2025'!CC162</f>
        <v>0</v>
      </c>
      <c r="J162" s="89">
        <f>'SEPTIEMBRE 2025'!CD162</f>
        <v>0</v>
      </c>
      <c r="K162" s="89">
        <f>'SEPTIEMBRE 2025'!CF162</f>
        <v>0</v>
      </c>
      <c r="L162" s="89">
        <f>'SEPTIEMBRE 2025'!CG162</f>
        <v>0</v>
      </c>
      <c r="M162" s="89">
        <f>'SEPTIEMBRE 2025'!CH162</f>
        <v>0</v>
      </c>
    </row>
    <row r="163" spans="2:13">
      <c r="B163" s="141">
        <f>'SEPTIEMBRE 2025'!D163</f>
        <v>0</v>
      </c>
      <c r="C163" s="142">
        <f>'SEPTIEMBRE 2025'!E163</f>
        <v>0</v>
      </c>
      <c r="D163" s="89">
        <f>'SEPTIEMBRE 2025'!H163</f>
        <v>0</v>
      </c>
      <c r="E163" s="89">
        <f>'SEPTIEMBRE 2025'!I163</f>
        <v>0</v>
      </c>
      <c r="F163" s="89">
        <f>'SEPTIEMBRE 2025'!J163</f>
        <v>0</v>
      </c>
      <c r="G163" s="89">
        <f>'SEPTIEMBRE 2025'!U163</f>
        <v>0</v>
      </c>
      <c r="H163" s="89">
        <f>'SEPTIEMBRE 2025'!AY163</f>
        <v>0</v>
      </c>
      <c r="I163" s="89">
        <f>'SEPTIEMBRE 2025'!CC163</f>
        <v>0</v>
      </c>
      <c r="J163" s="89">
        <f>'SEPTIEMBRE 2025'!CD163</f>
        <v>0</v>
      </c>
      <c r="K163" s="89">
        <f>'SEPTIEMBRE 2025'!CF163</f>
        <v>0</v>
      </c>
      <c r="L163" s="89">
        <f>'SEPTIEMBRE 2025'!CG163</f>
        <v>0</v>
      </c>
      <c r="M163" s="89">
        <f>'SEPTIEMBRE 2025'!CH163</f>
        <v>0</v>
      </c>
    </row>
    <row r="164" spans="2:13">
      <c r="B164" s="141">
        <f>'SEPTIEMBRE 2025'!D164</f>
        <v>0</v>
      </c>
      <c r="C164" s="142">
        <f>'SEPTIEMBRE 2025'!E164</f>
        <v>0</v>
      </c>
      <c r="D164" s="89">
        <f>'SEPTIEMBRE 2025'!H164</f>
        <v>0</v>
      </c>
      <c r="E164" s="89">
        <f>'SEPTIEMBRE 2025'!I164</f>
        <v>0</v>
      </c>
      <c r="F164" s="89">
        <f>'SEPTIEMBRE 2025'!J164</f>
        <v>0</v>
      </c>
      <c r="G164" s="89">
        <f>'SEPTIEMBRE 2025'!U164</f>
        <v>0</v>
      </c>
      <c r="H164" s="89">
        <f>'SEPTIEMBRE 2025'!AY164</f>
        <v>0</v>
      </c>
      <c r="I164" s="89">
        <f>'SEPTIEMBRE 2025'!CC164</f>
        <v>0</v>
      </c>
      <c r="J164" s="89">
        <f>'SEPTIEMBRE 2025'!CD164</f>
        <v>0</v>
      </c>
      <c r="K164" s="89">
        <f>'SEPTIEMBRE 2025'!CF164</f>
        <v>0</v>
      </c>
      <c r="L164" s="89">
        <f>'SEPTIEMBRE 2025'!CG164</f>
        <v>0</v>
      </c>
      <c r="M164" s="89">
        <f>'SEPTIEMBRE 2025'!CH164</f>
        <v>0</v>
      </c>
    </row>
    <row r="165" spans="2:13">
      <c r="B165" s="141">
        <f>'SEPTIEMBRE 2025'!D165</f>
        <v>0</v>
      </c>
      <c r="C165" s="142">
        <f>'SEPTIEMBRE 2025'!E165</f>
        <v>0</v>
      </c>
      <c r="D165" s="89">
        <f>'SEPTIEMBRE 2025'!H165</f>
        <v>0</v>
      </c>
      <c r="E165" s="89">
        <f>'SEPTIEMBRE 2025'!I165</f>
        <v>0</v>
      </c>
      <c r="F165" s="89">
        <f>'SEPTIEMBRE 2025'!J165</f>
        <v>0</v>
      </c>
      <c r="G165" s="89">
        <f>'SEPTIEMBRE 2025'!U165</f>
        <v>0</v>
      </c>
      <c r="H165" s="89">
        <f>'SEPTIEMBRE 2025'!AY165</f>
        <v>0</v>
      </c>
      <c r="I165" s="89">
        <f>'SEPTIEMBRE 2025'!CC165</f>
        <v>0</v>
      </c>
      <c r="J165" s="89">
        <f>'SEPTIEMBRE 2025'!CD165</f>
        <v>0</v>
      </c>
      <c r="K165" s="89">
        <f>'SEPTIEMBRE 2025'!CF165</f>
        <v>0</v>
      </c>
      <c r="L165" s="89">
        <f>'SEPTIEMBRE 2025'!CG165</f>
        <v>0</v>
      </c>
      <c r="M165" s="89">
        <f>'SEPTIEMBRE 2025'!CH165</f>
        <v>0</v>
      </c>
    </row>
    <row r="166" spans="2:13">
      <c r="B166" s="141">
        <f>'SEPTIEMBRE 2025'!D166</f>
        <v>0</v>
      </c>
      <c r="C166" s="142">
        <f>'SEPTIEMBRE 2025'!E166</f>
        <v>0</v>
      </c>
      <c r="D166" s="89">
        <f>'SEPTIEMBRE 2025'!H166</f>
        <v>0</v>
      </c>
      <c r="E166" s="89">
        <f>'SEPTIEMBRE 2025'!I166</f>
        <v>0</v>
      </c>
      <c r="F166" s="89">
        <f>'SEPTIEMBRE 2025'!J166</f>
        <v>0</v>
      </c>
      <c r="G166" s="89">
        <f>'SEPTIEMBRE 2025'!U166</f>
        <v>0</v>
      </c>
      <c r="H166" s="89">
        <f>'SEPTIEMBRE 2025'!AY166</f>
        <v>0</v>
      </c>
      <c r="I166" s="89">
        <f>'SEPTIEMBRE 2025'!CC166</f>
        <v>0</v>
      </c>
      <c r="J166" s="89">
        <f>'SEPTIEMBRE 2025'!CD166</f>
        <v>0</v>
      </c>
      <c r="K166" s="89">
        <f>'SEPTIEMBRE 2025'!CF166</f>
        <v>0</v>
      </c>
      <c r="L166" s="89">
        <f>'SEPTIEMBRE 2025'!CG166</f>
        <v>0</v>
      </c>
      <c r="M166" s="89">
        <f>'SEPTIEMBRE 2025'!CH166</f>
        <v>0</v>
      </c>
    </row>
    <row r="167" spans="2:13">
      <c r="B167" s="141">
        <f>'SEPTIEMBRE 2025'!D167</f>
        <v>0</v>
      </c>
      <c r="C167" s="142">
        <f>'SEPTIEMBRE 2025'!E167</f>
        <v>0</v>
      </c>
      <c r="D167" s="89">
        <f>'SEPTIEMBRE 2025'!H167</f>
        <v>0</v>
      </c>
      <c r="E167" s="89">
        <f>'SEPTIEMBRE 2025'!I167</f>
        <v>0</v>
      </c>
      <c r="F167" s="89">
        <f>'SEPTIEMBRE 2025'!J167</f>
        <v>0</v>
      </c>
      <c r="G167" s="89">
        <f>'SEPTIEMBRE 2025'!U167</f>
        <v>0</v>
      </c>
      <c r="H167" s="89">
        <f>'SEPTIEMBRE 2025'!AY167</f>
        <v>0</v>
      </c>
      <c r="I167" s="89">
        <f>'SEPTIEMBRE 2025'!CC167</f>
        <v>0</v>
      </c>
      <c r="J167" s="89">
        <f>'SEPTIEMBRE 2025'!CD167</f>
        <v>0</v>
      </c>
      <c r="K167" s="89">
        <f>'SEPTIEMBRE 2025'!CF167</f>
        <v>0</v>
      </c>
      <c r="L167" s="89">
        <f>'SEPTIEMBRE 2025'!CG167</f>
        <v>0</v>
      </c>
      <c r="M167" s="89">
        <f>'SEPTIEMBRE 2025'!CH167</f>
        <v>0</v>
      </c>
    </row>
    <row r="168" spans="2:13">
      <c r="B168" s="141">
        <f>'SEPTIEMBRE 2025'!D168</f>
        <v>0</v>
      </c>
      <c r="C168" s="142">
        <f>'SEPTIEMBRE 2025'!E168</f>
        <v>0</v>
      </c>
      <c r="D168" s="89">
        <f>'SEPTIEMBRE 2025'!H168</f>
        <v>0</v>
      </c>
      <c r="E168" s="89">
        <f>'SEPTIEMBRE 2025'!I168</f>
        <v>0</v>
      </c>
      <c r="F168" s="89">
        <f>'SEPTIEMBRE 2025'!J168</f>
        <v>0</v>
      </c>
      <c r="G168" s="89">
        <f>'SEPTIEMBRE 2025'!U168</f>
        <v>0</v>
      </c>
      <c r="H168" s="89">
        <f>'SEPTIEMBRE 2025'!AY168</f>
        <v>0</v>
      </c>
      <c r="I168" s="89">
        <f>'SEPTIEMBRE 2025'!CC168</f>
        <v>0</v>
      </c>
      <c r="J168" s="89">
        <f>'SEPTIEMBRE 2025'!CD168</f>
        <v>0</v>
      </c>
      <c r="K168" s="89">
        <f>'SEPTIEMBRE 2025'!CF168</f>
        <v>0</v>
      </c>
      <c r="L168" s="89">
        <f>'SEPTIEMBRE 2025'!CG168</f>
        <v>0</v>
      </c>
      <c r="M168" s="89">
        <f>'SEPTIEMBRE 2025'!CH168</f>
        <v>0</v>
      </c>
    </row>
    <row r="169" spans="2:13">
      <c r="B169" s="141">
        <f>'SEPTIEMBRE 2025'!D169</f>
        <v>0</v>
      </c>
      <c r="C169" s="142">
        <f>'SEPTIEMBRE 2025'!E169</f>
        <v>0</v>
      </c>
      <c r="D169" s="89">
        <f>'SEPTIEMBRE 2025'!H169</f>
        <v>0</v>
      </c>
      <c r="E169" s="89">
        <f>'SEPTIEMBRE 2025'!I169</f>
        <v>0</v>
      </c>
      <c r="F169" s="89">
        <f>'SEPTIEMBRE 2025'!J169</f>
        <v>0</v>
      </c>
      <c r="G169" s="89">
        <f>'SEPTIEMBRE 2025'!U169</f>
        <v>0</v>
      </c>
      <c r="H169" s="89">
        <f>'SEPTIEMBRE 2025'!AY169</f>
        <v>0</v>
      </c>
      <c r="I169" s="89">
        <f>'SEPTIEMBRE 2025'!CC169</f>
        <v>0</v>
      </c>
      <c r="J169" s="89">
        <f>'SEPTIEMBRE 2025'!CD169</f>
        <v>0</v>
      </c>
      <c r="K169" s="89">
        <f>'SEPTIEMBRE 2025'!CF169</f>
        <v>0</v>
      </c>
      <c r="L169" s="89">
        <f>'SEPTIEMBRE 2025'!CG169</f>
        <v>0</v>
      </c>
      <c r="M169" s="89">
        <f>'SEPTIEMBRE 2025'!CH169</f>
        <v>0</v>
      </c>
    </row>
    <row r="170" spans="2:13">
      <c r="B170" s="141">
        <f>'SEPTIEMBRE 2025'!D170</f>
        <v>0</v>
      </c>
      <c r="C170" s="142">
        <f>'SEPTIEMBRE 2025'!E170</f>
        <v>0</v>
      </c>
      <c r="D170" s="89">
        <f>'SEPTIEMBRE 2025'!H170</f>
        <v>0</v>
      </c>
      <c r="E170" s="89">
        <f>'SEPTIEMBRE 2025'!I170</f>
        <v>0</v>
      </c>
      <c r="F170" s="89">
        <f>'SEPTIEMBRE 2025'!J170</f>
        <v>0</v>
      </c>
      <c r="G170" s="89">
        <f>'SEPTIEMBRE 2025'!U170</f>
        <v>0</v>
      </c>
      <c r="H170" s="89">
        <f>'SEPTIEMBRE 2025'!AY170</f>
        <v>0</v>
      </c>
      <c r="I170" s="89">
        <f>'SEPTIEMBRE 2025'!CC170</f>
        <v>0</v>
      </c>
      <c r="J170" s="89">
        <f>'SEPTIEMBRE 2025'!CD170</f>
        <v>0</v>
      </c>
      <c r="K170" s="89">
        <f>'SEPTIEMBRE 2025'!CF170</f>
        <v>0</v>
      </c>
      <c r="L170" s="89">
        <f>'SEPTIEMBRE 2025'!CG170</f>
        <v>0</v>
      </c>
      <c r="M170" s="89">
        <f>'SEPTIEMBRE 2025'!CH170</f>
        <v>0</v>
      </c>
    </row>
    <row r="171" spans="2:13">
      <c r="B171" s="141">
        <f>'SEPTIEMBRE 2025'!D171</f>
        <v>0</v>
      </c>
      <c r="C171" s="142">
        <f>'SEPTIEMBRE 2025'!E171</f>
        <v>0</v>
      </c>
      <c r="D171" s="89">
        <f>'SEPTIEMBRE 2025'!H171</f>
        <v>0</v>
      </c>
      <c r="E171" s="89">
        <f>'SEPTIEMBRE 2025'!I171</f>
        <v>0</v>
      </c>
      <c r="F171" s="89">
        <f>'SEPTIEMBRE 2025'!J171</f>
        <v>0</v>
      </c>
      <c r="G171" s="89">
        <f>'SEPTIEMBRE 2025'!U171</f>
        <v>0</v>
      </c>
      <c r="H171" s="89">
        <f>'SEPTIEMBRE 2025'!AY171</f>
        <v>0</v>
      </c>
      <c r="I171" s="89">
        <f>'SEPTIEMBRE 2025'!CC171</f>
        <v>0</v>
      </c>
      <c r="J171" s="89">
        <f>'SEPTIEMBRE 2025'!CD171</f>
        <v>0</v>
      </c>
      <c r="K171" s="89">
        <f>'SEPTIEMBRE 2025'!CF171</f>
        <v>0</v>
      </c>
      <c r="L171" s="89">
        <f>'SEPTIEMBRE 2025'!CG171</f>
        <v>0</v>
      </c>
      <c r="M171" s="89">
        <f>'SEPTIEMBRE 2025'!CH171</f>
        <v>0</v>
      </c>
    </row>
    <row r="172" spans="2:13">
      <c r="B172" s="141">
        <f>'SEPTIEMBRE 2025'!D172</f>
        <v>0</v>
      </c>
      <c r="C172" s="142">
        <f>'SEPTIEMBRE 2025'!E172</f>
        <v>0</v>
      </c>
      <c r="D172" s="89">
        <f>'SEPTIEMBRE 2025'!H172</f>
        <v>0</v>
      </c>
      <c r="E172" s="89">
        <f>'SEPTIEMBRE 2025'!I172</f>
        <v>0</v>
      </c>
      <c r="F172" s="89">
        <f>'SEPTIEMBRE 2025'!J172</f>
        <v>0</v>
      </c>
      <c r="G172" s="89">
        <f>'SEPTIEMBRE 2025'!U172</f>
        <v>0</v>
      </c>
      <c r="H172" s="89">
        <f>'SEPTIEMBRE 2025'!AY172</f>
        <v>0</v>
      </c>
      <c r="I172" s="89">
        <f>'SEPTIEMBRE 2025'!CC172</f>
        <v>0</v>
      </c>
      <c r="J172" s="89">
        <f>'SEPTIEMBRE 2025'!CD172</f>
        <v>0</v>
      </c>
      <c r="K172" s="89">
        <f>'SEPTIEMBRE 2025'!CF172</f>
        <v>0</v>
      </c>
      <c r="L172" s="89">
        <f>'SEPTIEMBRE 2025'!CG172</f>
        <v>0</v>
      </c>
      <c r="M172" s="89">
        <f>'SEPTIEMBRE 2025'!CH172</f>
        <v>0</v>
      </c>
    </row>
    <row r="173" spans="2:13">
      <c r="B173" s="141">
        <f>'SEPTIEMBRE 2025'!D173</f>
        <v>0</v>
      </c>
      <c r="C173" s="142">
        <f>'SEPTIEMBRE 2025'!E173</f>
        <v>0</v>
      </c>
      <c r="D173" s="89">
        <f>'SEPTIEMBRE 2025'!H173</f>
        <v>0</v>
      </c>
      <c r="E173" s="89">
        <f>'SEPTIEMBRE 2025'!I173</f>
        <v>0</v>
      </c>
      <c r="F173" s="89">
        <f>'SEPTIEMBRE 2025'!J173</f>
        <v>0</v>
      </c>
      <c r="G173" s="89">
        <f>'SEPTIEMBRE 2025'!U173</f>
        <v>0</v>
      </c>
      <c r="H173" s="89">
        <f>'SEPTIEMBRE 2025'!AY173</f>
        <v>0</v>
      </c>
      <c r="I173" s="89">
        <f>'SEPTIEMBRE 2025'!CC173</f>
        <v>0</v>
      </c>
      <c r="J173" s="89">
        <f>'SEPTIEMBRE 2025'!CD173</f>
        <v>0</v>
      </c>
      <c r="K173" s="89">
        <f>'SEPTIEMBRE 2025'!CF173</f>
        <v>0</v>
      </c>
      <c r="L173" s="89">
        <f>'SEPTIEMBRE 2025'!CG173</f>
        <v>0</v>
      </c>
      <c r="M173" s="89">
        <f>'SEPTIEMBRE 2025'!CH173</f>
        <v>0</v>
      </c>
    </row>
    <row r="174" spans="2:13">
      <c r="B174" s="141">
        <f>'SEPTIEMBRE 2025'!D174</f>
        <v>0</v>
      </c>
      <c r="C174" s="142">
        <f>'SEPTIEMBRE 2025'!E174</f>
        <v>0</v>
      </c>
      <c r="D174" s="89">
        <f>'SEPTIEMBRE 2025'!H174</f>
        <v>0</v>
      </c>
      <c r="E174" s="89">
        <f>'SEPTIEMBRE 2025'!I174</f>
        <v>0</v>
      </c>
      <c r="F174" s="89">
        <f>'SEPTIEMBRE 2025'!J174</f>
        <v>0</v>
      </c>
      <c r="G174" s="89">
        <f>'SEPTIEMBRE 2025'!U174</f>
        <v>0</v>
      </c>
      <c r="H174" s="89">
        <f>'SEPTIEMBRE 2025'!AY174</f>
        <v>0</v>
      </c>
      <c r="I174" s="89">
        <f>'SEPTIEMBRE 2025'!CC174</f>
        <v>0</v>
      </c>
      <c r="J174" s="89">
        <f>'SEPTIEMBRE 2025'!CD174</f>
        <v>0</v>
      </c>
      <c r="K174" s="89">
        <f>'SEPTIEMBRE 2025'!CF174</f>
        <v>0</v>
      </c>
      <c r="L174" s="89">
        <f>'SEPTIEMBRE 2025'!CG174</f>
        <v>0</v>
      </c>
      <c r="M174" s="89">
        <f>'SEPTIEMBRE 2025'!CH174</f>
        <v>0</v>
      </c>
    </row>
    <row r="175" spans="2:13">
      <c r="B175" s="141">
        <f>'SEPTIEMBRE 2025'!D175</f>
        <v>0</v>
      </c>
      <c r="C175" s="142">
        <f>'SEPTIEMBRE 2025'!E175</f>
        <v>0</v>
      </c>
      <c r="D175" s="89">
        <f>'SEPTIEMBRE 2025'!H175</f>
        <v>0</v>
      </c>
      <c r="E175" s="89">
        <f>'SEPTIEMBRE 2025'!I175</f>
        <v>0</v>
      </c>
      <c r="F175" s="89">
        <f>'SEPTIEMBRE 2025'!J175</f>
        <v>0</v>
      </c>
      <c r="G175" s="89">
        <f>'SEPTIEMBRE 2025'!U175</f>
        <v>0</v>
      </c>
      <c r="H175" s="89">
        <f>'SEPTIEMBRE 2025'!AY175</f>
        <v>0</v>
      </c>
      <c r="I175" s="89">
        <f>'SEPTIEMBRE 2025'!CC175</f>
        <v>0</v>
      </c>
      <c r="J175" s="89">
        <f>'SEPTIEMBRE 2025'!CD175</f>
        <v>0</v>
      </c>
      <c r="K175" s="89">
        <f>'SEPTIEMBRE 2025'!CF175</f>
        <v>0</v>
      </c>
      <c r="L175" s="89">
        <f>'SEPTIEMBRE 2025'!CG175</f>
        <v>0</v>
      </c>
      <c r="M175" s="89">
        <f>'SEPTIEMBRE 2025'!CH175</f>
        <v>0</v>
      </c>
    </row>
    <row r="176" spans="2:13">
      <c r="B176" s="141">
        <f>'SEPTIEMBRE 2025'!D176</f>
        <v>0</v>
      </c>
      <c r="C176" s="142">
        <f>'SEPTIEMBRE 2025'!E176</f>
        <v>0</v>
      </c>
      <c r="D176" s="89">
        <f>'SEPTIEMBRE 2025'!H176</f>
        <v>0</v>
      </c>
      <c r="E176" s="89">
        <f>'SEPTIEMBRE 2025'!I176</f>
        <v>0</v>
      </c>
      <c r="F176" s="89">
        <f>'SEPTIEMBRE 2025'!J176</f>
        <v>0</v>
      </c>
      <c r="G176" s="89">
        <f>'SEPTIEMBRE 2025'!U176</f>
        <v>0</v>
      </c>
      <c r="H176" s="89">
        <f>'SEPTIEMBRE 2025'!AY176</f>
        <v>0</v>
      </c>
      <c r="I176" s="89">
        <f>'SEPTIEMBRE 2025'!CC176</f>
        <v>0</v>
      </c>
      <c r="J176" s="89">
        <f>'SEPTIEMBRE 2025'!CD176</f>
        <v>0</v>
      </c>
      <c r="K176" s="89">
        <f>'SEPTIEMBRE 2025'!CF176</f>
        <v>0</v>
      </c>
      <c r="L176" s="89">
        <f>'SEPTIEMBRE 2025'!CG176</f>
        <v>0</v>
      </c>
      <c r="M176" s="89">
        <f>'SEPTIEMBRE 2025'!CH176</f>
        <v>0</v>
      </c>
    </row>
    <row r="177" spans="2:13">
      <c r="B177" s="141">
        <f>'SEPTIEMBRE 2025'!D177</f>
        <v>0</v>
      </c>
      <c r="C177" s="142">
        <f>'SEPTIEMBRE 2025'!E177</f>
        <v>0</v>
      </c>
      <c r="D177" s="89">
        <f>'SEPTIEMBRE 2025'!H177</f>
        <v>0</v>
      </c>
      <c r="E177" s="89">
        <f>'SEPTIEMBRE 2025'!I177</f>
        <v>0</v>
      </c>
      <c r="F177" s="89">
        <f>'SEPTIEMBRE 2025'!J177</f>
        <v>0</v>
      </c>
      <c r="G177" s="89">
        <f>'SEPTIEMBRE 2025'!U177</f>
        <v>0</v>
      </c>
      <c r="H177" s="89">
        <f>'SEPTIEMBRE 2025'!AY177</f>
        <v>0</v>
      </c>
      <c r="I177" s="89">
        <f>'SEPTIEMBRE 2025'!CC177</f>
        <v>0</v>
      </c>
      <c r="J177" s="89">
        <f>'SEPTIEMBRE 2025'!CD177</f>
        <v>0</v>
      </c>
      <c r="K177" s="89">
        <f>'SEPTIEMBRE 2025'!CF177</f>
        <v>0</v>
      </c>
      <c r="L177" s="89">
        <f>'SEPTIEMBRE 2025'!CG177</f>
        <v>0</v>
      </c>
      <c r="M177" s="89">
        <f>'SEPTIEMBRE 2025'!CH177</f>
        <v>0</v>
      </c>
    </row>
    <row r="178" spans="2:13">
      <c r="B178" s="141">
        <f>'SEPTIEMBRE 2025'!D178</f>
        <v>0</v>
      </c>
      <c r="C178" s="142">
        <f>'SEPTIEMBRE 2025'!E178</f>
        <v>0</v>
      </c>
      <c r="D178" s="89">
        <f>'SEPTIEMBRE 2025'!H178</f>
        <v>0</v>
      </c>
      <c r="E178" s="89">
        <f>'SEPTIEMBRE 2025'!I178</f>
        <v>0</v>
      </c>
      <c r="F178" s="89">
        <f>'SEPTIEMBRE 2025'!J178</f>
        <v>0</v>
      </c>
      <c r="G178" s="89">
        <f>'SEPTIEMBRE 2025'!U178</f>
        <v>0</v>
      </c>
      <c r="H178" s="89">
        <f>'SEPTIEMBRE 2025'!AY178</f>
        <v>0</v>
      </c>
      <c r="I178" s="89">
        <f>'SEPTIEMBRE 2025'!CC178</f>
        <v>0</v>
      </c>
      <c r="J178" s="89">
        <f>'SEPTIEMBRE 2025'!CD178</f>
        <v>0</v>
      </c>
      <c r="K178" s="89">
        <f>'SEPTIEMBRE 2025'!CF178</f>
        <v>0</v>
      </c>
      <c r="L178" s="89">
        <f>'SEPTIEMBRE 2025'!CG178</f>
        <v>0</v>
      </c>
      <c r="M178" s="89">
        <f>'SEPTIEMBRE 2025'!CH178</f>
        <v>0</v>
      </c>
    </row>
    <row r="179" spans="2:13">
      <c r="B179" s="141">
        <f>'SEPTIEMBRE 2025'!D179</f>
        <v>0</v>
      </c>
      <c r="C179" s="142">
        <f>'SEPTIEMBRE 2025'!E179</f>
        <v>0</v>
      </c>
      <c r="D179" s="89">
        <f>'SEPTIEMBRE 2025'!H179</f>
        <v>0</v>
      </c>
      <c r="E179" s="89">
        <f>'SEPTIEMBRE 2025'!I179</f>
        <v>0</v>
      </c>
      <c r="F179" s="89">
        <f>'SEPTIEMBRE 2025'!J179</f>
        <v>0</v>
      </c>
      <c r="G179" s="89">
        <f>'SEPTIEMBRE 2025'!U179</f>
        <v>0</v>
      </c>
      <c r="H179" s="89">
        <f>'SEPTIEMBRE 2025'!AY179</f>
        <v>0</v>
      </c>
      <c r="I179" s="89">
        <f>'SEPTIEMBRE 2025'!CC179</f>
        <v>0</v>
      </c>
      <c r="J179" s="89">
        <f>'SEPTIEMBRE 2025'!CD179</f>
        <v>0</v>
      </c>
      <c r="K179" s="89">
        <f>'SEPTIEMBRE 2025'!CF179</f>
        <v>0</v>
      </c>
      <c r="L179" s="89">
        <f>'SEPTIEMBRE 2025'!CG179</f>
        <v>0</v>
      </c>
      <c r="M179" s="89">
        <f>'SEPTIEMBRE 2025'!CH179</f>
        <v>0</v>
      </c>
    </row>
    <row r="180" spans="2:13">
      <c r="B180" s="141">
        <f>'SEPTIEMBRE 2025'!D180</f>
        <v>0</v>
      </c>
      <c r="C180" s="142">
        <f>'SEPTIEMBRE 2025'!E180</f>
        <v>0</v>
      </c>
      <c r="D180" s="89">
        <f>'SEPTIEMBRE 2025'!H180</f>
        <v>0</v>
      </c>
      <c r="E180" s="89">
        <f>'SEPTIEMBRE 2025'!I180</f>
        <v>0</v>
      </c>
      <c r="F180" s="89">
        <f>'SEPTIEMBRE 2025'!J180</f>
        <v>0</v>
      </c>
      <c r="G180" s="89">
        <f>'SEPTIEMBRE 2025'!U180</f>
        <v>0</v>
      </c>
      <c r="H180" s="89">
        <f>'SEPTIEMBRE 2025'!AY180</f>
        <v>0</v>
      </c>
      <c r="I180" s="89">
        <f>'SEPTIEMBRE 2025'!CC180</f>
        <v>0</v>
      </c>
      <c r="J180" s="89">
        <f>'SEPTIEMBRE 2025'!CD180</f>
        <v>0</v>
      </c>
      <c r="K180" s="89">
        <f>'SEPTIEMBRE 2025'!CF180</f>
        <v>0</v>
      </c>
      <c r="L180" s="89">
        <f>'SEPTIEMBRE 2025'!CG180</f>
        <v>0</v>
      </c>
      <c r="M180" s="89">
        <f>'SEPTIEMBRE 2025'!CH180</f>
        <v>0</v>
      </c>
    </row>
    <row r="181" spans="2:13">
      <c r="B181" s="141">
        <f>'SEPTIEMBRE 2025'!D181</f>
        <v>0</v>
      </c>
      <c r="C181" s="142">
        <f>'SEPTIEMBRE 2025'!E181</f>
        <v>0</v>
      </c>
      <c r="D181" s="89">
        <f>'SEPTIEMBRE 2025'!H181</f>
        <v>0</v>
      </c>
      <c r="E181" s="89">
        <f>'SEPTIEMBRE 2025'!I181</f>
        <v>0</v>
      </c>
      <c r="F181" s="89">
        <f>'SEPTIEMBRE 2025'!J181</f>
        <v>0</v>
      </c>
      <c r="G181" s="89">
        <f>'SEPTIEMBRE 2025'!U181</f>
        <v>0</v>
      </c>
      <c r="H181" s="89">
        <f>'SEPTIEMBRE 2025'!AY181</f>
        <v>0</v>
      </c>
      <c r="I181" s="89">
        <f>'SEPTIEMBRE 2025'!CC181</f>
        <v>0</v>
      </c>
      <c r="J181" s="89">
        <f>'SEPTIEMBRE 2025'!CD181</f>
        <v>0</v>
      </c>
      <c r="K181" s="89">
        <f>'SEPTIEMBRE 2025'!CF181</f>
        <v>0</v>
      </c>
      <c r="L181" s="89">
        <f>'SEPTIEMBRE 2025'!CG181</f>
        <v>0</v>
      </c>
      <c r="M181" s="89">
        <f>'SEPTIEMBRE 2025'!CH181</f>
        <v>0</v>
      </c>
    </row>
    <row r="182" spans="2:13">
      <c r="B182" s="141">
        <f>'SEPTIEMBRE 2025'!D182</f>
        <v>0</v>
      </c>
      <c r="C182" s="142">
        <f>'SEPTIEMBRE 2025'!E182</f>
        <v>0</v>
      </c>
      <c r="D182" s="89">
        <f>'SEPTIEMBRE 2025'!H182</f>
        <v>0</v>
      </c>
      <c r="E182" s="89">
        <f>'SEPTIEMBRE 2025'!I182</f>
        <v>0</v>
      </c>
      <c r="F182" s="89">
        <f>'SEPTIEMBRE 2025'!J182</f>
        <v>0</v>
      </c>
      <c r="G182" s="89">
        <f>'SEPTIEMBRE 2025'!U182</f>
        <v>0</v>
      </c>
      <c r="H182" s="89">
        <f>'SEPTIEMBRE 2025'!AY182</f>
        <v>0</v>
      </c>
      <c r="I182" s="89">
        <f>'SEPTIEMBRE 2025'!CC182</f>
        <v>0</v>
      </c>
      <c r="J182" s="89">
        <f>'SEPTIEMBRE 2025'!CD182</f>
        <v>0</v>
      </c>
      <c r="K182" s="89">
        <f>'SEPTIEMBRE 2025'!CF182</f>
        <v>0</v>
      </c>
      <c r="L182" s="89">
        <f>'SEPTIEMBRE 2025'!CG182</f>
        <v>0</v>
      </c>
      <c r="M182" s="89">
        <f>'SEPTIEMBRE 2025'!CH182</f>
        <v>0</v>
      </c>
    </row>
    <row r="183" spans="2:13">
      <c r="B183" s="141">
        <f>'SEPTIEMBRE 2025'!D183</f>
        <v>0</v>
      </c>
      <c r="C183" s="142">
        <f>'SEPTIEMBRE 2025'!E183</f>
        <v>0</v>
      </c>
      <c r="D183" s="89">
        <f>'SEPTIEMBRE 2025'!H183</f>
        <v>0</v>
      </c>
      <c r="E183" s="89">
        <f>'SEPTIEMBRE 2025'!I183</f>
        <v>0</v>
      </c>
      <c r="F183" s="89">
        <f>'SEPTIEMBRE 2025'!J183</f>
        <v>0</v>
      </c>
      <c r="G183" s="89">
        <f>'SEPTIEMBRE 2025'!U183</f>
        <v>0</v>
      </c>
      <c r="H183" s="89">
        <f>'SEPTIEMBRE 2025'!AY183</f>
        <v>0</v>
      </c>
      <c r="I183" s="89">
        <f>'SEPTIEMBRE 2025'!CC183</f>
        <v>0</v>
      </c>
      <c r="J183" s="89">
        <f>'SEPTIEMBRE 2025'!CD183</f>
        <v>0</v>
      </c>
      <c r="K183" s="89">
        <f>'SEPTIEMBRE 2025'!CF183</f>
        <v>0</v>
      </c>
      <c r="L183" s="89">
        <f>'SEPTIEMBRE 2025'!CG183</f>
        <v>0</v>
      </c>
      <c r="M183" s="89">
        <f>'SEPTIEMBRE 2025'!CH183</f>
        <v>0</v>
      </c>
    </row>
    <row r="184" spans="2:13">
      <c r="B184" s="141">
        <f>'SEPTIEMBRE 2025'!D184</f>
        <v>0</v>
      </c>
      <c r="C184" s="142">
        <f>'SEPTIEMBRE 2025'!E184</f>
        <v>0</v>
      </c>
      <c r="D184" s="89">
        <f>'SEPTIEMBRE 2025'!H184</f>
        <v>0</v>
      </c>
      <c r="E184" s="89">
        <f>'SEPTIEMBRE 2025'!I184</f>
        <v>0</v>
      </c>
      <c r="F184" s="89">
        <f>'SEPTIEMBRE 2025'!J184</f>
        <v>0</v>
      </c>
      <c r="G184" s="89">
        <f>'SEPTIEMBRE 2025'!U184</f>
        <v>0</v>
      </c>
      <c r="H184" s="89">
        <f>'SEPTIEMBRE 2025'!AY184</f>
        <v>0</v>
      </c>
      <c r="I184" s="89">
        <f>'SEPTIEMBRE 2025'!CC184</f>
        <v>0</v>
      </c>
      <c r="J184" s="89">
        <f>'SEPTIEMBRE 2025'!CD184</f>
        <v>0</v>
      </c>
      <c r="K184" s="89">
        <f>'SEPTIEMBRE 2025'!CF184</f>
        <v>0</v>
      </c>
      <c r="L184" s="89">
        <f>'SEPTIEMBRE 2025'!CG184</f>
        <v>0</v>
      </c>
      <c r="M184" s="89">
        <f>'SEPTIEMBRE 2025'!CH184</f>
        <v>0</v>
      </c>
    </row>
    <row r="185" spans="2:13">
      <c r="B185" s="141">
        <f>'SEPTIEMBRE 2025'!D185</f>
        <v>0</v>
      </c>
      <c r="C185" s="142">
        <f>'SEPTIEMBRE 2025'!E185</f>
        <v>0</v>
      </c>
      <c r="D185" s="89">
        <f>'SEPTIEMBRE 2025'!H185</f>
        <v>0</v>
      </c>
      <c r="E185" s="89">
        <f>'SEPTIEMBRE 2025'!I185</f>
        <v>0</v>
      </c>
      <c r="F185" s="89">
        <f>'SEPTIEMBRE 2025'!J185</f>
        <v>0</v>
      </c>
      <c r="G185" s="89">
        <f>'SEPTIEMBRE 2025'!U185</f>
        <v>0</v>
      </c>
      <c r="H185" s="89">
        <f>'SEPTIEMBRE 2025'!AY185</f>
        <v>0</v>
      </c>
      <c r="I185" s="89">
        <f>'SEPTIEMBRE 2025'!CC185</f>
        <v>0</v>
      </c>
      <c r="J185" s="89">
        <f>'SEPTIEMBRE 2025'!CD185</f>
        <v>0</v>
      </c>
      <c r="K185" s="89">
        <f>'SEPTIEMBRE 2025'!CF185</f>
        <v>0</v>
      </c>
      <c r="L185" s="89">
        <f>'SEPTIEMBRE 2025'!CG185</f>
        <v>0</v>
      </c>
      <c r="M185" s="89">
        <f>'SEPTIEMBRE 2025'!CH185</f>
        <v>0</v>
      </c>
    </row>
    <row r="186" spans="2:13">
      <c r="B186" s="141">
        <f>'SEPTIEMBRE 2025'!D186</f>
        <v>0</v>
      </c>
      <c r="C186" s="142">
        <f>'SEPTIEMBRE 2025'!E186</f>
        <v>0</v>
      </c>
      <c r="D186" s="89">
        <f>'SEPTIEMBRE 2025'!H186</f>
        <v>0</v>
      </c>
      <c r="E186" s="89">
        <f>'SEPTIEMBRE 2025'!I186</f>
        <v>0</v>
      </c>
      <c r="F186" s="89">
        <f>'SEPTIEMBRE 2025'!J186</f>
        <v>0</v>
      </c>
      <c r="G186" s="89">
        <f>'SEPTIEMBRE 2025'!U186</f>
        <v>0</v>
      </c>
      <c r="H186" s="89">
        <f>'SEPTIEMBRE 2025'!AY186</f>
        <v>0</v>
      </c>
      <c r="I186" s="89">
        <f>'SEPTIEMBRE 2025'!CC186</f>
        <v>0</v>
      </c>
      <c r="J186" s="89">
        <f>'SEPTIEMBRE 2025'!CD186</f>
        <v>0</v>
      </c>
      <c r="K186" s="89">
        <f>'SEPTIEMBRE 2025'!CF186</f>
        <v>0</v>
      </c>
      <c r="L186" s="89">
        <f>'SEPTIEMBRE 2025'!CG186</f>
        <v>0</v>
      </c>
      <c r="M186" s="89">
        <f>'SEPTIEMBRE 2025'!CH186</f>
        <v>0</v>
      </c>
    </row>
    <row r="187" spans="2:13">
      <c r="B187" s="141">
        <f>'SEPTIEMBRE 2025'!D187</f>
        <v>0</v>
      </c>
      <c r="C187" s="142">
        <f>'SEPTIEMBRE 2025'!E187</f>
        <v>0</v>
      </c>
      <c r="D187" s="89">
        <f>'SEPTIEMBRE 2025'!H187</f>
        <v>0</v>
      </c>
      <c r="E187" s="89">
        <f>'SEPTIEMBRE 2025'!I187</f>
        <v>0</v>
      </c>
      <c r="F187" s="89">
        <f>'SEPTIEMBRE 2025'!J187</f>
        <v>0</v>
      </c>
      <c r="G187" s="89">
        <f>'SEPTIEMBRE 2025'!U187</f>
        <v>0</v>
      </c>
      <c r="H187" s="89">
        <f>'SEPTIEMBRE 2025'!AY187</f>
        <v>0</v>
      </c>
      <c r="I187" s="89">
        <f>'SEPTIEMBRE 2025'!CC187</f>
        <v>0</v>
      </c>
      <c r="J187" s="89">
        <f>'SEPTIEMBRE 2025'!CD187</f>
        <v>0</v>
      </c>
      <c r="K187" s="89">
        <f>'SEPTIEMBRE 2025'!CF187</f>
        <v>0</v>
      </c>
      <c r="L187" s="89">
        <f>'SEPTIEMBRE 2025'!CG187</f>
        <v>0</v>
      </c>
      <c r="M187" s="89">
        <f>'SEPTIEMBRE 2025'!CH187</f>
        <v>0</v>
      </c>
    </row>
    <row r="188" spans="2:13">
      <c r="B188" s="141">
        <f>'SEPTIEMBRE 2025'!D188</f>
        <v>0</v>
      </c>
      <c r="C188" s="142">
        <f>'SEPTIEMBRE 2025'!E188</f>
        <v>0</v>
      </c>
      <c r="D188" s="89">
        <f>'SEPTIEMBRE 2025'!H188</f>
        <v>0</v>
      </c>
      <c r="E188" s="89">
        <f>'SEPTIEMBRE 2025'!I188</f>
        <v>0</v>
      </c>
      <c r="F188" s="89">
        <f>'SEPTIEMBRE 2025'!J188</f>
        <v>0</v>
      </c>
      <c r="G188" s="89">
        <f>'SEPTIEMBRE 2025'!U188</f>
        <v>0</v>
      </c>
      <c r="H188" s="89">
        <f>'SEPTIEMBRE 2025'!AY188</f>
        <v>0</v>
      </c>
      <c r="I188" s="89">
        <f>'SEPTIEMBRE 2025'!CC188</f>
        <v>0</v>
      </c>
      <c r="J188" s="89">
        <f>'SEPTIEMBRE 2025'!CD188</f>
        <v>0</v>
      </c>
      <c r="K188" s="89">
        <f>'SEPTIEMBRE 2025'!CF188</f>
        <v>0</v>
      </c>
      <c r="L188" s="89">
        <f>'SEPTIEMBRE 2025'!CG188</f>
        <v>0</v>
      </c>
      <c r="M188" s="89">
        <f>'SEPTIEMBRE 2025'!CH188</f>
        <v>0</v>
      </c>
    </row>
    <row r="189" spans="2:13">
      <c r="B189" s="141">
        <f>'SEPTIEMBRE 2025'!D189</f>
        <v>0</v>
      </c>
      <c r="C189" s="142">
        <f>'SEPTIEMBRE 2025'!E189</f>
        <v>0</v>
      </c>
      <c r="D189" s="89">
        <f>'SEPTIEMBRE 2025'!H189</f>
        <v>0</v>
      </c>
      <c r="E189" s="89">
        <f>'SEPTIEMBRE 2025'!I189</f>
        <v>0</v>
      </c>
      <c r="F189" s="89">
        <f>'SEPTIEMBRE 2025'!J189</f>
        <v>0</v>
      </c>
      <c r="G189" s="89">
        <f>'SEPTIEMBRE 2025'!U189</f>
        <v>0</v>
      </c>
      <c r="H189" s="89">
        <f>'SEPTIEMBRE 2025'!AY189</f>
        <v>0</v>
      </c>
      <c r="I189" s="89">
        <f>'SEPTIEMBRE 2025'!CC189</f>
        <v>0</v>
      </c>
      <c r="J189" s="89">
        <f>'SEPTIEMBRE 2025'!CD189</f>
        <v>0</v>
      </c>
      <c r="K189" s="89">
        <f>'SEPTIEMBRE 2025'!CF189</f>
        <v>0</v>
      </c>
      <c r="L189" s="89">
        <f>'SEPTIEMBRE 2025'!CG189</f>
        <v>0</v>
      </c>
      <c r="M189" s="89">
        <f>'SEPTIEMBRE 2025'!CH189</f>
        <v>0</v>
      </c>
    </row>
    <row r="190" spans="2:13">
      <c r="B190" s="141">
        <f>'SEPTIEMBRE 2025'!D190</f>
        <v>0</v>
      </c>
      <c r="C190" s="142">
        <f>'SEPTIEMBRE 2025'!E190</f>
        <v>0</v>
      </c>
      <c r="D190" s="89">
        <f>'SEPTIEMBRE 2025'!H190</f>
        <v>0</v>
      </c>
      <c r="E190" s="89">
        <f>'SEPTIEMBRE 2025'!I190</f>
        <v>0</v>
      </c>
      <c r="F190" s="89">
        <f>'SEPTIEMBRE 2025'!J190</f>
        <v>0</v>
      </c>
      <c r="G190" s="89">
        <f>'SEPTIEMBRE 2025'!U190</f>
        <v>0</v>
      </c>
      <c r="H190" s="89">
        <f>'SEPTIEMBRE 2025'!AY190</f>
        <v>0</v>
      </c>
      <c r="I190" s="89">
        <f>'SEPTIEMBRE 2025'!CC190</f>
        <v>0</v>
      </c>
      <c r="J190" s="89">
        <f>'SEPTIEMBRE 2025'!CD190</f>
        <v>0</v>
      </c>
      <c r="K190" s="89">
        <f>'SEPTIEMBRE 2025'!CF190</f>
        <v>0</v>
      </c>
      <c r="L190" s="89">
        <f>'SEPTIEMBRE 2025'!CG190</f>
        <v>0</v>
      </c>
      <c r="M190" s="89">
        <f>'SEPTIEMBRE 2025'!CH190</f>
        <v>0</v>
      </c>
    </row>
    <row r="191" spans="2:13">
      <c r="B191" s="141">
        <f>'SEPTIEMBRE 2025'!D191</f>
        <v>0</v>
      </c>
      <c r="C191" s="142">
        <f>'SEPTIEMBRE 2025'!E191</f>
        <v>0</v>
      </c>
      <c r="D191" s="89">
        <f>'SEPTIEMBRE 2025'!H191</f>
        <v>0</v>
      </c>
      <c r="E191" s="89">
        <f>'SEPTIEMBRE 2025'!I191</f>
        <v>0</v>
      </c>
      <c r="F191" s="89">
        <f>'SEPTIEMBRE 2025'!J191</f>
        <v>0</v>
      </c>
      <c r="G191" s="89">
        <f>'SEPTIEMBRE 2025'!U191</f>
        <v>0</v>
      </c>
      <c r="H191" s="89">
        <f>'SEPTIEMBRE 2025'!AY191</f>
        <v>0</v>
      </c>
      <c r="I191" s="89">
        <f>'SEPTIEMBRE 2025'!CC191</f>
        <v>0</v>
      </c>
      <c r="J191" s="89">
        <f>'SEPTIEMBRE 2025'!CD191</f>
        <v>0</v>
      </c>
      <c r="K191" s="89">
        <f>'SEPTIEMBRE 2025'!CF191</f>
        <v>0</v>
      </c>
      <c r="L191" s="89">
        <f>'SEPTIEMBRE 2025'!CG191</f>
        <v>0</v>
      </c>
      <c r="M191" s="89">
        <f>'SEPTIEMBRE 2025'!CH191</f>
        <v>0</v>
      </c>
    </row>
    <row r="192" spans="2:13">
      <c r="B192" s="141">
        <f>'SEPTIEMBRE 2025'!D192</f>
        <v>0</v>
      </c>
      <c r="C192" s="142">
        <f>'SEPTIEMBRE 2025'!E192</f>
        <v>0</v>
      </c>
      <c r="D192" s="89">
        <f>'SEPTIEMBRE 2025'!H192</f>
        <v>0</v>
      </c>
      <c r="E192" s="89">
        <f>'SEPTIEMBRE 2025'!I192</f>
        <v>0</v>
      </c>
      <c r="F192" s="89">
        <f>'SEPTIEMBRE 2025'!J192</f>
        <v>0</v>
      </c>
      <c r="G192" s="89">
        <f>'SEPTIEMBRE 2025'!U192</f>
        <v>0</v>
      </c>
      <c r="H192" s="89">
        <f>'SEPTIEMBRE 2025'!AY192</f>
        <v>0</v>
      </c>
      <c r="I192" s="89">
        <f>'SEPTIEMBRE 2025'!CC192</f>
        <v>0</v>
      </c>
      <c r="J192" s="89">
        <f>'SEPTIEMBRE 2025'!CD192</f>
        <v>0</v>
      </c>
      <c r="K192" s="89">
        <f>'SEPTIEMBRE 2025'!CF192</f>
        <v>0</v>
      </c>
      <c r="L192" s="89">
        <f>'SEPTIEMBRE 2025'!CG192</f>
        <v>0</v>
      </c>
      <c r="M192" s="89">
        <f>'SEPTIEMBRE 2025'!CH192</f>
        <v>0</v>
      </c>
    </row>
    <row r="193" spans="2:13">
      <c r="B193" s="141">
        <f>'SEPTIEMBRE 2025'!D193</f>
        <v>0</v>
      </c>
      <c r="C193" s="142">
        <f>'SEPTIEMBRE 2025'!E193</f>
        <v>0</v>
      </c>
      <c r="D193" s="89">
        <f>'SEPTIEMBRE 2025'!H193</f>
        <v>0</v>
      </c>
      <c r="E193" s="89">
        <f>'SEPTIEMBRE 2025'!I193</f>
        <v>0</v>
      </c>
      <c r="F193" s="89">
        <f>'SEPTIEMBRE 2025'!J193</f>
        <v>0</v>
      </c>
      <c r="G193" s="89">
        <f>'SEPTIEMBRE 2025'!U193</f>
        <v>0</v>
      </c>
      <c r="H193" s="89">
        <f>'SEPTIEMBRE 2025'!AY193</f>
        <v>0</v>
      </c>
      <c r="I193" s="89">
        <f>'SEPTIEMBRE 2025'!CC193</f>
        <v>0</v>
      </c>
      <c r="J193" s="89">
        <f>'SEPTIEMBRE 2025'!CD193</f>
        <v>0</v>
      </c>
      <c r="K193" s="89">
        <f>'SEPTIEMBRE 2025'!CF193</f>
        <v>0</v>
      </c>
      <c r="L193" s="89">
        <f>'SEPTIEMBRE 2025'!CG193</f>
        <v>0</v>
      </c>
      <c r="M193" s="89">
        <f>'SEPTIEMBRE 2025'!CH193</f>
        <v>0</v>
      </c>
    </row>
    <row r="194" spans="2:13">
      <c r="B194" s="141">
        <f>'SEPTIEMBRE 2025'!D194</f>
        <v>0</v>
      </c>
      <c r="C194" s="142">
        <f>'SEPTIEMBRE 2025'!E194</f>
        <v>0</v>
      </c>
      <c r="D194" s="89">
        <f>'SEPTIEMBRE 2025'!H194</f>
        <v>0</v>
      </c>
      <c r="E194" s="89">
        <f>'SEPTIEMBRE 2025'!I194</f>
        <v>0</v>
      </c>
      <c r="F194" s="89">
        <f>'SEPTIEMBRE 2025'!J194</f>
        <v>0</v>
      </c>
      <c r="G194" s="89">
        <f>'SEPTIEMBRE 2025'!U194</f>
        <v>0</v>
      </c>
      <c r="H194" s="89">
        <f>'SEPTIEMBRE 2025'!AY194</f>
        <v>0</v>
      </c>
      <c r="I194" s="89">
        <f>'SEPTIEMBRE 2025'!CC194</f>
        <v>0</v>
      </c>
      <c r="J194" s="89">
        <f>'SEPTIEMBRE 2025'!CD194</f>
        <v>0</v>
      </c>
      <c r="K194" s="89">
        <f>'SEPTIEMBRE 2025'!CF194</f>
        <v>0</v>
      </c>
      <c r="L194" s="89">
        <f>'SEPTIEMBRE 2025'!CG194</f>
        <v>0</v>
      </c>
      <c r="M194" s="89">
        <f>'SEPTIEMBRE 2025'!CH194</f>
        <v>0</v>
      </c>
    </row>
    <row r="195" spans="2:13">
      <c r="B195" s="141">
        <f>'SEPTIEMBRE 2025'!D195</f>
        <v>0</v>
      </c>
      <c r="C195" s="142">
        <f>'SEPTIEMBRE 2025'!E195</f>
        <v>0</v>
      </c>
      <c r="D195" s="89">
        <f>'SEPTIEMBRE 2025'!H195</f>
        <v>0</v>
      </c>
      <c r="E195" s="89">
        <f>'SEPTIEMBRE 2025'!I195</f>
        <v>0</v>
      </c>
      <c r="F195" s="89">
        <f>'SEPTIEMBRE 2025'!J195</f>
        <v>0</v>
      </c>
      <c r="G195" s="89">
        <f>'SEPTIEMBRE 2025'!U195</f>
        <v>0</v>
      </c>
      <c r="H195" s="89">
        <f>'SEPTIEMBRE 2025'!AY195</f>
        <v>0</v>
      </c>
      <c r="I195" s="89">
        <f>'SEPTIEMBRE 2025'!CC195</f>
        <v>0</v>
      </c>
      <c r="J195" s="89">
        <f>'SEPTIEMBRE 2025'!CD195</f>
        <v>0</v>
      </c>
      <c r="K195" s="89">
        <f>'SEPTIEMBRE 2025'!CF195</f>
        <v>0</v>
      </c>
      <c r="L195" s="89">
        <f>'SEPTIEMBRE 2025'!CG195</f>
        <v>0</v>
      </c>
      <c r="M195" s="89">
        <f>'SEPTIEMBRE 2025'!CH195</f>
        <v>0</v>
      </c>
    </row>
    <row r="196" spans="2:13">
      <c r="B196" s="141">
        <f>'SEPTIEMBRE 2025'!D196</f>
        <v>0</v>
      </c>
      <c r="C196" s="142">
        <f>'SEPTIEMBRE 2025'!E196</f>
        <v>0</v>
      </c>
      <c r="D196" s="89">
        <f>'SEPTIEMBRE 2025'!H196</f>
        <v>0</v>
      </c>
      <c r="E196" s="89">
        <f>'SEPTIEMBRE 2025'!I196</f>
        <v>0</v>
      </c>
      <c r="F196" s="89">
        <f>'SEPTIEMBRE 2025'!J196</f>
        <v>0</v>
      </c>
      <c r="G196" s="89">
        <f>'SEPTIEMBRE 2025'!U196</f>
        <v>0</v>
      </c>
      <c r="H196" s="89">
        <f>'SEPTIEMBRE 2025'!AY196</f>
        <v>0</v>
      </c>
      <c r="I196" s="89">
        <f>'SEPTIEMBRE 2025'!CC196</f>
        <v>0</v>
      </c>
      <c r="J196" s="89">
        <f>'SEPTIEMBRE 2025'!CD196</f>
        <v>0</v>
      </c>
      <c r="K196" s="89">
        <f>'SEPTIEMBRE 2025'!CF196</f>
        <v>0</v>
      </c>
      <c r="L196" s="89">
        <f>'SEPTIEMBRE 2025'!CG196</f>
        <v>0</v>
      </c>
      <c r="M196" s="89">
        <f>'SEPTIEMBRE 2025'!CH196</f>
        <v>0</v>
      </c>
    </row>
    <row r="197" spans="2:13">
      <c r="B197" s="141">
        <f>'SEPTIEMBRE 2025'!D197</f>
        <v>0</v>
      </c>
      <c r="C197" s="142">
        <f>'SEPTIEMBRE 2025'!E197</f>
        <v>0</v>
      </c>
      <c r="D197" s="89">
        <f>'SEPTIEMBRE 2025'!H197</f>
        <v>0</v>
      </c>
      <c r="E197" s="89">
        <f>'SEPTIEMBRE 2025'!I197</f>
        <v>0</v>
      </c>
      <c r="F197" s="89">
        <f>'SEPTIEMBRE 2025'!J197</f>
        <v>0</v>
      </c>
      <c r="G197" s="89">
        <f>'SEPTIEMBRE 2025'!U197</f>
        <v>0</v>
      </c>
      <c r="H197" s="89">
        <f>'SEPTIEMBRE 2025'!AY197</f>
        <v>0</v>
      </c>
      <c r="I197" s="89">
        <f>'SEPTIEMBRE 2025'!CC197</f>
        <v>0</v>
      </c>
      <c r="J197" s="89">
        <f>'SEPTIEMBRE 2025'!CD197</f>
        <v>0</v>
      </c>
      <c r="K197" s="89">
        <f>'SEPTIEMBRE 2025'!CF197</f>
        <v>0</v>
      </c>
      <c r="L197" s="89">
        <f>'SEPTIEMBRE 2025'!CG197</f>
        <v>0</v>
      </c>
      <c r="M197" s="89">
        <f>'SEPTIEMBRE 2025'!CH197</f>
        <v>0</v>
      </c>
    </row>
    <row r="198" spans="2:13">
      <c r="B198" s="141">
        <f>'SEPTIEMBRE 2025'!D198</f>
        <v>0</v>
      </c>
      <c r="C198" s="142">
        <f>'SEPTIEMBRE 2025'!E198</f>
        <v>0</v>
      </c>
      <c r="D198" s="89">
        <f>'SEPTIEMBRE 2025'!H198</f>
        <v>0</v>
      </c>
      <c r="E198" s="89">
        <f>'SEPTIEMBRE 2025'!I198</f>
        <v>0</v>
      </c>
      <c r="F198" s="89">
        <f>'SEPTIEMBRE 2025'!J198</f>
        <v>0</v>
      </c>
      <c r="G198" s="89">
        <f>'SEPTIEMBRE 2025'!U198</f>
        <v>0</v>
      </c>
      <c r="H198" s="89">
        <f>'SEPTIEMBRE 2025'!AY198</f>
        <v>0</v>
      </c>
      <c r="I198" s="89">
        <f>'SEPTIEMBRE 2025'!CC198</f>
        <v>0</v>
      </c>
      <c r="J198" s="89">
        <f>'SEPTIEMBRE 2025'!CD198</f>
        <v>0</v>
      </c>
      <c r="K198" s="89">
        <f>'SEPTIEMBRE 2025'!CF198</f>
        <v>0</v>
      </c>
      <c r="L198" s="89">
        <f>'SEPTIEMBRE 2025'!CG198</f>
        <v>0</v>
      </c>
      <c r="M198" s="89">
        <f>'SEPTIEMBRE 2025'!CH198</f>
        <v>0</v>
      </c>
    </row>
    <row r="199" spans="2:13">
      <c r="B199" s="141">
        <f>'SEPTIEMBRE 2025'!D199</f>
        <v>0</v>
      </c>
      <c r="C199" s="142">
        <f>'SEPTIEMBRE 2025'!E199</f>
        <v>0</v>
      </c>
      <c r="D199" s="89">
        <f>'SEPTIEMBRE 2025'!H199</f>
        <v>0</v>
      </c>
      <c r="E199" s="89">
        <f>'SEPTIEMBRE 2025'!I199</f>
        <v>0</v>
      </c>
      <c r="F199" s="89">
        <f>'SEPTIEMBRE 2025'!J199</f>
        <v>0</v>
      </c>
      <c r="G199" s="89">
        <f>'SEPTIEMBRE 2025'!U199</f>
        <v>0</v>
      </c>
      <c r="H199" s="89">
        <f>'SEPTIEMBRE 2025'!AY199</f>
        <v>0</v>
      </c>
      <c r="I199" s="89">
        <f>'SEPTIEMBRE 2025'!CC199</f>
        <v>0</v>
      </c>
      <c r="J199" s="89">
        <f>'SEPTIEMBRE 2025'!CD199</f>
        <v>0</v>
      </c>
      <c r="K199" s="89">
        <f>'SEPTIEMBRE 2025'!CF199</f>
        <v>0</v>
      </c>
      <c r="L199" s="89">
        <f>'SEPTIEMBRE 2025'!CG199</f>
        <v>0</v>
      </c>
      <c r="M199" s="89">
        <f>'SEPTIEMBRE 2025'!CH199</f>
        <v>0</v>
      </c>
    </row>
    <row r="200" spans="2:13">
      <c r="B200" s="141">
        <f>'SEPTIEMBRE 2025'!D200</f>
        <v>0</v>
      </c>
      <c r="C200" s="142">
        <f>'SEPTIEMBRE 2025'!E200</f>
        <v>0</v>
      </c>
      <c r="D200" s="89">
        <f>'SEPTIEMBRE 2025'!H200</f>
        <v>0</v>
      </c>
      <c r="E200" s="89">
        <f>'SEPTIEMBRE 2025'!I200</f>
        <v>0</v>
      </c>
      <c r="F200" s="89">
        <f>'SEPTIEMBRE 2025'!J200</f>
        <v>0</v>
      </c>
      <c r="G200" s="89">
        <f>'SEPTIEMBRE 2025'!U200</f>
        <v>0</v>
      </c>
      <c r="H200" s="89">
        <f>'SEPTIEMBRE 2025'!AY200</f>
        <v>0</v>
      </c>
      <c r="I200" s="89">
        <f>'SEPTIEMBRE 2025'!CC200</f>
        <v>0</v>
      </c>
      <c r="J200" s="89">
        <f>'SEPTIEMBRE 2025'!CD200</f>
        <v>0</v>
      </c>
      <c r="K200" s="89">
        <f>'SEPTIEMBRE 2025'!CF200</f>
        <v>0</v>
      </c>
      <c r="L200" s="89">
        <f>'SEPTIEMBRE 2025'!CG200</f>
        <v>0</v>
      </c>
      <c r="M200" s="89">
        <f>'SEPTIEMBRE 2025'!CH200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E22" sqref="E22"/>
    </sheetView>
  </sheetViews>
  <sheetFormatPr baseColWidth="10" defaultRowHeight="15"/>
  <cols>
    <col min="2" max="2" width="15" bestFit="1" customWidth="1"/>
    <col min="3" max="5" width="23.28515625" customWidth="1"/>
  </cols>
  <sheetData>
    <row r="2" spans="1:10" ht="15.75" thickBot="1"/>
    <row r="3" spans="1:10" ht="24.75" customHeight="1">
      <c r="B3" s="126" t="s">
        <v>338</v>
      </c>
      <c r="C3" s="380" t="s">
        <v>339</v>
      </c>
      <c r="D3" s="380"/>
      <c r="E3" s="381"/>
    </row>
    <row r="4" spans="1:10" ht="38.25" customHeight="1">
      <c r="B4" s="371" t="s">
        <v>340</v>
      </c>
      <c r="C4" s="125" t="s">
        <v>341</v>
      </c>
      <c r="D4" s="125" t="s">
        <v>342</v>
      </c>
      <c r="E4" s="382" t="s">
        <v>343</v>
      </c>
    </row>
    <row r="5" spans="1:10" ht="56.25">
      <c r="B5" s="372"/>
      <c r="C5" s="125" t="s">
        <v>344</v>
      </c>
      <c r="D5" s="125" t="s">
        <v>345</v>
      </c>
      <c r="E5" s="383"/>
    </row>
    <row r="6" spans="1:10" ht="15.75" thickBot="1">
      <c r="B6" s="129">
        <v>0.8</v>
      </c>
      <c r="C6" s="127">
        <f>SUM(REM!D32+REM!D33+'Robson '!E18+'Robson '!F18)</f>
        <v>1</v>
      </c>
      <c r="D6" s="127">
        <f>REM!D5</f>
        <v>1</v>
      </c>
      <c r="E6" s="128">
        <f>C6/D6</f>
        <v>1</v>
      </c>
    </row>
    <row r="7" spans="1:10" ht="15.75" thickBot="1"/>
    <row r="8" spans="1:10" ht="34.5" customHeight="1">
      <c r="B8" s="123" t="s">
        <v>346</v>
      </c>
      <c r="C8" s="373" t="s">
        <v>351</v>
      </c>
      <c r="D8" s="373"/>
      <c r="E8" s="374"/>
    </row>
    <row r="9" spans="1:10" ht="45">
      <c r="B9" s="375" t="s">
        <v>340</v>
      </c>
      <c r="C9" s="124" t="s">
        <v>347</v>
      </c>
      <c r="D9" s="124" t="s">
        <v>348</v>
      </c>
      <c r="E9" s="377" t="s">
        <v>343</v>
      </c>
      <c r="G9" s="379" t="s">
        <v>352</v>
      </c>
      <c r="H9" s="379"/>
      <c r="I9" s="379"/>
      <c r="J9" s="379"/>
    </row>
    <row r="10" spans="1:10" ht="33.75">
      <c r="B10" s="376"/>
      <c r="C10" s="124" t="s">
        <v>349</v>
      </c>
      <c r="D10" s="124" t="s">
        <v>350</v>
      </c>
      <c r="E10" s="378"/>
      <c r="G10" s="115"/>
      <c r="H10" s="115"/>
      <c r="I10" s="115"/>
      <c r="J10" s="115"/>
    </row>
    <row r="11" spans="1:10" ht="15.75" thickBot="1">
      <c r="B11" s="130">
        <v>0.8</v>
      </c>
      <c r="C11" s="132">
        <f>SUM(REM!V5)</f>
        <v>0</v>
      </c>
      <c r="D11" s="134">
        <v>159</v>
      </c>
      <c r="E11" s="136">
        <f>IFERROR(C11/D11,"-")</f>
        <v>0</v>
      </c>
      <c r="G11" s="379" t="s">
        <v>354</v>
      </c>
      <c r="H11" s="379"/>
      <c r="I11" s="379"/>
      <c r="J11" s="379"/>
    </row>
    <row r="12" spans="1:10" ht="15.75" thickBot="1">
      <c r="A12" s="122"/>
      <c r="B12" s="122"/>
      <c r="E12" s="137"/>
      <c r="G12" s="115"/>
      <c r="H12" s="115"/>
      <c r="I12" s="115"/>
      <c r="J12" s="115"/>
    </row>
    <row r="13" spans="1:10" ht="15.75" thickBot="1">
      <c r="B13" s="131">
        <v>0.8</v>
      </c>
      <c r="C13" s="133">
        <f>SUM(REM!V5+REM!X5)</f>
        <v>2</v>
      </c>
      <c r="D13" s="135">
        <v>159</v>
      </c>
      <c r="E13" s="138">
        <f>IFERROR(C13/D13,"-")</f>
        <v>1.2578616352201259E-2</v>
      </c>
      <c r="G13" s="379" t="s">
        <v>355</v>
      </c>
      <c r="H13" s="379"/>
      <c r="I13" s="379"/>
      <c r="J13" s="379"/>
    </row>
  </sheetData>
  <mergeCells count="9">
    <mergeCell ref="C3:E3"/>
    <mergeCell ref="E4:E5"/>
    <mergeCell ref="B4:B5"/>
    <mergeCell ref="C8:E8"/>
    <mergeCell ref="B9:B10"/>
    <mergeCell ref="E9:E10"/>
    <mergeCell ref="G13:J13"/>
    <mergeCell ref="G11:J11"/>
    <mergeCell ref="G9:J9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8"/>
  <sheetViews>
    <sheetView workbookViewId="0">
      <selection activeCell="P9" sqref="P9"/>
    </sheetView>
  </sheetViews>
  <sheetFormatPr baseColWidth="10" defaultRowHeight="15"/>
  <cols>
    <col min="3" max="3" width="22.42578125" customWidth="1"/>
    <col min="4" max="4" width="38.28515625" customWidth="1"/>
    <col min="5" max="5" width="12.85546875" customWidth="1"/>
  </cols>
  <sheetData>
    <row r="4" spans="3:10">
      <c r="C4" s="77" t="s">
        <v>274</v>
      </c>
      <c r="D4" s="78"/>
      <c r="E4" s="79"/>
      <c r="F4" s="80"/>
      <c r="G4" s="76"/>
      <c r="H4" s="76"/>
      <c r="I4" s="76"/>
      <c r="J4" s="76"/>
    </row>
    <row r="5" spans="3:10">
      <c r="C5" s="394" t="s">
        <v>275</v>
      </c>
      <c r="D5" s="395"/>
      <c r="E5" s="81" t="s">
        <v>276</v>
      </c>
      <c r="F5" s="81" t="s">
        <v>45</v>
      </c>
      <c r="G5" s="76"/>
      <c r="H5" s="76"/>
      <c r="I5" s="76"/>
      <c r="J5" s="76"/>
    </row>
    <row r="6" spans="3:10" ht="30" customHeight="1">
      <c r="C6" s="396" t="s">
        <v>277</v>
      </c>
      <c r="D6" s="397"/>
      <c r="E6" s="82">
        <f>COUNTIFS('SEPTIEMBRE 2025'!BA:BA, "Grupo 1",'SEPTIEMBRE 2025'!AY:AY, "ces.electiva")</f>
        <v>0</v>
      </c>
      <c r="F6" s="82">
        <f>COUNTIFS('SEPTIEMBRE 2025'!BA:BA, "Grupo 1",'SEPTIEMBRE 2025'!AY:AY, "ces. urgencia")</f>
        <v>0</v>
      </c>
      <c r="G6" s="76"/>
      <c r="H6" s="398" t="s">
        <v>278</v>
      </c>
      <c r="I6" s="398"/>
      <c r="J6" s="83">
        <f>SUM(J7:J8)</f>
        <v>2</v>
      </c>
    </row>
    <row r="7" spans="3:10" ht="30" customHeight="1">
      <c r="C7" s="400" t="s">
        <v>279</v>
      </c>
      <c r="D7" s="84" t="s">
        <v>280</v>
      </c>
      <c r="E7" s="82">
        <f>SUM(H11:H12)</f>
        <v>0</v>
      </c>
      <c r="F7" s="82">
        <f>SUM(I11:I12)</f>
        <v>1</v>
      </c>
      <c r="G7" s="76"/>
      <c r="H7" s="399" t="s">
        <v>281</v>
      </c>
      <c r="I7" s="399"/>
      <c r="J7" s="85">
        <f>SUM(E6:E17)</f>
        <v>1</v>
      </c>
    </row>
    <row r="8" spans="3:10" ht="30" customHeight="1">
      <c r="C8" s="390"/>
      <c r="D8" s="86" t="s">
        <v>282</v>
      </c>
      <c r="E8" s="82">
        <v>0</v>
      </c>
      <c r="F8" s="82">
        <v>0</v>
      </c>
      <c r="G8" s="76"/>
      <c r="H8" s="399" t="s">
        <v>283</v>
      </c>
      <c r="I8" s="399"/>
      <c r="J8" s="85">
        <f>SUM(F6:F17)</f>
        <v>1</v>
      </c>
    </row>
    <row r="9" spans="3:10" ht="30" customHeight="1">
      <c r="C9" s="388" t="s">
        <v>284</v>
      </c>
      <c r="D9" s="389"/>
      <c r="E9" s="82">
        <f>COUNTIFS('SEPTIEMBRE 2025'!AY:AY, "CES.ELECTIVA",'SEPTIEMBRE 2025'!BA:BA, "Grupo 3")</f>
        <v>1</v>
      </c>
      <c r="F9" s="82">
        <f>COUNTIFS('SEPTIEMBRE 2025'!AY:AY, "CES. URGENCIA",'SEPTIEMBRE 2025'!BA:BA, "Grupo 3")</f>
        <v>0</v>
      </c>
      <c r="G9" s="76"/>
      <c r="H9" s="76"/>
      <c r="I9" s="76"/>
      <c r="J9" s="76"/>
    </row>
    <row r="10" spans="3:10" ht="30" customHeight="1">
      <c r="C10" s="390" t="s">
        <v>285</v>
      </c>
      <c r="D10" s="391"/>
      <c r="E10" s="82">
        <f>SUM(H14:H15)</f>
        <v>0</v>
      </c>
      <c r="F10" s="82">
        <f>SUM(I14:I15)</f>
        <v>0</v>
      </c>
      <c r="G10" s="76"/>
      <c r="H10" s="87" t="s">
        <v>286</v>
      </c>
      <c r="I10" s="87" t="s">
        <v>287</v>
      </c>
      <c r="J10" s="76"/>
    </row>
    <row r="11" spans="3:10" ht="30" customHeight="1">
      <c r="C11" s="392" t="s">
        <v>288</v>
      </c>
      <c r="D11" s="88" t="s">
        <v>289</v>
      </c>
      <c r="E11" s="82">
        <f>COUNTIFS('SEPTIEMBRE 2025'!AY:AY, "CES.ELECTIVA",'SEPTIEMBRE 2025'!BA:BA, "Grupo 5.1")</f>
        <v>0</v>
      </c>
      <c r="F11" s="82">
        <f>COUNTIFS('SEPTIEMBRE 2025'!AY:AY, "CES. URGENCIA",'SEPTIEMBRE 2025'!BA:BA, "Grupo 5.1")</f>
        <v>0</v>
      </c>
      <c r="G11" s="76"/>
      <c r="H11" s="89">
        <f>COUNTIFS('SEPTIEMBRE 2025'!AY:AY, "CES.ELECTIVA",'SEPTIEMBRE 2025'!BA:BA, "Grupo 2.A")</f>
        <v>0</v>
      </c>
      <c r="I11" s="89">
        <f>COUNTIFS('SEPTIEMBRE 2025'!AY:AY, "CES. URGENCIA",'SEPTIEMBRE 2025'!BA:BA, "Grupo 2.A")</f>
        <v>0</v>
      </c>
      <c r="J11" s="76"/>
    </row>
    <row r="12" spans="3:10" ht="30" customHeight="1">
      <c r="C12" s="390"/>
      <c r="D12" s="90" t="s">
        <v>290</v>
      </c>
      <c r="E12" s="82">
        <f>COUNTIFS('SEPTIEMBRE 2025'!AY:AY, "CES.ELECTIVA",'SEPTIEMBRE 2025'!BA:BA, "Grupo 5.2")</f>
        <v>0</v>
      </c>
      <c r="F12" s="82">
        <f>COUNTIFS('SEPTIEMBRE 2025'!AY:AY, "CES. URGENCIA",'SEPTIEMBRE 2025'!BA:BA, "Grupo 5.2")</f>
        <v>0</v>
      </c>
      <c r="G12" s="76"/>
      <c r="H12" s="89">
        <f>COUNTIFS('SEPTIEMBRE 2025'!AY:AY, "CES.ELECTIVA",'SEPTIEMBRE 2025'!BA:BA, "Grupo 2.B")</f>
        <v>0</v>
      </c>
      <c r="I12" s="89">
        <f>COUNTIFS('SEPTIEMBRE 2025'!AY:AY, "CES. URGENCIA",'SEPTIEMBRE 2025'!BA:BA, "Grupo 2.B")</f>
        <v>1</v>
      </c>
      <c r="J12" s="76"/>
    </row>
    <row r="13" spans="3:10" ht="30" customHeight="1">
      <c r="C13" s="389" t="s">
        <v>291</v>
      </c>
      <c r="D13" s="393"/>
      <c r="E13" s="82">
        <f>COUNTIFS('SEPTIEMBRE 2025'!BA:BA, "Grupo 6",'SEPTIEMBRE 2025'!AY:AY, "ces.electiva")</f>
        <v>0</v>
      </c>
      <c r="F13" s="82">
        <f>COUNTIFS('SEPTIEMBRE 2025'!BA:BA, "Grupo 6",'SEPTIEMBRE 2025'!AY:AY, "ces. urgencia")</f>
        <v>0</v>
      </c>
      <c r="G13" s="76"/>
      <c r="H13" s="87" t="s">
        <v>292</v>
      </c>
      <c r="I13" s="87" t="s">
        <v>293</v>
      </c>
      <c r="J13" s="76"/>
    </row>
    <row r="14" spans="3:10" ht="30" customHeight="1">
      <c r="C14" s="384" t="s">
        <v>294</v>
      </c>
      <c r="D14" s="385"/>
      <c r="E14" s="82">
        <f>COUNTIFS('SEPTIEMBRE 2025'!BA:BA, "Grupo 7",'SEPTIEMBRE 2025'!AY:AY, "ces.electiva")</f>
        <v>0</v>
      </c>
      <c r="F14" s="82">
        <f>COUNTIFS('SEPTIEMBRE 2025'!BA:BA, "Grupo 7",'SEPTIEMBRE 2025'!AY:AY, "ces. urgencia")</f>
        <v>0</v>
      </c>
      <c r="G14" s="76"/>
      <c r="H14" s="89">
        <f>COUNTIFS('SEPTIEMBRE 2025'!AY:AY, "CES.ELECTIVA",'SEPTIEMBRE 2025'!BA:BA, "Grupo 4.A")</f>
        <v>0</v>
      </c>
      <c r="I14" s="89">
        <f>COUNTIFS('SEPTIEMBRE 2025'!AY:AY, "CES. URGENCIA",'SEPTIEMBRE 2025'!BA:BA, "Grupo 4.A")</f>
        <v>0</v>
      </c>
      <c r="J14" s="76"/>
    </row>
    <row r="15" spans="3:10" ht="30" customHeight="1">
      <c r="C15" s="384" t="s">
        <v>295</v>
      </c>
      <c r="D15" s="385"/>
      <c r="E15" s="82">
        <f>COUNTIFS('SEPTIEMBRE 2025'!BA:BA, "Grupo 8",'SEPTIEMBRE 2025'!AY:AY, "ces.electiva")</f>
        <v>0</v>
      </c>
      <c r="F15" s="82">
        <f>COUNTIFS('SEPTIEMBRE 2025'!BA:BA, "Grupo 8",'SEPTIEMBRE 2025'!AY:AY, "ces. urgencia")</f>
        <v>0</v>
      </c>
      <c r="G15" s="76"/>
      <c r="H15" s="89">
        <f>COUNTIFS('SEPTIEMBRE 2025'!AY:AY, "CES.ELECTIVA",'SEPTIEMBRE 2025'!BA:BA, "Grupo 4.B")</f>
        <v>0</v>
      </c>
      <c r="I15" s="89">
        <f>COUNTIFS('SEPTIEMBRE 2025'!AY:AY, "CES. URGENCIA",'SEPTIEMBRE 2025'!BA:BA, "Grupo 4.B")</f>
        <v>0</v>
      </c>
      <c r="J15" s="76"/>
    </row>
    <row r="16" spans="3:10" ht="30" customHeight="1">
      <c r="C16" s="384" t="s">
        <v>296</v>
      </c>
      <c r="D16" s="385"/>
      <c r="E16" s="82">
        <f>COUNTIFS('SEPTIEMBRE 2025'!BA:BA, "Grupo 9",'SEPTIEMBRE 2025'!AY:AY, "ces.electiva")</f>
        <v>0</v>
      </c>
      <c r="F16" s="82">
        <f>COUNTIFS('SEPTIEMBRE 2025'!BA:BA, "Grupo 9",'SEPTIEMBRE 2025'!AY:AY, "ces. urgencia")</f>
        <v>0</v>
      </c>
      <c r="G16" s="76"/>
      <c r="H16" s="76"/>
      <c r="I16" s="76"/>
      <c r="J16" s="76"/>
    </row>
    <row r="17" spans="3:10" ht="30" customHeight="1">
      <c r="C17" s="384" t="s">
        <v>297</v>
      </c>
      <c r="D17" s="385"/>
      <c r="E17" s="82">
        <f>COUNTIFS('SEPTIEMBRE 2025'!BA:BA, "Grupo 10",'SEPTIEMBRE 2025'!AY:AY, "ces.electiva")</f>
        <v>0</v>
      </c>
      <c r="F17" s="82">
        <f>COUNTIFS('SEPTIEMBRE 2025'!BA:BA, "Grupo 10",'SEPTIEMBRE 2025'!AY:AY, "ces. urgencia")</f>
        <v>0</v>
      </c>
      <c r="G17" s="76"/>
      <c r="H17" s="76"/>
      <c r="I17" s="76"/>
      <c r="J17" s="76"/>
    </row>
    <row r="18" spans="3:10" ht="30" customHeight="1">
      <c r="C18" s="386" t="s">
        <v>298</v>
      </c>
      <c r="D18" s="387"/>
      <c r="E18" s="82">
        <f>COUNTIFS('SEPTIEMBRE 2025'!AY:AY, "ces.electiva",'SEPTIEMBRE 2025'!CK:CK, "si")</f>
        <v>0</v>
      </c>
      <c r="F18" s="82">
        <f>COUNTIFS('SEPTIEMBRE 2025'!AY:AY, "ces. urgencia",'SEPTIEMBRE 2025'!CK:CK, "si")</f>
        <v>0</v>
      </c>
      <c r="G18" s="76"/>
      <c r="H18" s="76"/>
      <c r="I18" s="76"/>
      <c r="J18" s="76"/>
    </row>
  </sheetData>
  <mergeCells count="15">
    <mergeCell ref="C5:D5"/>
    <mergeCell ref="C6:D6"/>
    <mergeCell ref="H6:I6"/>
    <mergeCell ref="H7:I7"/>
    <mergeCell ref="H8:I8"/>
    <mergeCell ref="C7:C8"/>
    <mergeCell ref="C15:D15"/>
    <mergeCell ref="C16:D16"/>
    <mergeCell ref="C17:D17"/>
    <mergeCell ref="C18:D18"/>
    <mergeCell ref="C9:D9"/>
    <mergeCell ref="C10:D10"/>
    <mergeCell ref="C11:C12"/>
    <mergeCell ref="C13:D13"/>
    <mergeCell ref="C14:D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="90" zoomScaleNormal="90" workbookViewId="0">
      <selection activeCell="A21" sqref="A21:A24"/>
    </sheetView>
  </sheetViews>
  <sheetFormatPr baseColWidth="10" defaultRowHeight="15"/>
  <cols>
    <col min="1" max="7" width="11.42578125" style="14"/>
    <col min="8" max="8" width="16.42578125" style="14" customWidth="1"/>
    <col min="9" max="9" width="15.42578125" style="14" customWidth="1"/>
    <col min="10" max="10" width="18.85546875" style="14" customWidth="1"/>
    <col min="11" max="11" width="16.28515625" style="14" customWidth="1"/>
    <col min="12" max="12" width="20.85546875" style="14" customWidth="1"/>
    <col min="13" max="13" width="34.140625" style="14" bestFit="1" customWidth="1"/>
    <col min="14" max="16384" width="11.42578125" style="14"/>
  </cols>
  <sheetData>
    <row r="1" spans="1:13">
      <c r="C1" s="14" t="s">
        <v>35</v>
      </c>
      <c r="G1" s="14" t="s">
        <v>63</v>
      </c>
      <c r="K1" s="14" t="s">
        <v>33</v>
      </c>
      <c r="M1" s="14" t="s">
        <v>106</v>
      </c>
    </row>
    <row r="2" spans="1:13">
      <c r="C2" s="14" t="s">
        <v>81</v>
      </c>
      <c r="G2" s="14" t="s">
        <v>47</v>
      </c>
      <c r="K2" s="14" t="s">
        <v>55</v>
      </c>
      <c r="M2" s="14" t="s">
        <v>107</v>
      </c>
    </row>
    <row r="3" spans="1:13">
      <c r="C3" s="14" t="s">
        <v>82</v>
      </c>
      <c r="G3" s="14" t="s">
        <v>45</v>
      </c>
      <c r="K3" s="14" t="s">
        <v>96</v>
      </c>
      <c r="M3" s="14" t="s">
        <v>108</v>
      </c>
    </row>
    <row r="4" spans="1:13">
      <c r="C4" s="14" t="s">
        <v>50</v>
      </c>
      <c r="G4" s="14" t="s">
        <v>48</v>
      </c>
      <c r="K4" s="14" t="s">
        <v>105</v>
      </c>
      <c r="M4" s="14" t="s">
        <v>109</v>
      </c>
    </row>
    <row r="5" spans="1:13">
      <c r="A5" s="14" t="s">
        <v>53</v>
      </c>
      <c r="C5" s="14" t="s">
        <v>59</v>
      </c>
      <c r="G5" s="14" t="s">
        <v>64</v>
      </c>
      <c r="M5" s="14" t="s">
        <v>110</v>
      </c>
    </row>
    <row r="6" spans="1:13">
      <c r="A6" s="14" t="s">
        <v>44</v>
      </c>
      <c r="C6" s="14" t="s">
        <v>60</v>
      </c>
      <c r="G6" s="14" t="s">
        <v>67</v>
      </c>
      <c r="M6" s="14" t="s">
        <v>111</v>
      </c>
    </row>
    <row r="7" spans="1:13">
      <c r="C7" s="14" t="s">
        <v>83</v>
      </c>
      <c r="E7" s="14" t="s">
        <v>37</v>
      </c>
      <c r="M7" s="14" t="s">
        <v>112</v>
      </c>
    </row>
    <row r="8" spans="1:13">
      <c r="A8" s="14" t="s">
        <v>32</v>
      </c>
      <c r="C8" s="14" t="s">
        <v>52</v>
      </c>
      <c r="E8" s="14" t="s">
        <v>41</v>
      </c>
    </row>
    <row r="9" spans="1:13">
      <c r="A9" s="14" t="s">
        <v>31</v>
      </c>
      <c r="C9" s="14" t="s">
        <v>61</v>
      </c>
      <c r="E9" s="14" t="s">
        <v>49</v>
      </c>
    </row>
    <row r="10" spans="1:13">
      <c r="E10" s="14" t="s">
        <v>65</v>
      </c>
      <c r="H10" s="14" t="s">
        <v>146</v>
      </c>
      <c r="I10" s="14" t="s">
        <v>69</v>
      </c>
      <c r="J10" s="14" t="s">
        <v>18</v>
      </c>
      <c r="K10" s="14" t="s">
        <v>43</v>
      </c>
    </row>
    <row r="11" spans="1:13">
      <c r="A11" s="14">
        <v>1</v>
      </c>
      <c r="C11" s="14" t="s">
        <v>39</v>
      </c>
      <c r="E11" s="14" t="s">
        <v>61</v>
      </c>
      <c r="I11" s="14" t="s">
        <v>70</v>
      </c>
      <c r="K11" s="14" t="s">
        <v>36</v>
      </c>
    </row>
    <row r="12" spans="1:13">
      <c r="A12" s="14">
        <v>2</v>
      </c>
      <c r="C12" s="14" t="s">
        <v>51</v>
      </c>
      <c r="E12" s="14" t="s">
        <v>68</v>
      </c>
      <c r="I12" s="14" t="s">
        <v>71</v>
      </c>
      <c r="K12" s="14" t="s">
        <v>66</v>
      </c>
    </row>
    <row r="13" spans="1:13">
      <c r="A13" s="14">
        <v>3</v>
      </c>
      <c r="C13" s="14" t="s">
        <v>62</v>
      </c>
      <c r="I13" s="14" t="s">
        <v>72</v>
      </c>
    </row>
    <row r="14" spans="1:13">
      <c r="C14" s="14" t="s">
        <v>77</v>
      </c>
      <c r="E14" s="14" t="s">
        <v>56</v>
      </c>
    </row>
    <row r="15" spans="1:13">
      <c r="A15" s="14" t="s">
        <v>33</v>
      </c>
      <c r="C15" s="14" t="s">
        <v>78</v>
      </c>
      <c r="E15" s="14" t="s">
        <v>57</v>
      </c>
    </row>
    <row r="16" spans="1:13">
      <c r="A16" s="14" t="s">
        <v>55</v>
      </c>
      <c r="C16" s="14" t="s">
        <v>79</v>
      </c>
      <c r="E16" s="14" t="s">
        <v>31</v>
      </c>
      <c r="J16" s="14" t="s">
        <v>120</v>
      </c>
      <c r="K16" s="14" t="s">
        <v>121</v>
      </c>
      <c r="L16" s="14" t="s">
        <v>151</v>
      </c>
      <c r="M16" s="14" t="s">
        <v>152</v>
      </c>
    </row>
    <row r="17" spans="1:13">
      <c r="A17" s="14" t="s">
        <v>38</v>
      </c>
      <c r="C17" s="14" t="s">
        <v>80</v>
      </c>
      <c r="K17" s="14" t="s">
        <v>122</v>
      </c>
      <c r="M17" s="14" t="s">
        <v>153</v>
      </c>
    </row>
    <row r="18" spans="1:13">
      <c r="C18" s="14" t="s">
        <v>46</v>
      </c>
      <c r="E18" s="14" t="s">
        <v>36</v>
      </c>
      <c r="H18" s="14" t="s">
        <v>187</v>
      </c>
      <c r="I18" s="14" t="s">
        <v>188</v>
      </c>
      <c r="K18" s="14" t="s">
        <v>123</v>
      </c>
      <c r="M18" s="14" t="s">
        <v>154</v>
      </c>
    </row>
    <row r="19" spans="1:13">
      <c r="C19" s="14" t="s">
        <v>84</v>
      </c>
      <c r="E19" s="14" t="s">
        <v>43</v>
      </c>
      <c r="I19" s="14" t="s">
        <v>189</v>
      </c>
      <c r="K19" s="14" t="s">
        <v>124</v>
      </c>
      <c r="M19" s="14" t="s">
        <v>155</v>
      </c>
    </row>
    <row r="20" spans="1:13">
      <c r="C20" s="14" t="s">
        <v>31</v>
      </c>
      <c r="E20" s="14" t="s">
        <v>66</v>
      </c>
      <c r="K20" s="14" t="s">
        <v>125</v>
      </c>
      <c r="M20" s="14" t="s">
        <v>156</v>
      </c>
    </row>
    <row r="21" spans="1:13">
      <c r="A21" s="14" t="s">
        <v>93</v>
      </c>
      <c r="K21" s="14" t="s">
        <v>126</v>
      </c>
    </row>
    <row r="22" spans="1:13">
      <c r="A22" s="14" t="s">
        <v>42</v>
      </c>
      <c r="K22" s="14" t="s">
        <v>127</v>
      </c>
    </row>
    <row r="23" spans="1:13">
      <c r="A23" s="14" t="s">
        <v>40</v>
      </c>
      <c r="E23" s="14" t="s">
        <v>90</v>
      </c>
      <c r="K23" s="14" t="s">
        <v>128</v>
      </c>
    </row>
    <row r="24" spans="1:13">
      <c r="A24" s="14" t="s">
        <v>34</v>
      </c>
      <c r="E24" s="14" t="s">
        <v>89</v>
      </c>
      <c r="K24" s="14" t="s">
        <v>129</v>
      </c>
    </row>
    <row r="25" spans="1:13">
      <c r="E25" s="14" t="s">
        <v>91</v>
      </c>
      <c r="K25" s="14" t="s">
        <v>130</v>
      </c>
    </row>
    <row r="26" spans="1:13">
      <c r="A26" s="14" t="s">
        <v>54</v>
      </c>
      <c r="E26" s="14" t="s">
        <v>61</v>
      </c>
      <c r="K26" s="14" t="s">
        <v>131</v>
      </c>
    </row>
    <row r="27" spans="1:13">
      <c r="A27" s="14" t="s">
        <v>58</v>
      </c>
      <c r="K27" s="14" t="s">
        <v>132</v>
      </c>
    </row>
    <row r="29" spans="1:13">
      <c r="J29" s="14" t="s">
        <v>74</v>
      </c>
      <c r="K29" s="14" t="s">
        <v>75</v>
      </c>
    </row>
    <row r="30" spans="1:13">
      <c r="K30" s="14" t="s">
        <v>76</v>
      </c>
    </row>
    <row r="33" spans="1:2">
      <c r="A33" s="14" t="s">
        <v>141</v>
      </c>
      <c r="B33" s="14">
        <v>1</v>
      </c>
    </row>
    <row r="34" spans="1:2">
      <c r="B34" s="14">
        <v>2</v>
      </c>
    </row>
    <row r="35" spans="1:2">
      <c r="B35" s="14">
        <v>3</v>
      </c>
    </row>
    <row r="36" spans="1:2">
      <c r="B36" s="14">
        <v>4</v>
      </c>
    </row>
  </sheetData>
  <sheetProtection password="C953" sheet="1" objects="1" scenarios="1"/>
  <dataValidations count="1">
    <dataValidation type="custom" allowBlank="1" showInputMessage="1" showErrorMessage="1" sqref="K29:K30">
      <formula1>#REF!</formula1>
    </dataValidation>
  </dataValidations>
  <pageMargins left="0.7" right="0.7" top="0.75" bottom="0.75" header="0.3" footer="0.3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"/>
  <sheetViews>
    <sheetView workbookViewId="0">
      <selection activeCell="I14" sqref="I14"/>
    </sheetView>
  </sheetViews>
  <sheetFormatPr baseColWidth="10" defaultRowHeight="15"/>
  <cols>
    <col min="3" max="3" width="37.42578125" customWidth="1"/>
  </cols>
  <sheetData>
    <row r="1" spans="2:11" ht="15.75" thickBot="1"/>
    <row r="2" spans="2:11" ht="15.75" thickBot="1">
      <c r="B2" s="98" t="s">
        <v>299</v>
      </c>
      <c r="C2" s="97" t="s">
        <v>300</v>
      </c>
      <c r="D2" s="96" t="s">
        <v>301</v>
      </c>
      <c r="E2" s="95"/>
      <c r="F2" s="401" t="s">
        <v>302</v>
      </c>
      <c r="G2" s="402"/>
      <c r="H2" s="401" t="s">
        <v>303</v>
      </c>
      <c r="I2" s="402"/>
      <c r="J2" s="401" t="s">
        <v>304</v>
      </c>
      <c r="K2" s="402"/>
    </row>
    <row r="3" spans="2:11" ht="15.75" thickBot="1">
      <c r="B3" s="403">
        <v>2</v>
      </c>
      <c r="C3" s="405" t="s">
        <v>307</v>
      </c>
      <c r="D3" s="94" t="s">
        <v>305</v>
      </c>
      <c r="E3" s="94" t="s">
        <v>306</v>
      </c>
      <c r="F3" s="94" t="s">
        <v>305</v>
      </c>
      <c r="G3" s="94" t="s">
        <v>306</v>
      </c>
      <c r="H3" s="94"/>
      <c r="I3" s="94" t="s">
        <v>306</v>
      </c>
      <c r="J3" s="94"/>
      <c r="K3" s="94" t="s">
        <v>306</v>
      </c>
    </row>
    <row r="4" spans="2:11" ht="15.75" thickBot="1">
      <c r="B4" s="404"/>
      <c r="C4" s="406"/>
      <c r="D4" s="93">
        <f>F4+H4+J4</f>
        <v>1</v>
      </c>
      <c r="E4" s="92">
        <f>D4/D4*100</f>
        <v>100</v>
      </c>
      <c r="F4" s="93">
        <f>COUNTIF('SEPTIEMBRE 2025'!N:N, "&lt;15")</f>
        <v>0</v>
      </c>
      <c r="G4" s="91">
        <f>F4/D4*100</f>
        <v>0</v>
      </c>
      <c r="H4" s="93">
        <f>COUNTIFS('SEPTIEMBRE 2025'!N:N, "&gt;14",'SEPTIEMBRE 2025'!N:N,"&lt;25")</f>
        <v>0</v>
      </c>
      <c r="I4" s="91">
        <f>H4/D4*100</f>
        <v>0</v>
      </c>
      <c r="J4" s="93">
        <f>COUNTIF('SEPTIEMBRE 2025'!N:N, "&gt;24")</f>
        <v>1</v>
      </c>
      <c r="K4" s="91">
        <f>J4/D4*100</f>
        <v>100</v>
      </c>
    </row>
  </sheetData>
  <mergeCells count="5">
    <mergeCell ref="F2:G2"/>
    <mergeCell ref="H2:I2"/>
    <mergeCell ref="J2:K2"/>
    <mergeCell ref="B3:B4"/>
    <mergeCell ref="C3:C4"/>
  </mergeCells>
  <conditionalFormatting sqref="D4:K4">
    <cfRule type="cellIs" dxfId="0" priority="1" operator="greater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SEPTIEMBRE 2025</vt:lpstr>
      <vt:lpstr>Hoja1</vt:lpstr>
      <vt:lpstr>REM</vt:lpstr>
      <vt:lpstr>APS</vt:lpstr>
      <vt:lpstr>EV</vt:lpstr>
      <vt:lpstr>Robson </vt:lpstr>
      <vt:lpstr>Validadores</vt:lpstr>
      <vt:lpstr>SS ÑUBLE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Torres M. (HHM)</dc:creator>
  <cp:lastModifiedBy>Maria Teresa Higuera A. (HHM)</cp:lastModifiedBy>
  <cp:lastPrinted>2025-07-22T16:37:17Z</cp:lastPrinted>
  <dcterms:created xsi:type="dcterms:W3CDTF">2022-02-05T12:09:49Z</dcterms:created>
  <dcterms:modified xsi:type="dcterms:W3CDTF">2025-10-09T13:02:59Z</dcterms:modified>
</cp:coreProperties>
</file>